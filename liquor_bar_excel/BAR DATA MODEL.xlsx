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iquor Shop Data\"/>
    </mc:Choice>
  </mc:AlternateContent>
  <xr:revisionPtr revIDLastSave="0" documentId="13_ncr:1_{072CD790-CBBF-4BE6-A046-3C9ED95C77C3}" xr6:coauthVersionLast="47" xr6:coauthVersionMax="47" xr10:uidLastSave="{00000000-0000-0000-0000-000000000000}"/>
  <bookViews>
    <workbookView xWindow="-28920" yWindow="-3450" windowWidth="29040" windowHeight="15720" firstSheet="2" activeTab="3" xr2:uid="{B26C9C26-EDC3-4661-B4C9-5CBE6331EC37}"/>
  </bookViews>
  <sheets>
    <sheet name="BAR 23-24" sheetId="4" r:id="rId1"/>
    <sheet name="BAR 22-23" sheetId="3" r:id="rId2"/>
    <sheet name="BAR 21-22" sheetId="2" r:id="rId3"/>
    <sheet name="BAR 21-24" sheetId="1" r:id="rId4"/>
    <sheet name="PivotTable" sheetId="6" r:id="rId5"/>
    <sheet name="MoM" sheetId="8" r:id="rId6"/>
    <sheet name="PivotChart" sheetId="7" r:id="rId7"/>
  </sheets>
  <definedNames>
    <definedName name="_xlnm._FilterDatabase" localSheetId="3" hidden="1">'BAR 21-24'!$A$1:$S$521</definedName>
    <definedName name="_xlcn.WorksheetConnection_CombinedA1R5211" hidden="1">'BAR 21-24'!$A$1:$R$521</definedName>
    <definedName name="_xlcn.WorksheetConnection_CombinedA1S5211" hidden="1">'BAR 21-24'!$A$1:$S$521</definedName>
    <definedName name="_xlcn.WorksheetConnection_ExtraCalcA1D371" hidden="1">MoM!$A$1:$G$37</definedName>
    <definedName name="_xlcn.WorksheetConnection_ExtraCalcC1E371" hidden="1">MoM!$C$1:$G$37</definedName>
  </definedNames>
  <calcPr calcId="191029"/>
  <pivotCaches>
    <pivotCache cacheId="35" r:id="rId8"/>
  </pivotCaches>
  <extLst>
    <ext xmlns:x15="http://schemas.microsoft.com/office/spreadsheetml/2010/11/main" uri="{841E416B-1EF1-43b6-AB56-02D37102CBD5}">
      <x15:pivotCaches>
        <pivotCache cacheId="20" r:id="rId9"/>
        <pivotCache cacheId="23" r:id="rId10"/>
        <pivotCache cacheId="49" r:id="rId11"/>
      </x15:pivotCaches>
    </ext>
    <ext xmlns:x15="http://schemas.microsoft.com/office/spreadsheetml/2010/11/main" uri="{983426D0-5260-488c-9760-48F4B6AC55F4}">
      <x15:pivotTableReferences>
        <x15:pivotTableReference r:id="rId12"/>
        <x15:pivotTableReference r:id="rId13"/>
        <x15:pivotTableReference r:id="rId1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3" name="Range 3" connection="WorksheetConnection_Extra Calc!$C$1:$E$37"/>
          <x15:modelTable id="Range 2" name="Range 2" connection="WorksheetConnection_Extra Calc!$A$1:$D$37"/>
          <x15:modelTable id="Range 1" name="Range 1" connection="WorksheetConnection_Combined!$A$1:$S$521"/>
          <x15:modelTable id="Range" name="Range" connection="WorksheetConnection_Combined!$A$1:$R$52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Range 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R3" i="1"/>
  <c r="R4" i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R36" i="1"/>
  <c r="R37" i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R52" i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R116" i="1"/>
  <c r="R117" i="1"/>
  <c r="S117" i="1" s="1"/>
  <c r="R118" i="1"/>
  <c r="S118" i="1" s="1"/>
  <c r="R119" i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R196" i="1"/>
  <c r="R197" i="1"/>
  <c r="R198" i="1"/>
  <c r="S198" i="1" s="1"/>
  <c r="R199" i="1"/>
  <c r="S199" i="1" s="1"/>
  <c r="R200" i="1"/>
  <c r="S200" i="1" s="1"/>
  <c r="R201" i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R260" i="1"/>
  <c r="S260" i="1" s="1"/>
  <c r="R261" i="1"/>
  <c r="R262" i="1"/>
  <c r="R263" i="1"/>
  <c r="S263" i="1" s="1"/>
  <c r="R264" i="1"/>
  <c r="S264" i="1" s="1"/>
  <c r="R265" i="1"/>
  <c r="S265" i="1" s="1"/>
  <c r="R266" i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R276" i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R340" i="1"/>
  <c r="R341" i="1"/>
  <c r="R342" i="1"/>
  <c r="R343" i="1"/>
  <c r="S343" i="1" s="1"/>
  <c r="R344" i="1"/>
  <c r="S344" i="1" s="1"/>
  <c r="R345" i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R388" i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R404" i="1"/>
  <c r="S404" i="1" s="1"/>
  <c r="R405" i="1"/>
  <c r="R406" i="1"/>
  <c r="S406" i="1" s="1"/>
  <c r="R407" i="1"/>
  <c r="S407" i="1" s="1"/>
  <c r="R408" i="1"/>
  <c r="S408" i="1" s="1"/>
  <c r="R409" i="1"/>
  <c r="R410" i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R420" i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R484" i="1"/>
  <c r="R485" i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R500" i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2" i="1"/>
  <c r="S2" i="1" s="1"/>
  <c r="S3" i="1"/>
  <c r="S4" i="1"/>
  <c r="S35" i="1"/>
  <c r="S36" i="1"/>
  <c r="S37" i="1"/>
  <c r="S51" i="1"/>
  <c r="S52" i="1"/>
  <c r="S67" i="1"/>
  <c r="S115" i="1"/>
  <c r="S116" i="1"/>
  <c r="S119" i="1"/>
  <c r="S131" i="1"/>
  <c r="S137" i="1"/>
  <c r="S147" i="1"/>
  <c r="S182" i="1"/>
  <c r="S195" i="1"/>
  <c r="S196" i="1"/>
  <c r="S197" i="1"/>
  <c r="S201" i="1"/>
  <c r="S211" i="1"/>
  <c r="S243" i="1"/>
  <c r="S259" i="1"/>
  <c r="S261" i="1"/>
  <c r="S262" i="1"/>
  <c r="S266" i="1"/>
  <c r="S275" i="1"/>
  <c r="S276" i="1"/>
  <c r="S307" i="1"/>
  <c r="S323" i="1"/>
  <c r="S339" i="1"/>
  <c r="S340" i="1"/>
  <c r="S341" i="1"/>
  <c r="S342" i="1"/>
  <c r="S345" i="1"/>
  <c r="S352" i="1"/>
  <c r="S387" i="1"/>
  <c r="S388" i="1"/>
  <c r="S403" i="1"/>
  <c r="S405" i="1"/>
  <c r="S409" i="1"/>
  <c r="S410" i="1"/>
  <c r="S419" i="1"/>
  <c r="S420" i="1"/>
  <c r="S451" i="1"/>
  <c r="S467" i="1"/>
  <c r="S483" i="1"/>
  <c r="S484" i="1"/>
  <c r="S485" i="1"/>
  <c r="S499" i="1"/>
  <c r="S50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2" i="1"/>
  <c r="O3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PRAYAG</author>
  </authors>
  <commentList>
    <comment ref="F1" authorId="0" shapeId="0" xr:uid="{377D4D13-C81D-4B5A-B0A8-F4DE7A9AA0A7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Credited to Govt account
</t>
        </r>
      </text>
    </comment>
    <comment ref="D2" authorId="0" shapeId="0" xr:uid="{A0DC03F0-F4E7-4E7E-A315-0348D7340EEB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OSBC: Invoice for Govt</t>
        </r>
      </text>
    </comment>
    <comment ref="D3" authorId="0" shapeId="0" xr:uid="{3372009B-5FDC-412C-B143-8867624ACFD3}">
      <text>
        <r>
          <rPr>
            <b/>
            <sz val="9"/>
            <color indexed="81"/>
            <rFont val="Tahoma"/>
            <charset val="1"/>
          </rPr>
          <t>PRAYAG:</t>
        </r>
        <r>
          <rPr>
            <sz val="9"/>
            <color indexed="81"/>
            <rFont val="Tahoma"/>
            <charset val="1"/>
          </rPr>
          <t xml:space="preserve">
INV(BAL): Invoice for retailer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AB46E-FB9A-43F8-B29E-F4FF46BB535D}" keepAlive="1" name="Query - BAR 21-22" description="Connection to the 'BAR 21-22' query in the workbook." type="5" refreshedVersion="8" background="1" saveData="1">
    <dbPr connection="Provider=Microsoft.Mashup.OleDb.1;Data Source=$Workbook$;Location=&quot;BAR 21-22&quot;;Extended Properties=&quot;&quot;" command="SELECT * FROM [BAR 21-22]"/>
  </connection>
  <connection id="2" xr16:uid="{8225684C-6176-49E4-922A-21CCD83D14CE}" keepAlive="1" name="Query - BAR 21-22 (2)" description="Connection to the 'BAR 21-22 (2)' query in the workbook." type="5" refreshedVersion="8" background="1" saveData="1">
    <dbPr connection="Provider=Microsoft.Mashup.OleDb.1;Data Source=$Workbook$;Location=&quot;BAR 21-22 (2)&quot;;Extended Properties=&quot;&quot;" command="SELECT * FROM [BAR 21-22 (2)]"/>
  </connection>
  <connection id="3" xr16:uid="{F01D58C1-8F56-44C0-BBF9-3607117ECCF9}" keepAlive="1" name="Query - BAR 22-23" description="Connection to the 'BAR 22-23' query in the workbook." type="5" refreshedVersion="8" background="1" saveData="1">
    <dbPr connection="Provider=Microsoft.Mashup.OleDb.1;Data Source=$Workbook$;Location=&quot;BAR 22-23&quot;;Extended Properties=&quot;&quot;" command="SELECT * FROM [BAR 22-23]"/>
  </connection>
  <connection id="4" xr16:uid="{70607895-09A5-49E9-B1DE-D434937D7E63}" keepAlive="1" name="Query - BAR 23-24" description="Connection to the 'BAR 23-24' query in the workbook." type="5" refreshedVersion="8" background="1" saveData="1">
    <dbPr connection="Provider=Microsoft.Mashup.OleDb.1;Data Source=$Workbook$;Location=&quot;BAR 23-24&quot;;Extended Properties=&quot;&quot;" command="SELECT * FROM [BAR 23-24]"/>
  </connection>
  <connection id="5" xr16:uid="{D6D26E17-5578-4C27-82D3-E0B5AC9FE7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A906529-FFF3-48F2-A29C-3F8EF8DE6A2B}" name="WorksheetConnection_Combined!$A$1:$R$52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mbinedA1R5211"/>
        </x15:connection>
      </ext>
    </extLst>
  </connection>
  <connection id="7" xr16:uid="{AC956C5D-EE7D-4D86-BAE1-119CB30C059B}" name="WorksheetConnection_Combined!$A$1:$S$52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ombinedA1S5211"/>
        </x15:connection>
      </ext>
    </extLst>
  </connection>
  <connection id="8" xr16:uid="{6C8E524D-E947-4AA3-A892-6993FCB19ABE}" name="WorksheetConnection_Extra Calc!$A$1:$D$3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ExtraCalcA1D371"/>
        </x15:connection>
      </ext>
    </extLst>
  </connection>
  <connection id="9" xr16:uid="{D7070942-CD2F-4C1D-ABCD-3FC29ABCACFC}" name="WorksheetConnection_Extra Calc!$C$1:$E$37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ExtraCalcC1E371"/>
        </x15:connection>
      </ext>
    </extLst>
  </connection>
</connections>
</file>

<file path=xl/sharedStrings.xml><?xml version="1.0" encoding="utf-8"?>
<sst xmlns="http://schemas.openxmlformats.org/spreadsheetml/2006/main" count="1183" uniqueCount="564">
  <si>
    <t>Sl No.</t>
  </si>
  <si>
    <t>Date</t>
  </si>
  <si>
    <t>Invoice/ MR No.</t>
  </si>
  <si>
    <t>Oppening Balance</t>
  </si>
  <si>
    <t>Credit Amount</t>
  </si>
  <si>
    <t>BL</t>
  </si>
  <si>
    <t>LPL</t>
  </si>
  <si>
    <t>Sale Amount</t>
  </si>
  <si>
    <t>VAT</t>
  </si>
  <si>
    <t>TCS</t>
  </si>
  <si>
    <t>Grand Total</t>
  </si>
  <si>
    <t>Closing Balance</t>
  </si>
  <si>
    <t>OSBC/BAL/MR/1045/2021-2022</t>
  </si>
  <si>
    <t>INV(BAL) / 2021-2022 / 1054</t>
  </si>
  <si>
    <t>OSBC/BAL/MR/1168/2021-2022</t>
  </si>
  <si>
    <t>INV(BAL) / 2021-2022 / 1214</t>
  </si>
  <si>
    <t>OSBC/BAL/MR/1383/2021-2022</t>
  </si>
  <si>
    <t>INV(BAL) / 2021-2022 / 1390</t>
  </si>
  <si>
    <t>OSBC/BAL/MR/1539/2021-2022</t>
  </si>
  <si>
    <t>INV(BAL) / 2021-2022 / 1611</t>
  </si>
  <si>
    <t>OSBC/BAL/MR/1685/2021-2022</t>
  </si>
  <si>
    <t>INV(BAL) / 2021-2022 / 1831</t>
  </si>
  <si>
    <t>OSBC/BAL/MR/1910/2021-2022</t>
  </si>
  <si>
    <t>INV(BAL) / 2021-2022 / 1968</t>
  </si>
  <si>
    <t>OSBC/BAL/MR/1995/2021-2022</t>
  </si>
  <si>
    <t>OSBC/BAL/MR/1996/2021-2022</t>
  </si>
  <si>
    <t>INV(BAL) / 2021-2022 / 2081</t>
  </si>
  <si>
    <t>INV(BAL) / 2021-2022 / 2105</t>
  </si>
  <si>
    <t>OSBC/BAL/MR/2216/2021-2022</t>
  </si>
  <si>
    <t>INV(BAL) / 2021-2022 / 2328</t>
  </si>
  <si>
    <t>INV(BAL) / 2021-2022 / 2329</t>
  </si>
  <si>
    <t>OSBC/BAL/MR/2374/2021-2022</t>
  </si>
  <si>
    <t>INV(BAL) / 2021-2022 / 2445</t>
  </si>
  <si>
    <t>INV(BAL) / 2021-2022 / 2446</t>
  </si>
  <si>
    <t>OSBC/BAL/MR/2430/2021-2022</t>
  </si>
  <si>
    <t>INV(BAL) / 2021-2022 / 2538</t>
  </si>
  <si>
    <t>OSBC/BAL/MR/2531/2021-2022</t>
  </si>
  <si>
    <t>INV(BAL) / 2021-2022 / 2610</t>
  </si>
  <si>
    <t>OSBC/BAL/MR/2632/2021-2022</t>
  </si>
  <si>
    <t>OSBC/BAL/MR/2715/2021-2022</t>
  </si>
  <si>
    <t>INV(BAL) / 2021-2022 / 2706</t>
  </si>
  <si>
    <t>INV(BAL) / 2021-2022 / 2707</t>
  </si>
  <si>
    <t>OSBC/BAL/MR/3032/2021-2022</t>
  </si>
  <si>
    <t>OSBC/BAL/MR/3039/2021-2022</t>
  </si>
  <si>
    <t>OSBC/BAL/MR/3055/2021-2022</t>
  </si>
  <si>
    <t>OSBC/BAL/MR/3085/2021-2022</t>
  </si>
  <si>
    <t>INV(BAL) / 2021-2022 / 2942</t>
  </si>
  <si>
    <t>INV(BAL) / 2021-2022 / 2960</t>
  </si>
  <si>
    <t>OSBC/BAL/MR/3323/2021-2022</t>
  </si>
  <si>
    <t>OSBC/BAL/MR/3737/2021-2022</t>
  </si>
  <si>
    <t>OSBC/BAL/MR/3742/2021-2022</t>
  </si>
  <si>
    <t>INV(BAL) / 2021-2022 / 3423</t>
  </si>
  <si>
    <t>INV(BAL) / 2021-2022 / 3424</t>
  </si>
  <si>
    <t>OSBC/BAL/MR/3924/2021-2022</t>
  </si>
  <si>
    <t>OSBC/BAL/MR/3957/2021-2022</t>
  </si>
  <si>
    <t>INV(BAL) / 2021-2022 / 3639</t>
  </si>
  <si>
    <t>INV(BAL) / 2021-2022 / 3640</t>
  </si>
  <si>
    <t>OSBC/BAL/MR/4154/2021-2022</t>
  </si>
  <si>
    <t>OSBC/BAL/MR/4185/2021-2022</t>
  </si>
  <si>
    <t>INV(BAL) / 2021-2022 / 3903</t>
  </si>
  <si>
    <t>INV(BAL) / 2021-2022 / 3904</t>
  </si>
  <si>
    <t>OSBC/BAL/MR/4432/2021-2022</t>
  </si>
  <si>
    <t>INV(BAL) / 2021-2022 / 4032</t>
  </si>
  <si>
    <t>INV(BAL) / 2021-2022 / 4033</t>
  </si>
  <si>
    <t>OSBC/BAL/MR/4598/2021-2022</t>
  </si>
  <si>
    <t>OSBC/BAL/MR/4719/2021-2022</t>
  </si>
  <si>
    <t>INV(BAL) / 2021-2022 / 4583</t>
  </si>
  <si>
    <t>INV(BAL) / 2021-2022 / 4584</t>
  </si>
  <si>
    <t>OSBC/BAL/MR/5186/2021-2022</t>
  </si>
  <si>
    <t>INV(BAL) / 2021-2022 / 5124</t>
  </si>
  <si>
    <t>OSBC/BAL/MR/5745/2021-2022</t>
  </si>
  <si>
    <t>INV(BAL) / 2021-2022 / 5382</t>
  </si>
  <si>
    <t>INV(BAL) / 2021-2022 / 5383</t>
  </si>
  <si>
    <t>OSBC/BAL/MR/6153/2021-2022</t>
  </si>
  <si>
    <t>OSBC/BAL/MR/6166/2021-2022</t>
  </si>
  <si>
    <t>INV(BAL) / 2021-2022 / 5695</t>
  </si>
  <si>
    <t>INV(BAL) / 2021-2022 / 5696</t>
  </si>
  <si>
    <t>OSBC/BAL/MR/6444/2021-2022</t>
  </si>
  <si>
    <t>INV(BAL) / 2021-2022 / 5971</t>
  </si>
  <si>
    <t>INV(BAL) / 2021-2022 / 5974</t>
  </si>
  <si>
    <t>OSBC/BAL/MR/6729/2021-2022</t>
  </si>
  <si>
    <t>OSBC/BAL/MR/6741/2021-2022</t>
  </si>
  <si>
    <t>INV(BAL) / 2021-2022 / 6294</t>
  </si>
  <si>
    <t>OSBC/BAL/MR/6920/2021-2022</t>
  </si>
  <si>
    <t>INV(BAL) / 2021-2022 / 6424</t>
  </si>
  <si>
    <t>INV(BAL) / 2021-2022 / 6434</t>
  </si>
  <si>
    <t>OSBC/BAL/MR/7192/2021-2022</t>
  </si>
  <si>
    <t>OSBC/BAL/MR/7221/2021-2022</t>
  </si>
  <si>
    <t>OSBC/BAL/MR/7225/2021-2022</t>
  </si>
  <si>
    <t>OSBC/BAL/MR/7230/2021-2022</t>
  </si>
  <si>
    <t>INV(BAL) / 2021-2022 / 6646</t>
  </si>
  <si>
    <t>OSBC/BAL/MR/7442/2021-2022</t>
  </si>
  <si>
    <t>INV(BAL) / 2021-2022 / 6950</t>
  </si>
  <si>
    <t>INV(BAL) / 2021-2022 / 6951</t>
  </si>
  <si>
    <t>OSBC/BAL/MR/7676/2021-2022</t>
  </si>
  <si>
    <t>INV(BAL) / 2021-2022 / 7092</t>
  </si>
  <si>
    <t>OSBC/BAL/MR/7938/2021-2022</t>
  </si>
  <si>
    <t>OSBC/BAL/MR/7957/2021-2022</t>
  </si>
  <si>
    <t>INV(BAL) / 2021-2022 / 7399</t>
  </si>
  <si>
    <t>INV(BAL) / 2021-2022 / 7409</t>
  </si>
  <si>
    <t>OSBC/BAL/MR/8220/2021-2022</t>
  </si>
  <si>
    <t>INV(BAL) / 2021-2022 / 7643</t>
  </si>
  <si>
    <t>INV(BAL) / 2021-2022 / 7644</t>
  </si>
  <si>
    <t>OSBC/BAL/MR/8620/2021-2022</t>
  </si>
  <si>
    <t>OSBC/BAL/MR/8631/2021-2022</t>
  </si>
  <si>
    <t>INV(BAL) / 2021-2022 / 8009</t>
  </si>
  <si>
    <t>INV(BAL) / 2021-2022 / 8010</t>
  </si>
  <si>
    <t>OSBC/BAL/MR/8885/2021-2022</t>
  </si>
  <si>
    <t>INV(BAL) / 2021-2022 / 8227</t>
  </si>
  <si>
    <t>INV(BAL) / 2021-2022 / 8236</t>
  </si>
  <si>
    <t>OSBC/BAL/MR/9210/2021-2022</t>
  </si>
  <si>
    <t>INV(BAL) / 2021-2022 / 8473</t>
  </si>
  <si>
    <t>INV(BAL) / 2021-2022 / 8474</t>
  </si>
  <si>
    <t>OSBC/BAL/MR/9615/2021-2022</t>
  </si>
  <si>
    <t>INV(BAL) / 2021-2022 / 8822</t>
  </si>
  <si>
    <t>INV(BAL) / 2021-2022 / 8823</t>
  </si>
  <si>
    <t>OSBC/BAL/MR/9846/2021-2022</t>
  </si>
  <si>
    <t>OSBC/BAL/MR/9857/2021-2022</t>
  </si>
  <si>
    <t>OSBC/BAL/MR/9860/2021-2022</t>
  </si>
  <si>
    <t>INV(BAL) / 2021-2022 / 9003</t>
  </si>
  <si>
    <t>INV(BAL) / 2021-2022 / 9008</t>
  </si>
  <si>
    <t>OSBC/BAL/MR/10069/2021-2022</t>
  </si>
  <si>
    <t>INV(BAL) / 2021-2022 / 9182</t>
  </si>
  <si>
    <t>OSBC/BAL/MR/10251/2021-2022</t>
  </si>
  <si>
    <t>OSBC/BAL/MR/10252/2021-2022</t>
  </si>
  <si>
    <t>INV(BAL) / 2021-2022 / 9330</t>
  </si>
  <si>
    <t>INV(BAL) / 2021-2022 / 9331</t>
  </si>
  <si>
    <t>OSBC/BAL/MR/10597/2021-2022</t>
  </si>
  <si>
    <t>OSBC/BAL/MR/10602/2021-2022</t>
  </si>
  <si>
    <t>INV(BAL) / 2021-2022 / 9616</t>
  </si>
  <si>
    <t>INV(BAL) / 2021-2022 / 9618</t>
  </si>
  <si>
    <t>OSBC/BAL/MR/10816/2021-2022</t>
  </si>
  <si>
    <t>INV(BAL) / 2021-2022 / 9775</t>
  </si>
  <si>
    <t>INV(BAL) / 2021-2022 / 9776</t>
  </si>
  <si>
    <t>OSBC/BAL/MR/11180/2021-2022</t>
  </si>
  <si>
    <t>INV(BAL) / 2021-2022 / 10115</t>
  </si>
  <si>
    <t>INV(BAL) / 2021-2022 / 10116</t>
  </si>
  <si>
    <t>OSBC/BAL/MR/11397/2021-2022</t>
  </si>
  <si>
    <t>OSBC/BAL/MR/11399/2021-2022</t>
  </si>
  <si>
    <t>INV(BAL) / 2021-2022 / 10281</t>
  </si>
  <si>
    <t>OSBC/BAL/MR/11727/2021-2022</t>
  </si>
  <si>
    <t>INV(BAL) / 2021-2022 / 10590</t>
  </si>
  <si>
    <t>INV(BAL) / 2021-2022 / 10591</t>
  </si>
  <si>
    <t>OSBC/BAL/MR/11976/2021-2022</t>
  </si>
  <si>
    <t>OSBC/BAL/MR/11986/2021-2022</t>
  </si>
  <si>
    <t>INV(BAL) / 2021-2022 / 10792</t>
  </si>
  <si>
    <t>INV(BAL) / 2021-2022 / 10793</t>
  </si>
  <si>
    <t>OSBC/BAL/MR/12394/2021-2022</t>
  </si>
  <si>
    <t>INV(BAL) / 2021-2022 / 11173</t>
  </si>
  <si>
    <t>INV(BAL) / 2021-2022 / 11174</t>
  </si>
  <si>
    <t>OSBC/BAL/MR/12659/2021-2022</t>
  </si>
  <si>
    <t>INV(BAL) / 2021-2022 / 11403</t>
  </si>
  <si>
    <t>INV(BAL) / 2021-2022 / 11404</t>
  </si>
  <si>
    <t>OSBC/BAL/MR/12826/2021-2022</t>
  </si>
  <si>
    <t>INV(BAL) / 2021-2022 / 11531</t>
  </si>
  <si>
    <t>OSBC/BAL/MR/13014/2021-2022</t>
  </si>
  <si>
    <t>INV(BAL) / 2021-2022 / 11691</t>
  </si>
  <si>
    <t>INV(BAL) / 2021-2022 / 11692</t>
  </si>
  <si>
    <t>OSBC/BAL/MR/13418/2021-2022</t>
  </si>
  <si>
    <t>INV(BAL) / 2021-2022 / 12027</t>
  </si>
  <si>
    <t>INV(BAL) / 2021-2022 / 12028</t>
  </si>
  <si>
    <t>OSBC/BAL/MR/13669/2021-2022</t>
  </si>
  <si>
    <t>INV(BAL) / 2021-2022 / 12221</t>
  </si>
  <si>
    <t>OSBC/BAL/MR/13994/2021-2022</t>
  </si>
  <si>
    <t>INV(BAL) / 2021-2022 / 12478</t>
  </si>
  <si>
    <t>INV(BAL) / 2021-2022 / 12479</t>
  </si>
  <si>
    <t>OSBC/BAL/MR/14254/2021-2022</t>
  </si>
  <si>
    <t>INV(BAL) / 2021-2022 / 12681</t>
  </si>
  <si>
    <t>INV(BAL) / 2021-2022 / 12682</t>
  </si>
  <si>
    <t>OSBC/BAL/MR/14618/2021-2022</t>
  </si>
  <si>
    <t>INV(BAL) / 2021-2022 / 12992</t>
  </si>
  <si>
    <t>INV(BAL) / 2021-2022 / 12993</t>
  </si>
  <si>
    <t>OSBC/BAL/MR/14971/2021-2022</t>
  </si>
  <si>
    <t>INV(BAL) / 2021-2022 / 13261</t>
  </si>
  <si>
    <t>OSBC/BAL/MR/15080/2021-2022</t>
  </si>
  <si>
    <t>INV(BAL) / 2021-2022 / 13365</t>
  </si>
  <si>
    <t>INV(BAL) / 2021-2022 / 13366</t>
  </si>
  <si>
    <t>OSBC/BAL/MR/15159/2021-2022</t>
  </si>
  <si>
    <t>OSBC/BAL/MR/15179/2021-2022</t>
  </si>
  <si>
    <t>INV(BAL) / 2021-2022 / 13421</t>
  </si>
  <si>
    <t>OSBC/BAL/MR/15419/2021-2022</t>
  </si>
  <si>
    <t>INV(BAL) / 2021-2022 / 13612</t>
  </si>
  <si>
    <t>INV(BAL) / 2021-2022 / 13617</t>
  </si>
  <si>
    <t>OSBC/BAL/MR/15966/2021-2022</t>
  </si>
  <si>
    <t>INV(BAL) / 2021-2022 / 14065</t>
  </si>
  <si>
    <t>INV(BAL) / 2021-2022 / 14084</t>
  </si>
  <si>
    <t>OSBC/BAL/MR/16181/2021-2022</t>
  </si>
  <si>
    <t>INV(BAL) / 2021-2022 / 14265</t>
  </si>
  <si>
    <t>INV(BAL) / 2021-2022 / 14272</t>
  </si>
  <si>
    <t>OSBC/BAL/MR/16728/2021-2022</t>
  </si>
  <si>
    <t>INV(BAL) / 2021-2022 / 14735</t>
  </si>
  <si>
    <t>OSBC/BAL/MR/17014/2021-2022</t>
  </si>
  <si>
    <t>INV(BAL) / 2021-2022 / 14971</t>
  </si>
  <si>
    <t>INV(BAL) / 2021-2022 / 14972</t>
  </si>
  <si>
    <t>OSBC/BAL/MR/17457/2021-2022</t>
  </si>
  <si>
    <t>INV(BAL) / 2021-2022 / 15290</t>
  </si>
  <si>
    <t>OSBC/BAL/MR/17874/2021-2022</t>
  </si>
  <si>
    <t>INV(BAL) / 2021-2022 / 15643</t>
  </si>
  <si>
    <t>INV(BAL) / 2021-2022 / 15668</t>
  </si>
  <si>
    <t>OSBC/BAL/MR/18217/2021-2022</t>
  </si>
  <si>
    <t>OSBC/BAL/MR/18326/2021-2022</t>
  </si>
  <si>
    <t>INV(BAL) / 2021-2022 / 16035</t>
  </si>
  <si>
    <t>INV(BAL) / 2021-2022 / 16036</t>
  </si>
  <si>
    <t>OSBC/BAL/MR/18697/2021-2022</t>
  </si>
  <si>
    <t>INV(BAL) / 2021-2022 / 16301</t>
  </si>
  <si>
    <t>INV(BAL) / 2021-2022 / 16302</t>
  </si>
  <si>
    <t>OSBC/BAL/MR/19013/2021-2022</t>
  </si>
  <si>
    <t>INV(BAL) / 2021-2022 / 16547</t>
  </si>
  <si>
    <t>INV(BAL) / 2021-2022 / 16548</t>
  </si>
  <si>
    <t>OSBC/BAL/MR/19367/2021-2022</t>
  </si>
  <si>
    <t>INV(BAL) / 2021-2022 / 16855</t>
  </si>
  <si>
    <t>INV(BAL) / 2021-2022 / 16860</t>
  </si>
  <si>
    <t>OSBC/BAL/MR/19653/2021-2022</t>
  </si>
  <si>
    <t>INV(BAL) / 2021-2022 / 17075</t>
  </si>
  <si>
    <t>OSBC/BAL/MR/19909/2021-2022</t>
  </si>
  <si>
    <t>INV(BAL) / 2021-2022 / 17260</t>
  </si>
  <si>
    <t>INV(BAL) / 2021-2022 / 17262</t>
  </si>
  <si>
    <t>OSBC/BAL/MR/20398/2021-2022</t>
  </si>
  <si>
    <t>INV(BAL) / 2021-2022 / 17608</t>
  </si>
  <si>
    <t>OSBC/BAL/MR/20798/2021-2022</t>
  </si>
  <si>
    <t>INV(BAL) / 2021-2022 / 17889</t>
  </si>
  <si>
    <t>INV(BAL) / 2021-2022 / 17890</t>
  </si>
  <si>
    <t>OSBC/BAL/MR/21003/2021-2022</t>
  </si>
  <si>
    <t>OSBC/BAL/MR/21022/2021-2022</t>
  </si>
  <si>
    <t>INV(BAL) / 2021-2022 / 18041</t>
  </si>
  <si>
    <t>OSBC/BAL/MR/21378/2021-2022</t>
  </si>
  <si>
    <t>INV(BAL) / 2021-2022 / 18303</t>
  </si>
  <si>
    <t>INV(BAL) / 2021-2022 / 18316</t>
  </si>
  <si>
    <t>OSBC/BAL/MR/21659/2021-2022</t>
  </si>
  <si>
    <t>INV(BAL) / 2021-2022 / 18517</t>
  </si>
  <si>
    <t>OSBC/BAL/MR/22061/2021-2022</t>
  </si>
  <si>
    <t>INV(BAL) / 2021-2022 / 18788</t>
  </si>
  <si>
    <t>OSBC/BAL/MR/22300/2021-2022</t>
  </si>
  <si>
    <t>OSBC/BAL/MR/22301/2021-2022</t>
  </si>
  <si>
    <t>OSBC/BAL/MR/22302/2021-2022</t>
  </si>
  <si>
    <t>OSBC/BAL/MR/22303/2021-2022</t>
  </si>
  <si>
    <t>INV(BAL) / 2021-2022 / 18978</t>
  </si>
  <si>
    <t>INV(BAL) / 2021-2022 / 18979</t>
  </si>
  <si>
    <t>OSBC/BAL/MR/22728/2021-2022</t>
  </si>
  <si>
    <t>INV(BAL) / 2021-2022 / 19402</t>
  </si>
  <si>
    <t>OSBC/BAL/MR/23043/2021-2022</t>
  </si>
  <si>
    <t>INV(BAL) / 2021-2022 / 19513</t>
  </si>
  <si>
    <t>OSBC/BAL/MR/23465/2021-2022</t>
  </si>
  <si>
    <t>INV(BAL) / 2021-2022 / 19811</t>
  </si>
  <si>
    <t>OSBC/BAL/MR/23719/2021-2022</t>
  </si>
  <si>
    <t>INV(BAL) / 2021-2022 / 20030</t>
  </si>
  <si>
    <t>OSBC/BAL/MR/23847/2021-2022</t>
  </si>
  <si>
    <t>INV(BAL) / 2021-2022 / 20082</t>
  </si>
  <si>
    <t>OSBC/BAL/MR/24903/2021-2022</t>
  </si>
  <si>
    <t>INV(BAL) / 2021-2022 / 20822</t>
  </si>
  <si>
    <t>OSBC/BAL/MR/25108/2021-2022</t>
  </si>
  <si>
    <t>INV(BAL) / 2021-2022 / 20961</t>
  </si>
  <si>
    <t>OSBC/BAL/MR/25523/2021-2022</t>
  </si>
  <si>
    <t>INV(BAL) / 2021-2022 / 21261</t>
  </si>
  <si>
    <t>OSBC/BAL/MR/25648/2021-2022</t>
  </si>
  <si>
    <t>INV(BAL) / 2021-2022 / 21369</t>
  </si>
  <si>
    <t>INV(BAL) / 2021-2022 / 21370</t>
  </si>
  <si>
    <t>OSBC/BAL/MR/26529/2021-2022</t>
  </si>
  <si>
    <t>INV(BAL) / 2021-2022 / 21971</t>
  </si>
  <si>
    <t>INV(BAL) / 2021-2022 / 21972</t>
  </si>
  <si>
    <t>INV(BAL) / 2021-2022 / 22622</t>
  </si>
  <si>
    <t>OSBC/BAL/MR/33402/2021-2022</t>
  </si>
  <si>
    <t>OSBC/BAL/MR/33403/2021-2022</t>
  </si>
  <si>
    <t>OSBC/BAL/MR/33404/2021-2022</t>
  </si>
  <si>
    <t>INV(BAL) / 2021-2022 / 27352</t>
  </si>
  <si>
    <t>INV(BAL) / 2021-2022 / 27353</t>
  </si>
  <si>
    <t>OSBC/BAL/MR/2361/2022-2023</t>
  </si>
  <si>
    <t>OSBC/BAL/MR/2465/2022-2023</t>
  </si>
  <si>
    <t>INV(BAL) / 2022-2023 / 2324</t>
  </si>
  <si>
    <t>INV(BAL) / 2022-2023 / 2325</t>
  </si>
  <si>
    <t>OSBC/BAL/MR/3462/2022-2023</t>
  </si>
  <si>
    <t>INV(BAL) / 2022-2023 / 3323</t>
  </si>
  <si>
    <t>INV(BAL) / 2022-2023 / 3324</t>
  </si>
  <si>
    <t>OSBC/BAL/MR/4433/2022-2023</t>
  </si>
  <si>
    <t>INV(BAL) / 2022-2023 / 3898</t>
  </si>
  <si>
    <t>OSBC/BAL/MR/5520/2022-2023</t>
  </si>
  <si>
    <t>INV(BAL) / 2022-2023 / 4920</t>
  </si>
  <si>
    <t>OSBC/BAL/MR/6263/2022-2023</t>
  </si>
  <si>
    <t>INV(BAL) / 2022-2023 / 5593</t>
  </si>
  <si>
    <t>OSBC/BAL/MR/6682/2022-2023</t>
  </si>
  <si>
    <t>INV(BAL) / 2022-2023 / 5964</t>
  </si>
  <si>
    <t>INV(BAL) / 2022-2023 / 6023</t>
  </si>
  <si>
    <t>OSBC/BAL/MR/8000/2022-2023</t>
  </si>
  <si>
    <t>INV(BAL) / 2022-2023 / 7083</t>
  </si>
  <si>
    <t>OSBC/BAL/MR/8714/2022-2023</t>
  </si>
  <si>
    <t>INV(BAL) / 2022-2023 / 7860</t>
  </si>
  <si>
    <t>INV(BAL) / 2022-2023 / 8276</t>
  </si>
  <si>
    <t>OSBC/BAL/MR/9522/2022-2023</t>
  </si>
  <si>
    <t>INV(BAL) / 2022-2023 / 8583</t>
  </si>
  <si>
    <t>OSBC/BAL/MR/9957/2022-2023</t>
  </si>
  <si>
    <t>INV(BAL) / 2022-2023 / 9009</t>
  </si>
  <si>
    <t>OSBC/BAL/MR/10419/2022-2023</t>
  </si>
  <si>
    <t>OSBC/BAL/MR/10877/2022-2023</t>
  </si>
  <si>
    <t>INV(BAL) / 2022-2023 / 9831</t>
  </si>
  <si>
    <t>OSBC/BAL/MR/11330/2022-2023</t>
  </si>
  <si>
    <t>INV(BAL) / 2022-2023 / 10361</t>
  </si>
  <si>
    <t>INV(BAL) / 2022-2023 / 10362</t>
  </si>
  <si>
    <t>INV(BAL) / 2022-2023 / 11542</t>
  </si>
  <si>
    <t>OSBC/BAL/MR/13325/2022-2023</t>
  </si>
  <si>
    <t>INV(BAL) / 2022-2023 / 12253</t>
  </si>
  <si>
    <t>OSBC/BAL/MR/14350/2022-2023</t>
  </si>
  <si>
    <t>INV(BAL) / 2022-2023 / 13136</t>
  </si>
  <si>
    <t>OSBC/BAL/MR/15239/2022-2023</t>
  </si>
  <si>
    <t>OSBC/BAL/MR/15471/2022-2023</t>
  </si>
  <si>
    <t>INV(BAL) / 2022-2023 / 14040</t>
  </si>
  <si>
    <t>INV(BAL) / 2022-2023 / 14041</t>
  </si>
  <si>
    <t>OSBC/BAL/MR/16307/2022-2023</t>
  </si>
  <si>
    <t>INV(BAL) / 2022-2023 / 14718</t>
  </si>
  <si>
    <t>OSBC/BAL/MR/16560/2022-2023</t>
  </si>
  <si>
    <t>INV(BAL) / 2022-2023 / 14913</t>
  </si>
  <si>
    <t>OSBC/BAL/MR/17354/2022-2023</t>
  </si>
  <si>
    <t>INV(BAL) / 2022-2023 / 15571</t>
  </si>
  <si>
    <t>INV(BAL) / 2022-2023 / 15572</t>
  </si>
  <si>
    <t>OSBC/BAL/MR/17631/2022-2023</t>
  </si>
  <si>
    <t>INV(BAL) / 2022-2023 / 15767</t>
  </si>
  <si>
    <t>OSBC/BAL/MR/18449/2022-2023</t>
  </si>
  <si>
    <t>INV(BAL) / 2022-2023 / 16467</t>
  </si>
  <si>
    <t>INV(BAL) / 2022-2023 / 16468</t>
  </si>
  <si>
    <t>OSBC/BAL/MR/19384/2022-2023</t>
  </si>
  <si>
    <t>OSBC/BAL/MR/19449/2022-2023</t>
  </si>
  <si>
    <t>INV(BAL) / 2022-2023 / 17269</t>
  </si>
  <si>
    <t>INV(BAL) / 2022-2023 / 17270</t>
  </si>
  <si>
    <t>OSBC/BAL/MR/20415/2022-2023</t>
  </si>
  <si>
    <t>OSBC/BAL/MR/20423/2022-2023</t>
  </si>
  <si>
    <t>INV(BAL) / 2022-2023 / 17977</t>
  </si>
  <si>
    <t>OSBC/BAL/MR/20754/2022-2023</t>
  </si>
  <si>
    <t>INV(BAL) / 2022-2023 / 18295</t>
  </si>
  <si>
    <t>INV(BAL) / 2022-2023 / 18307</t>
  </si>
  <si>
    <t>OSBC/BAL/MR/21475/2022-2023</t>
  </si>
  <si>
    <t>INV(BAL) / 2022-2023 / 18889</t>
  </si>
  <si>
    <t>INV(BAL) / 2022-2023 / 18897</t>
  </si>
  <si>
    <t>OSBC/BAL/MR/22121/2022-2023</t>
  </si>
  <si>
    <t>INV(BAL) / 2022-2023 / 19390</t>
  </si>
  <si>
    <t>OSBC/BAL/MR/22491/2022-2023</t>
  </si>
  <si>
    <t>INV(BAL) / 2022-2023 / 19651</t>
  </si>
  <si>
    <t>OSBC/BAL/MR/22731/2022-2023</t>
  </si>
  <si>
    <t>INV(BAL) / 2022-2023 / 19851</t>
  </si>
  <si>
    <t>OSBC/BAL/MR/23195/2022-2023</t>
  </si>
  <si>
    <t>INV(BAL) / 2022-2023 / 20204</t>
  </si>
  <si>
    <t>OSBC/BAL/MR/24347/2022-2023</t>
  </si>
  <si>
    <t>OSBC/BAL/MR/24354/2022-2023</t>
  </si>
  <si>
    <t>INV(BAL) / 2022-2023 / 21111</t>
  </si>
  <si>
    <t>OSBC/BAL/MR/25196/2022-2023</t>
  </si>
  <si>
    <t>INV(BAL) / 2022-2023 / 21780</t>
  </si>
  <si>
    <t>OSBC/BAL/MR/25670/2022-2023</t>
  </si>
  <si>
    <t>INV(BAL) / 2022-2023 / 22078</t>
  </si>
  <si>
    <t>OSBC/BAL/MR/26024/2022-2023</t>
  </si>
  <si>
    <t>INV(BAL) / 2022-2023 / 22428</t>
  </si>
  <si>
    <t>INV(BAL) / 2022-2023 / 22429</t>
  </si>
  <si>
    <t>OSBC/BAL/MR/26378/2022-2023</t>
  </si>
  <si>
    <t>INV(BAL) / 2022-2023 / 22670</t>
  </si>
  <si>
    <t>OSBC/BAL/MR/26541/2022-2023</t>
  </si>
  <si>
    <t>INV(BAL) / 2022-2023 / 22783</t>
  </si>
  <si>
    <t>OSBC/BAL/MR/26798/2022-2023</t>
  </si>
  <si>
    <t>OSBC/BAL/MR/27069/2022-2023</t>
  </si>
  <si>
    <t>INV(BAL) / 2022-2023 / 23165</t>
  </si>
  <si>
    <t>INV(BAL) / 2022-2023 / 23167</t>
  </si>
  <si>
    <t>OSBC/BAL/MR/27866/2022-2023</t>
  </si>
  <si>
    <t>OSBC/BAL/MR/27867/2022-2023</t>
  </si>
  <si>
    <t>INV(BAL) / 2022-2023 / 23760</t>
  </si>
  <si>
    <t>OSBC/BAL/MR/28319/2022-2023</t>
  </si>
  <si>
    <t>INV(BAL) / 2022-2023 / 24068</t>
  </si>
  <si>
    <t>INV(BAL) / 2022-2023 / 24070</t>
  </si>
  <si>
    <t>OSBC/BAL/MR/29634/2022-2023</t>
  </si>
  <si>
    <t>INV(BAL) / 2022-2023 / 25016</t>
  </si>
  <si>
    <t>INV(BAL) / 2022-2023 / 25019</t>
  </si>
  <si>
    <t>OSBC/BAL/MR/30913/2022-2023</t>
  </si>
  <si>
    <t>INV(BAL) / 2022-2023 / 25864</t>
  </si>
  <si>
    <t>OSBC/BAL/MR/31550/2022-2023</t>
  </si>
  <si>
    <t>INV(BAL) / 2022-2023 / 26297</t>
  </si>
  <si>
    <t>OSBC/BAL/MR/33421/2022-2023</t>
  </si>
  <si>
    <t>OSBC/BAL/MR/33429/2022-2023</t>
  </si>
  <si>
    <t>INV(BAL) / 2022-2023 / 27596</t>
  </si>
  <si>
    <t>OSBC/BAL/MR/34231/2022-2023</t>
  </si>
  <si>
    <t>OSBC/BAL/MR/34323/2022-2023</t>
  </si>
  <si>
    <t>OSBC/BAL/MR/34326/2022-2023</t>
  </si>
  <si>
    <t>INV(BAL) / 2022-2023 / 28273</t>
  </si>
  <si>
    <t>INV(BAL) / 2022-2023 / 28278</t>
  </si>
  <si>
    <t>OSBC/BAL/MR/34998/2022-2023</t>
  </si>
  <si>
    <t>INV(BAL) / 2022-2023 / 28771</t>
  </si>
  <si>
    <t>OSBC/BAL/MR/36231/2022-2023</t>
  </si>
  <si>
    <t>INV(BAL) / 2022-2023 / 29711</t>
  </si>
  <si>
    <t>OSBC/BAL/MR/36630/2022-2023</t>
  </si>
  <si>
    <t>INV(BAL) / 2022-2023 / 30016</t>
  </si>
  <si>
    <t>OSBC/BAL/MR/37495/2022-2023</t>
  </si>
  <si>
    <t>INV(BAL) / 2022-2023 / 30684</t>
  </si>
  <si>
    <t>OSBC/BAL/MR/38856/2022-2023</t>
  </si>
  <si>
    <t>INV(BAL) / 2022-2023 / 31623</t>
  </si>
  <si>
    <t>OSBC/BAL/MR/39753/2022-2023</t>
  </si>
  <si>
    <t>INV(BAL) / 2022-2023 / 32258</t>
  </si>
  <si>
    <t>OSBC/BAL/MR/39916/2022-2023</t>
  </si>
  <si>
    <t>INV(BAL) / 2022-2023 / 32413</t>
  </si>
  <si>
    <t>OSBC/BAL/MR/40419/2022-2023</t>
  </si>
  <si>
    <t>INV(BAL) / 2022-2023 / 32733</t>
  </si>
  <si>
    <t>OSBC/BAL/MR/43812/2022-2023</t>
  </si>
  <si>
    <t>OSBC/BAL/MR/43920/2022-2023</t>
  </si>
  <si>
    <t>INV(BAL) / 2022-2023 / 35374</t>
  </si>
  <si>
    <t>OSBC/BAL/MR/248/2023-2024</t>
  </si>
  <si>
    <t>OSBC/BAL/MR/249/2023-2024</t>
  </si>
  <si>
    <t>INV(BAL) / 2023-2024 / 228</t>
  </si>
  <si>
    <t>INV(BAL) / 2023-2024 / 230</t>
  </si>
  <si>
    <t>INV(BAL) / 2023-2024 / 560</t>
  </si>
  <si>
    <t>INV(BAL) / 2023-2024 / 561</t>
  </si>
  <si>
    <t>OSBC/BAL/MR/3166/2023-2024</t>
  </si>
  <si>
    <t>INV(BAL) / 2023-2024 / 2540</t>
  </si>
  <si>
    <t>INV(BAL) / 2023-2024 / 2541</t>
  </si>
  <si>
    <t>OSBC/BAL/MR/4084/2023-2024</t>
  </si>
  <si>
    <t>OSBC/BAL/MR/4087/2023-2024</t>
  </si>
  <si>
    <t>INV(BAL) / 2023-2024 / 3190</t>
  </si>
  <si>
    <t>OSBC/BAL/MR/4392/2023-2024</t>
  </si>
  <si>
    <t>INV(BAL) / 2023-2024 / 3389</t>
  </si>
  <si>
    <t>OSBC/BAL/MR/4952/2023-2024</t>
  </si>
  <si>
    <t>INV(BAL) / 2023-2024 / 3917</t>
  </si>
  <si>
    <t>OSBC/BAL/MR/5200/2023-2024</t>
  </si>
  <si>
    <t>OSBC/BAL/MR/5468/2023-2024</t>
  </si>
  <si>
    <t>INV(BAL) / 2023-2024 / 4358</t>
  </si>
  <si>
    <t>OSBC/BAL/MR/6988/2023-2024</t>
  </si>
  <si>
    <t>INV(BAL) / 2023-2024 / 5613</t>
  </si>
  <si>
    <t>INV(BAL) / 2023-2024 / 5614</t>
  </si>
  <si>
    <t>OSBC/BAL/MR/7520/2023-2024</t>
  </si>
  <si>
    <t>INV(BAL) / 2023-2024 / 6031</t>
  </si>
  <si>
    <t>INV(BAL) / 2023-2024 / 6032</t>
  </si>
  <si>
    <t>INV(BAL) / 2023-2024 / 6795</t>
  </si>
  <si>
    <t>OSBC/BAL/MR/9064/2023-2024</t>
  </si>
  <si>
    <t>INV(BAL) / 2023-2024 / 7633</t>
  </si>
  <si>
    <t>OSBC/BAL/MR/9835/2023-2024</t>
  </si>
  <si>
    <t>OSBC/BAL/MR/9979/2023-2024</t>
  </si>
  <si>
    <t>INV(BAL) / 2023-2024 / 8765</t>
  </si>
  <si>
    <t>INV(BAL) / 2023-2024 / 8766</t>
  </si>
  <si>
    <t>OSBC/BAL/MR/10200/2023-2024</t>
  </si>
  <si>
    <t>INV(BAL) / 2023-2024 / 9177</t>
  </si>
  <si>
    <t>OSBC/BAL/MR/10723/2023-2024</t>
  </si>
  <si>
    <t>INV(BAL) / 2023-2024 / 9656</t>
  </si>
  <si>
    <t>OSBC/BAL/MR/11127/2023-2024</t>
  </si>
  <si>
    <t>INV(BAL) / 2023-2024 / 10078</t>
  </si>
  <si>
    <t>INV(BAL) / 2023-2024 / 10079</t>
  </si>
  <si>
    <t>OSBC/BAL/MR/11791/2023-2024</t>
  </si>
  <si>
    <t>INV(BAL) / 2023-2024 / 10673</t>
  </si>
  <si>
    <t>OSBC/BAL/MR/12476/2023-2024</t>
  </si>
  <si>
    <t>INV(BAL) / 2023-2024 / 11228</t>
  </si>
  <si>
    <t>INV(BAL) / 2023-2024 / 11229</t>
  </si>
  <si>
    <t>OSBC/BAL/MR/13748/2023-2024</t>
  </si>
  <si>
    <t>OSBC/BAL/MR/13811/2023-2024</t>
  </si>
  <si>
    <t>INV(BAL) / 2023-2024 / 12401</t>
  </si>
  <si>
    <t>INV(BAL) / 2023-2024 / 12402</t>
  </si>
  <si>
    <t>OSBC/BAL/MR/15321/2023-2024</t>
  </si>
  <si>
    <t>INV(BAL) / 2023-2024 / 13615</t>
  </si>
  <si>
    <t>OSBC/BAL/MR/16420/2023-2024</t>
  </si>
  <si>
    <t>INV(BAL) / 2023-2024 / 14414</t>
  </si>
  <si>
    <t>INV(BAL) / 2023-2024 / 14415</t>
  </si>
  <si>
    <t>OSBC/BAL/MR/17600/2023-2024</t>
  </si>
  <si>
    <t>INV(BAL) / 2023-2024 / 15294</t>
  </si>
  <si>
    <t>OSBC/BAL/MR/18299/2023-2024</t>
  </si>
  <si>
    <t>INV(BAL) / 2023-2024 / 15834</t>
  </si>
  <si>
    <t>INV(BAL) / 2023-2024 / 15835</t>
  </si>
  <si>
    <t>OSBC/BAL/MR/19285/2023-2024</t>
  </si>
  <si>
    <t>INV(BAL) / 2023-2024 / 16615</t>
  </si>
  <si>
    <t>OSBC/BAL/MR/20220/2023-2024</t>
  </si>
  <si>
    <t>INV(BAL) / 2023-2024 / 17340</t>
  </si>
  <si>
    <t>INV(BAL) / 2023-2024 / 17341</t>
  </si>
  <si>
    <t>INV(BAL) / 2023-2024 / 17796</t>
  </si>
  <si>
    <t>OSBC/BAL/MR/21099/2023-2024</t>
  </si>
  <si>
    <t>INV(BAL) / 2023-2024 / 17956</t>
  </si>
  <si>
    <t>OSBC/BAL/MR/22327/2023-2024</t>
  </si>
  <si>
    <t>OSBC/BAL/MR/22335/2023-2024</t>
  </si>
  <si>
    <t>INV(BAL) / 2023-2024 / 18989</t>
  </si>
  <si>
    <t>INV(BAL) / 2023-2024 / 18990</t>
  </si>
  <si>
    <t>OSBC/BAL/MR/23482/2023-2024</t>
  </si>
  <si>
    <t>INV(BAL) / 2023-2024 / 19819</t>
  </si>
  <si>
    <t>OSBC/BAL/MR/24404/2023-2024</t>
  </si>
  <si>
    <t>INV(BAL) / 2023-2024 / 20552</t>
  </si>
  <si>
    <t>INV(BAL) / 2023-2024 / 20553</t>
  </si>
  <si>
    <t>OSBC/BAL/MR/25363/2023-2024</t>
  </si>
  <si>
    <t>INV(BAL) / 2023-2024 / 21306</t>
  </si>
  <si>
    <t>INV(BAL) / 2023-2024 / 21307</t>
  </si>
  <si>
    <t>OSBC/BAL/MR/26953/2023-2024</t>
  </si>
  <si>
    <t>INV(BAL) / 2023-2024 / 22402</t>
  </si>
  <si>
    <t>OSBC/BAL/MR/27546/2023-2024</t>
  </si>
  <si>
    <t>OSBC/BAL/MR/27548/2023-2024</t>
  </si>
  <si>
    <t>INV(BAL) / 2023-2024 / 22895</t>
  </si>
  <si>
    <t>INV(BAL) / 2023-2024 / 22896</t>
  </si>
  <si>
    <t>OSBC/BAL/MR/28275/2023-2024</t>
  </si>
  <si>
    <t>INV(BAL) / 2023-2024 / 23357</t>
  </si>
  <si>
    <t>INV(BAL) / 2023-2024 / 23358</t>
  </si>
  <si>
    <t>OSBC/BAL/MR/29148/2023-2024</t>
  </si>
  <si>
    <t>INV(BAL) / 2023-2024 / 24049</t>
  </si>
  <si>
    <t>INV(BAL) / 2023-2024 / 24050</t>
  </si>
  <si>
    <t>OSBC/BAL/MR/30591/2023-2024</t>
  </si>
  <si>
    <t>INV(BAL) / 2023-2024 / 25038</t>
  </si>
  <si>
    <t>OSBC/BAL/MR/30737/2023-2024</t>
  </si>
  <si>
    <t>INV(BAL) / 2023-2024 / 25169</t>
  </si>
  <si>
    <t>INV(BAL) / 2023-2024 / 25171</t>
  </si>
  <si>
    <t>OSBC/BAL/MR/31409/2023-2024</t>
  </si>
  <si>
    <t>INV(BAL) / 2023-2024 / 25631</t>
  </si>
  <si>
    <t>OSBC/BAL/MR/33228/2023-2024</t>
  </si>
  <si>
    <t>OSBC/BAL/MR/33273/2023-2024</t>
  </si>
  <si>
    <t>OSBC/BAL/MR/33275/2023-2024</t>
  </si>
  <si>
    <t>INV(BAL) / 2023-2024 / 26929</t>
  </si>
  <si>
    <t>INV(BAL) / 2023-2024 / 26930</t>
  </si>
  <si>
    <t>OSBC/BAL/MR/33795/2023-2024</t>
  </si>
  <si>
    <t>OSBC/BAL/MR/33808/2023-2024</t>
  </si>
  <si>
    <t>INV(BAL) / 2023-2024 / 27305</t>
  </si>
  <si>
    <t>OSBC/BAL/MR/35023/2023-2024</t>
  </si>
  <si>
    <t>INV(BAL) / 2023-2024 / 28303</t>
  </si>
  <si>
    <t>INV(BAL) / 2023-2024 / 28317</t>
  </si>
  <si>
    <t>OSBC/BAL/MR/35493/2023-2024</t>
  </si>
  <si>
    <t>INV(BAL) / 2023-2024 / 28606</t>
  </si>
  <si>
    <t>OSBC/BAL/MR/36687/2023-2024</t>
  </si>
  <si>
    <t>INV(BAL) / 2023-2024 / 29560</t>
  </si>
  <si>
    <t>INV(BAL) / 2023-2024 / 29561</t>
  </si>
  <si>
    <t>OSBC/BAL/MR/37885/2023-2024</t>
  </si>
  <si>
    <t>INV(BAL) / 2023-2024 / 30536</t>
  </si>
  <si>
    <t>OSBC/BAL/MR/38868/2023-2024</t>
  </si>
  <si>
    <t>INV(BAL) / 2023-2024 / 31338</t>
  </si>
  <si>
    <t>INV(BAL) / 2023-2024 / 31339</t>
  </si>
  <si>
    <t>OSBC/BAL/MR/40124/2023-2024</t>
  </si>
  <si>
    <t>INV(BAL) / 2023-2024 / 32313</t>
  </si>
  <si>
    <t>INV(BAL) / 2023-2024 / 32342</t>
  </si>
  <si>
    <t>OSBC/BAL/MR/41769/2023-2024</t>
  </si>
  <si>
    <t>OSBC/BAL/MR/41778/2023-2024</t>
  </si>
  <si>
    <t>INV(BAL) / 2023-2024 / 33627</t>
  </si>
  <si>
    <t>OSBC/BAL/MR/42867/2023-2024</t>
  </si>
  <si>
    <t>INV(BAL) / 2023-2024 / 34532</t>
  </si>
  <si>
    <t>OSBC/BAL/MR/43042/2023-2024</t>
  </si>
  <si>
    <t>OSBC/BAL/MR/43091/2023-2024</t>
  </si>
  <si>
    <t>INV(BAL) / 2023-2024 / 34743</t>
  </si>
  <si>
    <t>OSBC/BAL/MR/43733/2023-2024</t>
  </si>
  <si>
    <t>INV(BAL) / 2023-2024 / 35215</t>
  </si>
  <si>
    <t>OSBC/BAL/MR/45346/2023-2024</t>
  </si>
  <si>
    <t>INV(BAL) / 2023-2024 / 36483</t>
  </si>
  <si>
    <t>OSBC/BAL/MR/46474/2023-2024</t>
  </si>
  <si>
    <t>INV(BAL) / 2023-2024 / 37307</t>
  </si>
  <si>
    <t>Invoice Type</t>
  </si>
  <si>
    <t>Year</t>
  </si>
  <si>
    <t>VAT %</t>
  </si>
  <si>
    <t>TCS %</t>
  </si>
  <si>
    <t>LPL = .75BL</t>
  </si>
  <si>
    <t>Item</t>
  </si>
  <si>
    <t>Liters</t>
  </si>
  <si>
    <t>2021</t>
  </si>
  <si>
    <t>2022</t>
  </si>
  <si>
    <t>2023</t>
  </si>
  <si>
    <t>2024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</si>
  <si>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</si>
  <si>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</si>
  <si>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</si>
  <si>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</si>
  <si>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</si>
  <si>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</si>
  <si>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</si>
  <si>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</si>
  <si>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</si>
  <si>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</si>
  <si>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</si>
  <si>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</si>
  <si>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Row Labels</t>
  </si>
  <si>
    <t>CHECK</t>
  </si>
  <si>
    <t>Sum of Grand Total</t>
  </si>
  <si>
    <t>Month</t>
  </si>
  <si>
    <t>Total Amount</t>
  </si>
  <si>
    <t>Sum of Liters</t>
  </si>
  <si>
    <t>Volume(liters)</t>
  </si>
  <si>
    <t>MoM % Change amount</t>
  </si>
  <si>
    <t>MoM% Change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</si>
</sst>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465926084170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dashDot">
        <color rgb="FF00B0F0"/>
      </left>
      <right style="dashDot">
        <color rgb="FF00B0F0"/>
      </right>
      <top style="dashDot">
        <color rgb="FF00B0F0"/>
      </top>
      <bottom style="dashDot">
        <color rgb="FF00B0F0"/>
      </bottom>
      <diagonal/>
    </border>
    <border>
      <left style="dashDot">
        <color rgb="FF00B0F0"/>
      </left>
      <right style="medium">
        <color rgb="FF00B0F0"/>
      </right>
      <top style="dashDot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dashDot">
        <color rgb="FF00B0F0"/>
      </left>
      <right/>
      <top style="medium">
        <color rgb="FF00B0F0"/>
      </top>
      <bottom/>
      <diagonal/>
    </border>
    <border>
      <left style="dashDot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Dot">
        <color rgb="FF00B0F0"/>
      </top>
      <bottom/>
      <diagonal/>
    </border>
    <border>
      <left style="dashDot">
        <color rgb="FF00B0F0"/>
      </left>
      <right/>
      <top style="dashDot">
        <color rgb="FF00B0F0"/>
      </top>
      <bottom/>
      <diagonal/>
    </border>
    <border>
      <left style="dashDot">
        <color rgb="FF00B0F0"/>
      </left>
      <right style="medium">
        <color rgb="FF00B0F0"/>
      </right>
      <top style="dashDot">
        <color rgb="FF00B0F0"/>
      </top>
      <bottom/>
      <diagonal/>
    </border>
    <border>
      <left style="medium">
        <color rgb="FF00B0F0"/>
      </left>
      <right/>
      <top style="dashDot">
        <color rgb="FF00B0F0"/>
      </top>
      <bottom style="medium">
        <color rgb="FF00B0F0"/>
      </bottom>
      <diagonal/>
    </border>
    <border>
      <left style="dashDot">
        <color rgb="FF00B0F0"/>
      </left>
      <right/>
      <top style="dashDot">
        <color rgb="FF00B0F0"/>
      </top>
      <bottom style="medium">
        <color rgb="FF00B0F0"/>
      </bottom>
      <diagonal/>
    </border>
    <border>
      <left style="dashDot">
        <color rgb="FF00B0F0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 style="dashDot">
        <color theme="8"/>
      </bottom>
      <diagonal/>
    </border>
    <border>
      <left style="medium">
        <color theme="8"/>
      </left>
      <right style="medium">
        <color theme="8"/>
      </right>
      <top style="dashDot">
        <color theme="8"/>
      </top>
      <bottom style="medium">
        <color theme="8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0" applyNumberFormat="1"/>
    <xf numFmtId="14" fontId="0" fillId="0" borderId="0" xfId="0" applyNumberFormat="1"/>
    <xf numFmtId="44" fontId="0" fillId="0" borderId="0" xfId="1" applyFont="1"/>
    <xf numFmtId="0" fontId="2" fillId="2" borderId="3" xfId="0" applyFont="1" applyFill="1" applyBorder="1"/>
    <xf numFmtId="14" fontId="2" fillId="2" borderId="4" xfId="0" applyNumberFormat="1" applyFont="1" applyFill="1" applyBorder="1"/>
    <xf numFmtId="0" fontId="2" fillId="2" borderId="4" xfId="0" applyFont="1" applyFill="1" applyBorder="1"/>
    <xf numFmtId="164" fontId="2" fillId="2" borderId="4" xfId="0" applyNumberFormat="1" applyFont="1" applyFill="1" applyBorder="1"/>
    <xf numFmtId="164" fontId="2" fillId="2" borderId="5" xfId="0" applyNumberFormat="1" applyFont="1" applyFill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9" xfId="0" applyBorder="1"/>
    <xf numFmtId="14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164" fontId="0" fillId="0" borderId="2" xfId="0" applyNumberFormat="1" applyBorder="1"/>
    <xf numFmtId="22" fontId="0" fillId="0" borderId="7" xfId="0" applyNumberFormat="1" applyBorder="1"/>
    <xf numFmtId="22" fontId="0" fillId="0" borderId="10" xfId="0" applyNumberFormat="1" applyBorder="1"/>
    <xf numFmtId="14" fontId="0" fillId="0" borderId="1" xfId="0" applyNumberFormat="1" applyBorder="1"/>
    <xf numFmtId="164" fontId="2" fillId="2" borderId="11" xfId="0" applyNumberFormat="1" applyFont="1" applyFill="1" applyBorder="1"/>
    <xf numFmtId="164" fontId="2" fillId="2" borderId="0" xfId="0" applyNumberFormat="1" applyFont="1" applyFill="1"/>
    <xf numFmtId="9" fontId="0" fillId="0" borderId="0" xfId="2" applyFont="1"/>
    <xf numFmtId="2" fontId="2" fillId="2" borderId="0" xfId="0" applyNumberFormat="1" applyFont="1" applyFill="1"/>
    <xf numFmtId="2" fontId="0" fillId="0" borderId="0" xfId="2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/>
    <xf numFmtId="0" fontId="0" fillId="0" borderId="0" xfId="2" applyNumberFormat="1" applyFont="1"/>
    <xf numFmtId="10" fontId="0" fillId="0" borderId="0" xfId="2" applyNumberFormat="1" applyFont="1"/>
    <xf numFmtId="2" fontId="5" fillId="3" borderId="0" xfId="0" applyNumberFormat="1" applyFont="1" applyFill="1"/>
    <xf numFmtId="10" fontId="5" fillId="3" borderId="0" xfId="2" applyNumberFormat="1" applyFont="1" applyFill="1"/>
    <xf numFmtId="14" fontId="5" fillId="3" borderId="0" xfId="0" applyNumberFormat="1" applyFont="1" applyFill="1"/>
    <xf numFmtId="14" fontId="0" fillId="0" borderId="0" xfId="0" applyNumberFormat="1" applyAlignment="1">
      <alignment horizontal="left" indent="1"/>
    </xf>
    <xf numFmtId="0" fontId="0" fillId="4" borderId="0" xfId="0" applyFill="1"/>
    <xf numFmtId="0" fontId="0" fillId="5" borderId="0" xfId="0" applyFill="1"/>
    <xf numFmtId="0" fontId="2" fillId="0" borderId="0" xfId="0" applyFont="1" applyFill="1"/>
    <xf numFmtId="43" fontId="0" fillId="0" borderId="0" xfId="3" applyFont="1"/>
    <xf numFmtId="164" fontId="2" fillId="2" borderId="0" xfId="0" applyNumberFormat="1" applyFont="1" applyFill="1" applyBorder="1"/>
    <xf numFmtId="9" fontId="0" fillId="0" borderId="12" xfId="2" applyFont="1" applyBorder="1"/>
    <xf numFmtId="9" fontId="0" fillId="0" borderId="13" xfId="2" applyFont="1" applyBorder="1"/>
    <xf numFmtId="9" fontId="0" fillId="0" borderId="14" xfId="2" applyFont="1" applyBorder="1"/>
    <xf numFmtId="2" fontId="0" fillId="0" borderId="14" xfId="2" applyNumberFormat="1" applyFont="1" applyBorder="1"/>
    <xf numFmtId="2" fontId="0" fillId="0" borderId="13" xfId="2" applyNumberFormat="1" applyFont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2" formatCode="0.00"/>
    </dxf>
    <dxf>
      <numFmt numFmtId="2" formatCode="0.00"/>
    </dxf>
    <dxf>
      <font>
        <color theme="0"/>
      </font>
      <fill>
        <patternFill>
          <bgColor theme="8" tint="-0.24994659260841701"/>
        </patternFill>
      </fill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  <vertical style="dashDot">
          <color rgb="FF00B0F0"/>
        </vertical>
        <horizontal style="dashDot">
          <color rgb="FF00B0F0"/>
        </horizontal>
      </border>
    </dxf>
  </dxfs>
  <tableStyles count="1" defaultTableStyle="TableStyleMedium2" defaultPivotStyle="PivotStyleLight16">
    <tableStyle name="Table Style 1" pivot="0" count="2" xr9:uid="{44148C9A-C7F4-436C-A056-FD889E1691AD}">
      <tableStyleElement type="wholeTable" dxfId="9"/>
      <tableStyleElement type="headerRow" dxfId="8"/>
    </tableStyle>
  </tableStyles>
  <colors>
    <mruColors>
      <color rgb="FF78B9B5"/>
      <color rgb="FF86C4B4"/>
      <color rgb="FF4A9782"/>
      <color rgb="FF004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Table" Target="pivotTables/pivotTable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Table" Target="pivotTables/pivotTabl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Table" Target="pivotTables/pivotTabl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Comparison between the volume of beer and liquor </a:t>
            </a:r>
            <a:r>
              <a:rPr lang="en-IN" b="1" baseline="0"/>
              <a:t>Liters</a:t>
            </a:r>
            <a:r>
              <a:rPr lang="en-IN" baseline="0"/>
              <a:t>,</a:t>
            </a:r>
            <a:r>
              <a:rPr lang="en-IN" b="1" baseline="0"/>
              <a:t> Beer </a:t>
            </a:r>
            <a:r>
              <a:rPr lang="en-IN" baseline="0"/>
              <a:t>has much more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Beer</c:v>
          </c:tx>
          <c:spPr>
            <a:ln w="28575" cap="rnd">
              <a:solidFill>
                <a:srgbClr val="4A9782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1372.1999999999998</c:v>
              </c:pt>
              <c:pt idx="1">
                <c:v>2992.2</c:v>
              </c:pt>
              <c:pt idx="2">
                <c:v>808.2</c:v>
              </c:pt>
              <c:pt idx="3">
                <c:v>1393.8</c:v>
              </c:pt>
              <c:pt idx="4">
                <c:v>744.6</c:v>
              </c:pt>
              <c:pt idx="5">
                <c:v>719.4</c:v>
              </c:pt>
              <c:pt idx="6">
                <c:v>1528.2</c:v>
              </c:pt>
              <c:pt idx="7">
                <c:v>1114.8000000000002</c:v>
              </c:pt>
              <c:pt idx="8">
                <c:v>861.6</c:v>
              </c:pt>
              <c:pt idx="9">
                <c:v>510</c:v>
              </c:pt>
              <c:pt idx="10">
                <c:v>634.20000000000005</c:v>
              </c:pt>
              <c:pt idx="11">
                <c:v>1050</c:v>
              </c:pt>
              <c:pt idx="12">
                <c:v>1320.72</c:v>
              </c:pt>
              <c:pt idx="13">
                <c:v>3777.7200000000003</c:v>
              </c:pt>
              <c:pt idx="14">
                <c:v>4026.9600000000005</c:v>
              </c:pt>
              <c:pt idx="15">
                <c:v>736.2</c:v>
              </c:pt>
              <c:pt idx="16">
                <c:v>1690.92</c:v>
              </c:pt>
              <c:pt idx="17">
                <c:v>1621.56</c:v>
              </c:pt>
              <c:pt idx="18">
                <c:v>444.72</c:v>
              </c:pt>
              <c:pt idx="19">
                <c:v>582</c:v>
              </c:pt>
              <c:pt idx="20">
                <c:v>621</c:v>
              </c:pt>
              <c:pt idx="21">
                <c:v>606</c:v>
              </c:pt>
              <c:pt idx="22">
                <c:v>532.20000000000005</c:v>
              </c:pt>
              <c:pt idx="23">
                <c:v>600.6</c:v>
              </c:pt>
              <c:pt idx="24">
                <c:v>2014.2</c:v>
              </c:pt>
              <c:pt idx="25">
                <c:v>2413.8000000000002</c:v>
              </c:pt>
              <c:pt idx="26">
                <c:v>3464.4</c:v>
              </c:pt>
              <c:pt idx="27">
                <c:v>1023</c:v>
              </c:pt>
              <c:pt idx="28">
                <c:v>818.4</c:v>
              </c:pt>
              <c:pt idx="29">
                <c:v>922.8</c:v>
              </c:pt>
              <c:pt idx="30">
                <c:v>850.2</c:v>
              </c:pt>
              <c:pt idx="31">
                <c:v>697.8</c:v>
              </c:pt>
              <c:pt idx="32">
                <c:v>582</c:v>
              </c:pt>
              <c:pt idx="33">
                <c:v>621.6</c:v>
              </c:pt>
              <c:pt idx="34">
                <c:v>704.4</c:v>
              </c:pt>
              <c:pt idx="35">
                <c:v>979.2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FDB-453A-ADAE-033785F43F3B}"/>
            </c:ext>
          </c:extLst>
        </c:ser>
        <c:ser>
          <c:idx val="1"/>
          <c:order val="1"/>
          <c:tx>
            <c:v>Liquor</c:v>
          </c:tx>
          <c:spPr>
            <a:ln w="28575" cap="rnd">
              <a:solidFill>
                <a:srgbClr val="004030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800.27999999999986</c:v>
              </c:pt>
              <c:pt idx="1">
                <c:v>2741.5866666666666</c:v>
              </c:pt>
              <c:pt idx="2">
                <c:v>1493.1066666666666</c:v>
              </c:pt>
              <c:pt idx="3">
                <c:v>1912.5066666666667</c:v>
              </c:pt>
              <c:pt idx="4">
                <c:v>1288.08</c:v>
              </c:pt>
              <c:pt idx="5">
                <c:v>1406.8799999999999</c:v>
              </c:pt>
              <c:pt idx="6">
                <c:v>2872.6533333333336</c:v>
              </c:pt>
              <c:pt idx="7">
                <c:v>3235.5999999999995</c:v>
              </c:pt>
              <c:pt idx="8">
                <c:v>3552.2533333333336</c:v>
              </c:pt>
              <c:pt idx="9">
                <c:v>1185.7333333333336</c:v>
              </c:pt>
              <c:pt idx="10">
                <c:v>225</c:v>
              </c:pt>
              <c:pt idx="11">
                <c:v>250.66666666666666</c:v>
              </c:pt>
              <c:pt idx="12">
                <c:v>232.30666666666664</c:v>
              </c:pt>
              <c:pt idx="13">
                <c:v>755.4666666666667</c:v>
              </c:pt>
              <c:pt idx="14">
                <c:v>344.52</c:v>
              </c:pt>
              <c:pt idx="15">
                <c:v>1126.8</c:v>
              </c:pt>
              <c:pt idx="16">
                <c:v>718.76</c:v>
              </c:pt>
              <c:pt idx="17">
                <c:v>1132.9333333333334</c:v>
              </c:pt>
              <c:pt idx="18">
                <c:v>846.81333333333339</c:v>
              </c:pt>
              <c:pt idx="19">
                <c:v>1382.1333333333334</c:v>
              </c:pt>
              <c:pt idx="20">
                <c:v>1289.32</c:v>
              </c:pt>
              <c:pt idx="21">
                <c:v>1116.1466666666665</c:v>
              </c:pt>
              <c:pt idx="22">
                <c:v>779.59999999999991</c:v>
              </c:pt>
              <c:pt idx="23">
                <c:v>747.4</c:v>
              </c:pt>
              <c:pt idx="24">
                <c:v>595.52</c:v>
              </c:pt>
              <c:pt idx="25">
                <c:v>567.01333333333332</c:v>
              </c:pt>
              <c:pt idx="26">
                <c:v>925.31999999999994</c:v>
              </c:pt>
              <c:pt idx="27">
                <c:v>815.16000000000008</c:v>
              </c:pt>
              <c:pt idx="28">
                <c:v>688.13333333333333</c:v>
              </c:pt>
              <c:pt idx="29">
                <c:v>873.14666666666665</c:v>
              </c:pt>
              <c:pt idx="30">
                <c:v>556.80000000000007</c:v>
              </c:pt>
              <c:pt idx="31">
                <c:v>745.73333333333335</c:v>
              </c:pt>
              <c:pt idx="32">
                <c:v>685.16</c:v>
              </c:pt>
              <c:pt idx="33">
                <c:v>732.41333333333341</c:v>
              </c:pt>
              <c:pt idx="34">
                <c:v>752.0533333333334</c:v>
              </c:pt>
              <c:pt idx="35">
                <c:v>962.01333333333332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FDB-453A-ADAE-033785F43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538719"/>
        <c:axId val="832538239"/>
      </c:lineChart>
      <c:catAx>
        <c:axId val="8325387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823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325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871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[BAR DATA MODEL.xlsx]PivotChartTable1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the </a:t>
            </a:r>
            <a:r>
              <a:rPr lang="en-IN" b="1" baseline="0"/>
              <a:t>Amount Paid</a:t>
            </a:r>
            <a:r>
              <a:rPr lang="en-IN" baseline="0"/>
              <a:t> for beer and liquor, Even if Beer has more volume, price of </a:t>
            </a:r>
            <a:r>
              <a:rPr lang="en-IN" b="1" baseline="0"/>
              <a:t>Liquor is more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403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4A978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Beer</c:v>
          </c:tx>
          <c:spPr>
            <a:ln w="28575" cap="rnd">
              <a:solidFill>
                <a:srgbClr val="4A9782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203571.25</c:v>
              </c:pt>
              <c:pt idx="1">
                <c:v>466507.54</c:v>
              </c:pt>
              <c:pt idx="2">
                <c:v>121349.09</c:v>
              </c:pt>
              <c:pt idx="3">
                <c:v>214047.56</c:v>
              </c:pt>
              <c:pt idx="4">
                <c:v>115714.21</c:v>
              </c:pt>
              <c:pt idx="5">
                <c:v>112857.09</c:v>
              </c:pt>
              <c:pt idx="6">
                <c:v>248174.6</c:v>
              </c:pt>
              <c:pt idx="7">
                <c:v>178333.33</c:v>
              </c:pt>
              <c:pt idx="8">
                <c:v>140793.57999999999</c:v>
              </c:pt>
              <c:pt idx="9">
                <c:v>81904.72</c:v>
              </c:pt>
              <c:pt idx="10">
                <c:v>99999.98</c:v>
              </c:pt>
              <c:pt idx="11">
                <c:v>174761.83</c:v>
              </c:pt>
              <c:pt idx="12">
                <c:v>206507.93</c:v>
              </c:pt>
              <c:pt idx="13">
                <c:v>598412.6</c:v>
              </c:pt>
              <c:pt idx="14">
                <c:v>632381.4</c:v>
              </c:pt>
              <c:pt idx="15">
                <c:v>121349.39</c:v>
              </c:pt>
              <c:pt idx="16">
                <c:v>284841.55</c:v>
              </c:pt>
              <c:pt idx="17">
                <c:v>268492.40999999997</c:v>
              </c:pt>
              <c:pt idx="18">
                <c:v>74047.7</c:v>
              </c:pt>
              <c:pt idx="19">
                <c:v>99841.34</c:v>
              </c:pt>
              <c:pt idx="20">
                <c:v>102619.13</c:v>
              </c:pt>
              <c:pt idx="21">
                <c:v>100476.24</c:v>
              </c:pt>
              <c:pt idx="22">
                <c:v>87222.36</c:v>
              </c:pt>
              <c:pt idx="23">
                <c:v>98333.48</c:v>
              </c:pt>
              <c:pt idx="24">
                <c:v>332778.21999999997</c:v>
              </c:pt>
              <c:pt idx="25">
                <c:v>401746.27</c:v>
              </c:pt>
              <c:pt idx="26">
                <c:v>562222.98</c:v>
              </c:pt>
              <c:pt idx="27">
                <c:v>173809.61</c:v>
              </c:pt>
              <c:pt idx="28">
                <c:v>129444.57</c:v>
              </c:pt>
              <c:pt idx="29">
                <c:v>161507.91</c:v>
              </c:pt>
              <c:pt idx="30">
                <c:v>151904.82</c:v>
              </c:pt>
              <c:pt idx="31">
                <c:v>122380.97</c:v>
              </c:pt>
              <c:pt idx="32">
                <c:v>104047.67999999999</c:v>
              </c:pt>
              <c:pt idx="33">
                <c:v>113333.32</c:v>
              </c:pt>
              <c:pt idx="34">
                <c:v>113888.99</c:v>
              </c:pt>
              <c:pt idx="35">
                <c:v>161031.97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959-4714-B95E-81C20A2B5BBF}"/>
            </c:ext>
          </c:extLst>
        </c:ser>
        <c:ser>
          <c:idx val="1"/>
          <c:order val="1"/>
          <c:tx>
            <c:v>Liquor</c:v>
          </c:tx>
          <c:spPr>
            <a:ln w="28575" cap="rnd">
              <a:solidFill>
                <a:srgbClr val="004030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Apr
2021</c:v>
              </c:pt>
              <c:pt idx="1">
                <c:v>May
2021</c:v>
              </c:pt>
              <c:pt idx="2">
                <c:v>Jun
2021</c:v>
              </c:pt>
              <c:pt idx="3">
                <c:v>Jul
2021</c:v>
              </c:pt>
              <c:pt idx="4">
                <c:v>Aug
2021</c:v>
              </c:pt>
              <c:pt idx="5">
                <c:v>Sep
2021</c:v>
              </c:pt>
              <c:pt idx="6">
                <c:v>Oct
2021</c:v>
              </c:pt>
              <c:pt idx="7">
                <c:v>Nov
2021</c:v>
              </c:pt>
              <c:pt idx="8">
                <c:v>Dec
2021</c:v>
              </c:pt>
              <c:pt idx="9">
                <c:v>Jan
2022</c:v>
              </c:pt>
              <c:pt idx="10">
                <c:v>Feb
2022</c:v>
              </c:pt>
              <c:pt idx="11">
                <c:v>Mar
2022</c:v>
              </c:pt>
              <c:pt idx="12">
                <c:v>Apr
2022</c:v>
              </c:pt>
              <c:pt idx="13">
                <c:v>May
2022</c:v>
              </c:pt>
              <c:pt idx="14">
                <c:v>Jun
2022</c:v>
              </c:pt>
              <c:pt idx="15">
                <c:v>Jul
2022</c:v>
              </c:pt>
              <c:pt idx="16">
                <c:v>Aug
2022</c:v>
              </c:pt>
              <c:pt idx="17">
                <c:v>Sep
2022</c:v>
              </c:pt>
              <c:pt idx="18">
                <c:v>Oct
2022</c:v>
              </c:pt>
              <c:pt idx="19">
                <c:v>Nov
2022</c:v>
              </c:pt>
              <c:pt idx="20">
                <c:v>Dec
2022</c:v>
              </c:pt>
              <c:pt idx="21">
                <c:v>Jan
2023</c:v>
              </c:pt>
              <c:pt idx="22">
                <c:v>Feb
2023</c:v>
              </c:pt>
              <c:pt idx="23">
                <c:v>Mar
2023</c:v>
              </c:pt>
              <c:pt idx="24">
                <c:v>Apr
2023</c:v>
              </c:pt>
              <c:pt idx="25">
                <c:v>May
2023</c:v>
              </c:pt>
              <c:pt idx="26">
                <c:v>Jun
2023</c:v>
              </c:pt>
              <c:pt idx="27">
                <c:v>Jul
2023</c:v>
              </c:pt>
              <c:pt idx="28">
                <c:v>Aug
2023</c:v>
              </c:pt>
              <c:pt idx="29">
                <c:v>Sep
2023</c:v>
              </c:pt>
              <c:pt idx="30">
                <c:v>Oct
2023</c:v>
              </c:pt>
              <c:pt idx="31">
                <c:v>Nov
2023</c:v>
              </c:pt>
              <c:pt idx="32">
                <c:v>Dec
2023</c:v>
              </c:pt>
              <c:pt idx="33">
                <c:v>Jan
2024</c:v>
              </c:pt>
              <c:pt idx="34">
                <c:v>Feb
2024</c:v>
              </c:pt>
              <c:pt idx="35">
                <c:v>Mar
2024</c:v>
              </c:pt>
            </c:strLit>
          </c:cat>
          <c:val>
            <c:numLit>
              <c:formatCode>General</c:formatCode>
              <c:ptCount val="36"/>
              <c:pt idx="0">
                <c:v>476507.92</c:v>
              </c:pt>
              <c:pt idx="1">
                <c:v>1681389.12</c:v>
              </c:pt>
              <c:pt idx="2">
                <c:v>926508.09</c:v>
              </c:pt>
              <c:pt idx="3">
                <c:v>1189524</c:v>
              </c:pt>
              <c:pt idx="4">
                <c:v>785238.15</c:v>
              </c:pt>
              <c:pt idx="5">
                <c:v>859126.95</c:v>
              </c:pt>
              <c:pt idx="6">
                <c:v>1917052.48</c:v>
              </c:pt>
              <c:pt idx="7">
                <c:v>2084099.71</c:v>
              </c:pt>
              <c:pt idx="8">
                <c:v>2318479.4</c:v>
              </c:pt>
              <c:pt idx="9">
                <c:v>761964.38</c:v>
              </c:pt>
              <c:pt idx="10">
                <c:v>152182.57</c:v>
              </c:pt>
              <c:pt idx="11">
                <c:v>153412.71</c:v>
              </c:pt>
              <c:pt idx="12">
                <c:v>159850.54</c:v>
              </c:pt>
              <c:pt idx="13">
                <c:v>489910.97</c:v>
              </c:pt>
              <c:pt idx="14">
                <c:v>219127.04000000001</c:v>
              </c:pt>
              <c:pt idx="15">
                <c:v>748479.61</c:v>
              </c:pt>
              <c:pt idx="16">
                <c:v>488323.6</c:v>
              </c:pt>
              <c:pt idx="17">
                <c:v>742747.72</c:v>
              </c:pt>
              <c:pt idx="18">
                <c:v>554047.78</c:v>
              </c:pt>
              <c:pt idx="19">
                <c:v>897899.26</c:v>
              </c:pt>
              <c:pt idx="20">
                <c:v>879458.27</c:v>
              </c:pt>
              <c:pt idx="21">
                <c:v>733705.1</c:v>
              </c:pt>
              <c:pt idx="22">
                <c:v>529938.96</c:v>
              </c:pt>
              <c:pt idx="23">
                <c:v>497488.97</c:v>
              </c:pt>
              <c:pt idx="24">
                <c:v>437734.65</c:v>
              </c:pt>
              <c:pt idx="25">
                <c:v>440238.82</c:v>
              </c:pt>
              <c:pt idx="26">
                <c:v>657328.26</c:v>
              </c:pt>
              <c:pt idx="27">
                <c:v>558885.68999999994</c:v>
              </c:pt>
              <c:pt idx="28">
                <c:v>478538.91</c:v>
              </c:pt>
              <c:pt idx="29">
                <c:v>612677.59</c:v>
              </c:pt>
              <c:pt idx="30">
                <c:v>377247.01</c:v>
              </c:pt>
              <c:pt idx="31">
                <c:v>538363.31000000006</c:v>
              </c:pt>
              <c:pt idx="32">
                <c:v>506856.63</c:v>
              </c:pt>
              <c:pt idx="33">
                <c:v>509366.1</c:v>
              </c:pt>
              <c:pt idx="34">
                <c:v>522800.96</c:v>
              </c:pt>
              <c:pt idx="35">
                <c:v>700603.93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959-4714-B95E-81C20A2B5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304943"/>
        <c:axId val="223456223"/>
      </c:lineChart>
      <c:catAx>
        <c:axId val="4723049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562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34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Rupees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494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[BAR DATA MODEL.xlsx]PivotChartTable2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</a:t>
            </a:r>
            <a:r>
              <a:rPr lang="en-US" baseline="0"/>
              <a:t> of Change of Volume in the duration of 2021-2024, Overall Demand increases during </a:t>
            </a:r>
            <a:r>
              <a:rPr lang="en-US" b="1" baseline="0"/>
              <a:t>summers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MoM!$D$1</c:f>
              <c:strCache>
                <c:ptCount val="1"/>
                <c:pt idx="0">
                  <c:v>Volume(liters)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MoM!$A$2:$C$37</c:f>
              <c:multiLvlStrCache>
                <c:ptCount val="3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2022</c:v>
                  </c:pt>
                  <c:pt idx="11">
                    <c:v>2022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2024</c:v>
                  </c:pt>
                  <c:pt idx="35">
                    <c:v>2024</c:v>
                  </c:pt>
                </c:lvl>
              </c:multiLvlStrCache>
            </c:multiLvlStrRef>
          </c:cat>
          <c:val>
            <c:numRef>
              <c:f>MoM!$D$2:$D$37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A89-47A9-9477-AE2C2BD755CF}"/>
            </c:ext>
          </c:extLst>
        </c:ser>
        <c:ser>
          <c:idx val="1"/>
          <c:order val="1"/>
          <c:tx>
            <c:strRef>
              <c:f>MoM!$E$1</c:f>
              <c:strCache>
                <c:ptCount val="1"/>
                <c:pt idx="0">
                  <c:v>Total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MoM!$A$2:$C$37</c:f>
              <c:multiLvlStrCache>
                <c:ptCount val="3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2022</c:v>
                  </c:pt>
                  <c:pt idx="11">
                    <c:v>2022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2024</c:v>
                  </c:pt>
                  <c:pt idx="35">
                    <c:v>2024</c:v>
                  </c:pt>
                </c:lvl>
              </c:multiLvlStrCache>
            </c:multiLvlStrRef>
          </c:cat>
          <c:val>
            <c:numRef>
              <c:f>MoM!$E$2:$E$37</c:f>
            </c:numRef>
          </c:val>
          <c:smooth val="0"/>
          <c:extLst>
            <c:ext xmlns:c16="http://schemas.microsoft.com/office/drawing/2014/chart" uri="{C3380CC4-5D6E-409C-BE32-E72D297353CC}">
              <c16:uniqueId val="{00000002-34D9-41EC-A4F7-B9C2F65DB246}"/>
            </c:ext>
          </c:extLst>
        </c:ser>
        <c:ser>
          <c:idx val="2"/>
          <c:order val="2"/>
          <c:tx>
            <c:strRef>
              <c:f>MoM!$F$1</c:f>
              <c:strCache>
                <c:ptCount val="1"/>
                <c:pt idx="0">
                  <c:v>MoM% Change Volume</c:v>
                </c:pt>
              </c:strCache>
            </c:strRef>
          </c:tx>
          <c:spPr>
            <a:ln w="28575" cap="rnd">
              <a:solidFill>
                <a:srgbClr val="78B9B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78B9B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MoM!$A$2:$C$37</c:f>
              <c:multiLvlStrCache>
                <c:ptCount val="36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2022</c:v>
                  </c:pt>
                  <c:pt idx="11">
                    <c:v>2022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2024</c:v>
                  </c:pt>
                  <c:pt idx="35">
                    <c:v>2024</c:v>
                  </c:pt>
                </c:lvl>
              </c:multiLvlStrCache>
            </c:multiLvlStrRef>
          </c:cat>
          <c:val>
            <c:numRef>
              <c:f>MoM!$F$2:$F$37</c:f>
              <c:numCache>
                <c:formatCode>0.00%</c:formatCode>
                <c:ptCount val="36"/>
                <c:pt idx="1">
                  <c:v>1.6392816811508815</c:v>
                </c:pt>
                <c:pt idx="2">
                  <c:v>-0.59864103768539234</c:v>
                </c:pt>
                <c:pt idx="3">
                  <c:v>0.43670842072329941</c:v>
                </c:pt>
                <c:pt idx="4">
                  <c:v>-0.38521129316498182</c:v>
                </c:pt>
                <c:pt idx="5">
                  <c:v>4.6047582501918871E-2</c:v>
                </c:pt>
                <c:pt idx="6">
                  <c:v>1.069743088084981</c:v>
                </c:pt>
                <c:pt idx="7">
                  <c:v>-1.1464443259489143E-2</c:v>
                </c:pt>
                <c:pt idx="8">
                  <c:v>1.4585631972539037E-2</c:v>
                </c:pt>
                <c:pt idx="9">
                  <c:v>-0.61581565918215075</c:v>
                </c:pt>
                <c:pt idx="10">
                  <c:v>-0.49331655920742257</c:v>
                </c:pt>
                <c:pt idx="11">
                  <c:v>0.5138112973308504</c:v>
                </c:pt>
                <c:pt idx="12">
                  <c:v>0.1940235776524859</c:v>
                </c:pt>
                <c:pt idx="13">
                  <c:v>1.9189367858032056</c:v>
                </c:pt>
                <c:pt idx="14">
                  <c:v>-3.5671742321074951E-2</c:v>
                </c:pt>
                <c:pt idx="15">
                  <c:v>-0.57382854319360954</c:v>
                </c:pt>
                <c:pt idx="16">
                  <c:v>0.29344068706387527</c:v>
                </c:pt>
                <c:pt idx="17">
                  <c:v>0.14309507209809325</c:v>
                </c:pt>
                <c:pt idx="18">
                  <c:v>-0.53111764050980947</c:v>
                </c:pt>
                <c:pt idx="19">
                  <c:v>0.52077633820265334</c:v>
                </c:pt>
                <c:pt idx="20">
                  <c:v>-2.7398004208811444E-2</c:v>
                </c:pt>
                <c:pt idx="21">
                  <c:v>-9.8503566592682557E-2</c:v>
                </c:pt>
                <c:pt idx="22">
                  <c:v>-0.23827625986172296</c:v>
                </c:pt>
                <c:pt idx="23">
                  <c:v>2.7595670071657308E-2</c:v>
                </c:pt>
                <c:pt idx="24">
                  <c:v>0.93599406528189921</c:v>
                </c:pt>
                <c:pt idx="25">
                  <c:v>0.14219660857614347</c:v>
                </c:pt>
                <c:pt idx="26">
                  <c:v>0.47265846905318898</c:v>
                </c:pt>
                <c:pt idx="27">
                  <c:v>-0.58125803012492827</c:v>
                </c:pt>
                <c:pt idx="28">
                  <c:v>-0.18041229635432543</c:v>
                </c:pt>
                <c:pt idx="29">
                  <c:v>0.19210549606159866</c:v>
                </c:pt>
                <c:pt idx="30">
                  <c:v>-0.21656916315258079</c:v>
                </c:pt>
                <c:pt idx="31">
                  <c:v>2.59654110400378E-2</c:v>
                </c:pt>
                <c:pt idx="32">
                  <c:v>-0.12218168383133965</c:v>
                </c:pt>
                <c:pt idx="33">
                  <c:v>6.8541725854140978E-2</c:v>
                </c:pt>
                <c:pt idx="34">
                  <c:v>7.565656665123921E-2</c:v>
                </c:pt>
                <c:pt idx="35">
                  <c:v>0.33283593020488156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D9-41EC-A4F7-B9C2F65DB24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2536799"/>
        <c:axId val="832537759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MoM!$G$1</c15:sqref>
                        </c15:formulaRef>
                      </c:ext>
                    </c:extLst>
                    <c:strCache>
                      <c:ptCount val="1"/>
                      <c:pt idx="0">
                        <c:v>MoM % Change amount</c:v>
                      </c:pt>
                    </c:strCache>
                  </c:strRef>
                </c:tx>
                <c:spPr>
                  <a:ln w="28575" cap="rnd">
                    <a:solidFill>
                      <a:srgbClr val="86C4B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86C4B4"/>
                    </a:solidFill>
                    <a:ln w="9525">
                      <a:solidFill>
                        <a:srgbClr val="86C4B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MoM!$A$2:$C$37</c15:sqref>
                        </c15:formulaRef>
                      </c:ext>
                    </c:extLst>
                    <c:multiLvlStrCache>
                      <c:ptCount val="36"/>
                      <c:lvl>
                        <c:pt idx="0">
                          <c:v>Apr</c:v>
                        </c:pt>
                        <c:pt idx="1">
                          <c:v>May</c:v>
                        </c:pt>
                        <c:pt idx="2">
                          <c:v>Jun</c:v>
                        </c:pt>
                        <c:pt idx="3">
                          <c:v>Jul</c:v>
                        </c:pt>
                        <c:pt idx="4">
                          <c:v>Aug</c:v>
                        </c:pt>
                        <c:pt idx="5">
                          <c:v>Sep</c:v>
                        </c:pt>
                        <c:pt idx="6">
                          <c:v>Oct</c:v>
                        </c:pt>
                        <c:pt idx="7">
                          <c:v>Nov</c:v>
                        </c:pt>
                        <c:pt idx="8">
                          <c:v>Dec</c:v>
                        </c:pt>
                        <c:pt idx="9">
                          <c:v>Jan</c:v>
                        </c:pt>
                        <c:pt idx="10">
                          <c:v>Feb</c:v>
                        </c:pt>
                        <c:pt idx="11">
                          <c:v>Mar</c:v>
                        </c:pt>
                        <c:pt idx="12">
                          <c:v>Apr</c:v>
                        </c:pt>
                        <c:pt idx="13">
                          <c:v>May</c:v>
                        </c:pt>
                        <c:pt idx="14">
                          <c:v>Jun</c:v>
                        </c:pt>
                        <c:pt idx="15">
                          <c:v>Jul</c:v>
                        </c:pt>
                        <c:pt idx="16">
                          <c:v>Aug</c:v>
                        </c:pt>
                        <c:pt idx="17">
                          <c:v>Sep</c:v>
                        </c:pt>
                        <c:pt idx="18">
                          <c:v>Oct</c:v>
                        </c:pt>
                        <c:pt idx="19">
                          <c:v>Nov</c:v>
                        </c:pt>
                        <c:pt idx="20">
                          <c:v>Dec</c:v>
                        </c:pt>
                        <c:pt idx="21">
                          <c:v>Jan</c:v>
                        </c:pt>
                        <c:pt idx="22">
                          <c:v>Feb</c:v>
                        </c:pt>
                        <c:pt idx="23">
                          <c:v>Mar</c:v>
                        </c:pt>
                        <c:pt idx="24">
                          <c:v>Apr</c:v>
                        </c:pt>
                        <c:pt idx="25">
                          <c:v>May</c:v>
                        </c:pt>
                        <c:pt idx="26">
                          <c:v>Jun</c:v>
                        </c:pt>
                        <c:pt idx="27">
                          <c:v>Jul</c:v>
                        </c:pt>
                        <c:pt idx="28">
                          <c:v>Aug</c:v>
                        </c:pt>
                        <c:pt idx="29">
                          <c:v>Sep</c:v>
                        </c:pt>
                        <c:pt idx="30">
                          <c:v>Oct</c:v>
                        </c:pt>
                        <c:pt idx="31">
                          <c:v>Nov</c:v>
                        </c:pt>
                        <c:pt idx="32">
                          <c:v>Dec</c:v>
                        </c:pt>
                        <c:pt idx="33">
                          <c:v>Jan</c:v>
                        </c:pt>
                        <c:pt idx="34">
                          <c:v>Feb</c:v>
                        </c:pt>
                        <c:pt idx="35">
                          <c:v>Mar</c:v>
                        </c:pt>
                      </c:lvl>
                      <c:lvl>
                        <c:pt idx="0">
                          <c:v>2021</c:v>
                        </c:pt>
                        <c:pt idx="1">
                          <c:v>2021</c:v>
                        </c:pt>
                        <c:pt idx="2">
                          <c:v>2021</c:v>
                        </c:pt>
                        <c:pt idx="3">
                          <c:v>2021</c:v>
                        </c:pt>
                        <c:pt idx="4">
                          <c:v>2021</c:v>
                        </c:pt>
                        <c:pt idx="5">
                          <c:v>2021</c:v>
                        </c:pt>
                        <c:pt idx="6">
                          <c:v>2021</c:v>
                        </c:pt>
                        <c:pt idx="7">
                          <c:v>2021</c:v>
                        </c:pt>
                        <c:pt idx="8">
                          <c:v>2021</c:v>
                        </c:pt>
                        <c:pt idx="9">
                          <c:v>2022</c:v>
                        </c:pt>
                        <c:pt idx="10">
                          <c:v>2022</c:v>
                        </c:pt>
                        <c:pt idx="11">
                          <c:v>2022</c:v>
                        </c:pt>
                        <c:pt idx="12">
                          <c:v>2022</c:v>
                        </c:pt>
                        <c:pt idx="13">
                          <c:v>2022</c:v>
                        </c:pt>
                        <c:pt idx="14">
                          <c:v>2022</c:v>
                        </c:pt>
                        <c:pt idx="15">
                          <c:v>2022</c:v>
                        </c:pt>
                        <c:pt idx="16">
                          <c:v>2022</c:v>
                        </c:pt>
                        <c:pt idx="17">
                          <c:v>2022</c:v>
                        </c:pt>
                        <c:pt idx="18">
                          <c:v>2022</c:v>
                        </c:pt>
                        <c:pt idx="19">
                          <c:v>2022</c:v>
                        </c:pt>
                        <c:pt idx="20">
                          <c:v>2022</c:v>
                        </c:pt>
                        <c:pt idx="21">
                          <c:v>2023</c:v>
                        </c:pt>
                        <c:pt idx="22">
                          <c:v>2023</c:v>
                        </c:pt>
                        <c:pt idx="23">
                          <c:v>2023</c:v>
                        </c:pt>
                        <c:pt idx="24">
                          <c:v>2023</c:v>
                        </c:pt>
                        <c:pt idx="25">
                          <c:v>2023</c:v>
                        </c:pt>
                        <c:pt idx="26">
                          <c:v>2023</c:v>
                        </c:pt>
                        <c:pt idx="27">
                          <c:v>2023</c:v>
                        </c:pt>
                        <c:pt idx="28">
                          <c:v>2023</c:v>
                        </c:pt>
                        <c:pt idx="29">
                          <c:v>2023</c:v>
                        </c:pt>
                        <c:pt idx="30">
                          <c:v>2023</c:v>
                        </c:pt>
                        <c:pt idx="31">
                          <c:v>2023</c:v>
                        </c:pt>
                        <c:pt idx="32">
                          <c:v>2023</c:v>
                        </c:pt>
                        <c:pt idx="33">
                          <c:v>2024</c:v>
                        </c:pt>
                        <c:pt idx="34">
                          <c:v>2024</c:v>
                        </c:pt>
                        <c:pt idx="35">
                          <c:v>2024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MoM!$G$2:$G$37</c15:sqref>
                        </c15:formulaRef>
                      </c:ext>
                    </c:extLst>
                    <c:numCache>
                      <c:formatCode>0.00%</c:formatCode>
                      <c:ptCount val="36"/>
                      <c:pt idx="1">
                        <c:v>2.1583027459418234</c:v>
                      </c:pt>
                      <c:pt idx="2">
                        <c:v>-0.51214734054767419</c:v>
                      </c:pt>
                      <c:pt idx="3">
                        <c:v>0.33946813143080301</c:v>
                      </c:pt>
                      <c:pt idx="4">
                        <c:v>-0.35810011673401143</c:v>
                      </c:pt>
                      <c:pt idx="5">
                        <c:v>7.884171161041853E-2</c:v>
                      </c:pt>
                      <c:pt idx="6">
                        <c:v>1.2276355088874307</c:v>
                      </c:pt>
                      <c:pt idx="7">
                        <c:v>4.489403622221122E-2</c:v>
                      </c:pt>
                      <c:pt idx="8">
                        <c:v>8.7002525702626343E-2</c:v>
                      </c:pt>
                      <c:pt idx="9">
                        <c:v>-0.65686221505386133</c:v>
                      </c:pt>
                      <c:pt idx="10">
                        <c:v>-0.70115951524094089</c:v>
                      </c:pt>
                      <c:pt idx="11">
                        <c:v>0.30133772694896077</c:v>
                      </c:pt>
                      <c:pt idx="12">
                        <c:v>0.11635414167638158</c:v>
                      </c:pt>
                      <c:pt idx="13">
                        <c:v>1.9706539158547467</c:v>
                      </c:pt>
                      <c:pt idx="14">
                        <c:v>-0.2175970926838563</c:v>
                      </c:pt>
                      <c:pt idx="15">
                        <c:v>2.1514811592840299E-2</c:v>
                      </c:pt>
                      <c:pt idx="16">
                        <c:v>-0.11112897959577372</c:v>
                      </c:pt>
                      <c:pt idx="17">
                        <c:v>0.30792247984143972</c:v>
                      </c:pt>
                      <c:pt idx="18">
                        <c:v>-0.37888625847115465</c:v>
                      </c:pt>
                      <c:pt idx="19">
                        <c:v>0.58851968787303344</c:v>
                      </c:pt>
                      <c:pt idx="20">
                        <c:v>-1.5699061527881253E-2</c:v>
                      </c:pt>
                      <c:pt idx="21">
                        <c:v>-0.1505961166232388</c:v>
                      </c:pt>
                      <c:pt idx="22">
                        <c:v>-0.26015860901420473</c:v>
                      </c:pt>
                      <c:pt idx="23">
                        <c:v>-3.4575800211391505E-2</c:v>
                      </c:pt>
                      <c:pt idx="24">
                        <c:v>0.29319295823520375</c:v>
                      </c:pt>
                      <c:pt idx="25">
                        <c:v>9.2758352900648156E-2</c:v>
                      </c:pt>
                      <c:pt idx="26">
                        <c:v>0.44842368522132747</c:v>
                      </c:pt>
                      <c:pt idx="27">
                        <c:v>-0.39920950941280031</c:v>
                      </c:pt>
                      <c:pt idx="28">
                        <c:v>-0.17020914435786771</c:v>
                      </c:pt>
                      <c:pt idx="29">
                        <c:v>0.27336639775930482</c:v>
                      </c:pt>
                      <c:pt idx="30">
                        <c:v>-0.31650499626554474</c:v>
                      </c:pt>
                      <c:pt idx="31">
                        <c:v>0.24868337305203125</c:v>
                      </c:pt>
                      <c:pt idx="32">
                        <c:v>-7.5430398784678609E-2</c:v>
                      </c:pt>
                      <c:pt idx="33">
                        <c:v>1.9309858638533406E-2</c:v>
                      </c:pt>
                      <c:pt idx="34">
                        <c:v>2.2467690729750078E-2</c:v>
                      </c:pt>
                      <c:pt idx="35">
                        <c:v>0.35330416872094439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4D9-41EC-A4F7-B9C2F65DB246}"/>
                  </c:ext>
                </c:extLst>
              </c15:ser>
            </c15:filteredLineSeries>
          </c:ext>
        </c:extLst>
      </c:lineChart>
      <c:catAx>
        <c:axId val="83253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7759"/>
        <c:crosses val="autoZero"/>
        <c:auto val="1"/>
        <c:lblAlgn val="ctr"/>
        <c:lblOffset val="100"/>
        <c:noMultiLvlLbl val="0"/>
      </c:catAx>
      <c:valAx>
        <c:axId val="83253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53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86322</xdr:colOff>
      <xdr:row>1</xdr:row>
      <xdr:rowOff>25788</xdr:rowOff>
    </xdr:from>
    <xdr:to>
      <xdr:col>16</xdr:col>
      <xdr:colOff>511791</xdr:colOff>
      <xdr:row>19</xdr:row>
      <xdr:rowOff>182027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EFB26-DE40-3AF2-1F1A-E3B149BED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97753</xdr:colOff>
      <xdr:row>20</xdr:row>
      <xdr:rowOff>92225</xdr:rowOff>
    </xdr:from>
    <xdr:to>
      <xdr:col>16</xdr:col>
      <xdr:colOff>497575</xdr:colOff>
      <xdr:row>38</xdr:row>
      <xdr:rowOff>64575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98430-8B38-1D0F-DA50-E95E6E621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566179</xdr:colOff>
      <xdr:row>11</xdr:row>
      <xdr:rowOff>157288</xdr:rowOff>
    </xdr:from>
    <xdr:to>
      <xdr:col>20</xdr:col>
      <xdr:colOff>204227</xdr:colOff>
      <xdr:row>15</xdr:row>
      <xdr:rowOff>145855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40271DA-64F5-D529-AC07-840BE4D74335}"/>
            </a:ext>
          </a:extLst>
        </xdr:cNvPr>
        <xdr:cNvSpPr/>
      </xdr:nvSpPr>
      <xdr:spPr>
        <a:xfrm>
          <a:off x="9799826" y="2129523"/>
          <a:ext cx="2058519" cy="705744"/>
        </a:xfrm>
        <a:prstGeom prst="roundRect">
          <a:avLst>
            <a:gd name="adj" fmla="val 19907"/>
          </a:avLst>
        </a:prstGeom>
        <a:solidFill>
          <a:srgbClr val="86C4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Cost of Goods     </a:t>
          </a:r>
        </a:p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18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3,39,47,742</a:t>
          </a:r>
          <a:endParaRPr lang="en-IN" sz="1100"/>
        </a:p>
      </xdr:txBody>
    </xdr:sp>
    <xdr:clientData/>
  </xdr:twoCellAnchor>
  <xdr:twoCellAnchor>
    <xdr:from>
      <xdr:col>16</xdr:col>
      <xdr:colOff>570790</xdr:colOff>
      <xdr:row>16</xdr:row>
      <xdr:rowOff>54</xdr:rowOff>
    </xdr:from>
    <xdr:to>
      <xdr:col>20</xdr:col>
      <xdr:colOff>206933</xdr:colOff>
      <xdr:row>19</xdr:row>
      <xdr:rowOff>160297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FA690BE-598D-4488-8150-33F64D4EF935}"/>
            </a:ext>
          </a:extLst>
        </xdr:cNvPr>
        <xdr:cNvSpPr/>
      </xdr:nvSpPr>
      <xdr:spPr>
        <a:xfrm>
          <a:off x="9804437" y="2868760"/>
          <a:ext cx="2056614" cy="698125"/>
        </a:xfrm>
        <a:prstGeom prst="roundRect">
          <a:avLst>
            <a:gd name="adj" fmla="val 19907"/>
          </a:avLst>
        </a:prstGeom>
        <a:solidFill>
          <a:srgbClr val="86C4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VAT Paid</a:t>
          </a:r>
        </a:p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18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1,18,81,711 </a:t>
          </a:r>
          <a:endParaRPr lang="en-IN" sz="1100"/>
        </a:p>
      </xdr:txBody>
    </xdr:sp>
    <xdr:clientData/>
  </xdr:twoCellAnchor>
  <xdr:twoCellAnchor>
    <xdr:from>
      <xdr:col>16</xdr:col>
      <xdr:colOff>571589</xdr:colOff>
      <xdr:row>20</xdr:row>
      <xdr:rowOff>14718</xdr:rowOff>
    </xdr:from>
    <xdr:to>
      <xdr:col>20</xdr:col>
      <xdr:colOff>217257</xdr:colOff>
      <xdr:row>23</xdr:row>
      <xdr:rowOff>169244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FB7249E-6D12-4660-954D-394CA8E62F40}"/>
            </a:ext>
          </a:extLst>
        </xdr:cNvPr>
        <xdr:cNvSpPr/>
      </xdr:nvSpPr>
      <xdr:spPr>
        <a:xfrm>
          <a:off x="9805236" y="3600600"/>
          <a:ext cx="2066139" cy="692409"/>
        </a:xfrm>
        <a:prstGeom prst="roundRect">
          <a:avLst>
            <a:gd name="adj" fmla="val 19907"/>
          </a:avLst>
        </a:prstGeom>
        <a:solidFill>
          <a:srgbClr val="86C4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TCS Paid</a:t>
          </a:r>
        </a:p>
        <a:p>
          <a:pPr algn="ctr"/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₹</a:t>
          </a:r>
          <a:r>
            <a:rPr lang="en-IN" sz="18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4,58,299</a:t>
          </a:r>
          <a:endParaRPr lang="en-IN" sz="1800"/>
        </a:p>
      </xdr:txBody>
    </xdr:sp>
    <xdr:clientData/>
  </xdr:twoCellAnchor>
  <xdr:twoCellAnchor>
    <xdr:from>
      <xdr:col>20</xdr:col>
      <xdr:colOff>246023</xdr:colOff>
      <xdr:row>1</xdr:row>
      <xdr:rowOff>28573</xdr:rowOff>
    </xdr:from>
    <xdr:to>
      <xdr:col>36</xdr:col>
      <xdr:colOff>59302</xdr:colOff>
      <xdr:row>24</xdr:row>
      <xdr:rowOff>173803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AF3B814-E9C9-4516-9D91-62E64BF8A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YAG" refreshedDate="45858.547079861113" backgroundQuery="1" createdVersion="8" refreshedVersion="8" minRefreshableVersion="3" recordCount="0" supportSubquery="1" supportAdvancedDrill="1" xr:uid="{DFC980D0-557D-41D5-A158-4BE3400F3D5E}">
  <cacheSource type="external" connectionId="5"/>
  <cacheFields count="5">
    <cacheField name="[Range].[Date (Month)].[Date (Month)]" caption="Date (Month)" numFmtId="0" hierarchy="20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Range].[Item].[Item]" caption="Item" numFmtId="0" hierarchy="16" level="1">
      <sharedItems count="2">
        <s v="Beer"/>
        <s v="Liquor"/>
      </sharedItems>
    </cacheField>
    <cacheField name="[Range].[Date (Year)].[Date (Year)]" caption="Date (Year)" numFmtId="0" hierarchy="18" level="1">
      <sharedItems count="4">
        <s v="2021"/>
        <s v="2022"/>
        <s v="2023"/>
        <s v="2024"/>
      </sharedItems>
    </cacheField>
    <cacheField name="[Measures].[Sum of Liters]" caption="Sum of Liters" numFmtId="0" hierarchy="58" level="32767"/>
    <cacheField name="[Measures].[Sum of Grand Total]" caption="Sum of Grand Total" numFmtId="0" hierarchy="60" level="32767"/>
  </cacheFields>
  <cacheHierarchies count="67">
    <cacheHierarchy uniqueName="[Range].[Sl No.]" caption="Sl No." attribute="1" defaultMemberUniqueName="[Range].[Sl No.].[All]" allUniqueName="[Range].[Sl No.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voice/ MR No.]" caption="Invoice/ MR No." attribute="1" defaultMemberUniqueName="[Range].[Invoice/ MR No.].[All]" allUniqueName="[Range].[Invoice/ MR No.].[All]" dimensionUniqueName="[Range]" displayFolder="" count="0" memberValueDatatype="130" unbalanced="0"/>
    <cacheHierarchy uniqueName="[Range].[Invoice Type]" caption="Invoice Type" attribute="1" defaultMemberUniqueName="[Range].[Invoice Type].[All]" allUniqueName="[Range].[Invoice Type].[All]" dimensionUniqueName="[Range]" displayFolder="" count="0" memberValueDatatype="130" unbalanced="0"/>
    <cacheHierarchy uniqueName="[Range].[Oppening Balance]" caption="Oppening Balance" attribute="1" defaultMemberUniqueName="[Range].[Oppening Balance].[All]" allUniqueName="[Range].[Oppening Balance].[All]" dimensionUniqueName="[Range]" displayFolder="" count="0" memberValueDatatype="5" unbalanced="0"/>
    <cacheHierarchy uniqueName="[Range].[Credit Amount]" caption="Credit Amount" attribute="1" defaultMemberUniqueName="[Range].[Credit Amount].[All]" allUniqueName="[Range].[Credit Amount].[All]" dimensionUniqueName="[Range]" displayFolder="" count="0" memberValueDatatype="20" unbalanced="0"/>
    <cacheHierarchy uniqueName="[Range].[BL]" caption="BL" attribute="1" defaultMemberUniqueName="[Range].[BL].[All]" allUniqueName="[Range].[BL].[All]" dimensionUniqueName="[Range]" displayFolder="" count="0" memberValueDatatype="5" unbalanced="0"/>
    <cacheHierarchy uniqueName="[Range].[LPL]" caption="LPL" attribute="1" defaultMemberUniqueName="[Range].[LPL].[All]" allUniqueName="[Range].[LPL].[All]" dimensionUniqueName="[Range]" displayFolder="" count="0" memberValueDatatype="5" unbalanced="0"/>
    <cacheHierarchy uniqueName="[Range].[Sale Amount]" caption="Sale Amount" attribute="1" defaultMemberUniqueName="[Range].[Sale Amount].[All]" allUniqueName="[Range].[Sale Amount].[All]" dimensionUniqueName="[Range]" displayFolder="" count="0" memberValueDatatype="5" unbalanced="0"/>
    <cacheHierarchy uniqueName="[Range].[VAT]" caption="VAT" attribute="1" defaultMemberUniqueName="[Range].[VAT].[All]" allUniqueName="[Range].[VAT].[All]" dimensionUniqueName="[Range]" displayFolder="" count="0" memberValueDatatype="5" unbalanced="0"/>
    <cacheHierarchy uniqueName="[Range].[TCS]" caption="TCS" attribute="1" defaultMemberUniqueName="[Range].[TCS].[All]" allUniqueName="[Range].[TCS].[All]" dimensionUniqueName="[Range]" displayFolder="" count="0" memberValueDatatype="5" unbalanced="0"/>
    <cacheHierarchy uniqueName="[Range].[Grand Total]" caption="Grand Total" attribute="1" defaultMemberUniqueName="[Range].[Grand Total].[All]" allUniqueName="[Range].[Grand Total].[All]" dimensionUniqueName="[Range]" displayFolder="" count="0" memberValueDatatype="5" unbalanced="0"/>
    <cacheHierarchy uniqueName="[Range].[Closing Balance]" caption="Closing Balance" attribute="1" defaultMemberUniqueName="[Range].[Closing Balance].[All]" allUniqueName="[Range].[Closing Balance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VAT %]" caption="VAT %" attribute="1" defaultMemberUniqueName="[Range].[VAT %].[All]" allUniqueName="[Range].[VAT %].[All]" dimensionUniqueName="[Range]" displayFolder="" count="0" memberValueDatatype="5" unbalanced="0"/>
    <cacheHierarchy uniqueName="[Range].[TCS %]" caption="TCS %" attribute="1" defaultMemberUniqueName="[Range].[TCS %].[All]" allUniqueName="[Range].[TCS %].[All]" dimensionUniqueName="[Range]" displayFolder="" count="0" memberValueDatatype="5" unbalanced="0"/>
    <cacheHierarchy uniqueName="[Range].[Item]" caption="Item" attribute="1" defaultMemberUniqueName="[Range].[Item].[All]" allUniqueName="[Range].[Item].[All]" dimensionUniqueName="[Range]" displayFolder="" count="2" memberValueDatatype="130" unbalanced="0">
      <fieldsUsage count="2">
        <fieldUsage x="-1"/>
        <fieldUsage x="1"/>
      </fieldsUsage>
    </cacheHierarchy>
    <cacheHierarchy uniqueName="[Range].[Liters]" caption="Liters" attribute="1" defaultMemberUniqueName="[Range].[Liters].[All]" allUniqueName="[Range].[Liters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Sl No.]" caption="Sl No." attribute="1" defaultMemberUniqueName="[Range 1].[Sl No.].[All]" allUniqueName="[Range 1].[Sl No.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Invoice/ MR No.]" caption="Invoice/ MR No." attribute="1" defaultMemberUniqueName="[Range 1].[Invoice/ MR No.].[All]" allUniqueName="[Range 1].[Invoice/ MR No.].[All]" dimensionUniqueName="[Range 1]" displayFolder="" count="0" memberValueDatatype="130" unbalanced="0"/>
    <cacheHierarchy uniqueName="[Range 1].[Invoice Type]" caption="Invoice Type" attribute="1" defaultMemberUniqueName="[Range 1].[Invoice Type].[All]" allUniqueName="[Range 1].[Invoice Type].[All]" dimensionUniqueName="[Range 1]" displayFolder="" count="0" memberValueDatatype="130" unbalanced="0"/>
    <cacheHierarchy uniqueName="[Range 1].[Oppening Balance]" caption="Oppening Balance" attribute="1" defaultMemberUniqueName="[Range 1].[Oppening Balance].[All]" allUniqueName="[Range 1].[Oppening Balance].[All]" dimensionUniqueName="[Range 1]" displayFolder="" count="0" memberValueDatatype="5" unbalanced="0"/>
    <cacheHierarchy uniqueName="[Range 1].[Credit Amount]" caption="Credit Amount" attribute="1" defaultMemberUniqueName="[Range 1].[Credit Amount].[All]" allUniqueName="[Range 1].[Credit Amount].[All]" dimensionUniqueName="[Range 1]" displayFolder="" count="0" memberValueDatatype="20" unbalanced="0"/>
    <cacheHierarchy uniqueName="[Range 1].[BL]" caption="BL" attribute="1" defaultMemberUniqueName="[Range 1].[BL].[All]" allUniqueName="[Range 1].[BL].[All]" dimensionUniqueName="[Range 1]" displayFolder="" count="0" memberValueDatatype="5" unbalanced="0"/>
    <cacheHierarchy uniqueName="[Range 1].[LPL]" caption="LPL" attribute="1" defaultMemberUniqueName="[Range 1].[LPL].[All]" allUniqueName="[Range 1].[LPL].[All]" dimensionUniqueName="[Range 1]" displayFolder="" count="0" memberValueDatatype="5" unbalanced="0"/>
    <cacheHierarchy uniqueName="[Range 1].[Sale Amount]" caption="Sale Amount" attribute="1" defaultMemberUniqueName="[Range 1].[Sale Amount].[All]" allUniqueName="[Range 1].[Sale Amount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TCS]" caption="TCS" attribute="1" defaultMemberUniqueName="[Range 1].[TCS].[All]" allUniqueName="[Range 1].[TCS].[All]" dimensionUniqueName="[Range 1]" displayFolder="" count="0" memberValueDatatype="5" unbalanced="0"/>
    <cacheHierarchy uniqueName="[Range 1].[Grand Total]" caption="Grand Total" attribute="1" defaultMemberUniqueName="[Range 1].[Grand Total].[All]" allUniqueName="[Range 1].[Grand Total].[All]" dimensionUniqueName="[Range 1]" displayFolder="" count="0" memberValueDatatype="5" unbalanced="0"/>
    <cacheHierarchy uniqueName="[Range 1].[Closing Balance]" caption="Closing Balance" attribute="1" defaultMemberUniqueName="[Range 1].[Closing Balance].[All]" allUniqueName="[Range 1].[Closing Balance].[All]" dimensionUniqueName="[Range 1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AT %]" caption="VAT %" attribute="1" defaultMemberUniqueName="[Range 1].[VAT %].[All]" allUniqueName="[Range 1].[VAT %].[All]" dimensionUniqueName="[Range 1]" displayFolder="" count="0" memberValueDatatype="5" unbalanced="0"/>
    <cacheHierarchy uniqueName="[Range 1].[TCS %]" caption="TCS %" attribute="1" defaultMemberUniqueName="[Range 1].[TCS %].[All]" allUniqueName="[Range 1].[TCS %].[All]" dimensionUniqueName="[Range 1]" displayFolder="" count="0" memberValueDatatype="5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Liters]" caption="Liters" attribute="1" defaultMemberUniqueName="[Range 1].[Liters].[All]" allUniqueName="[Range 1].[Liters].[All]" dimensionUniqueName="[Range 1]" displayFolder="" count="0" memberValueDatatype="5" unbalanced="0"/>
    <cacheHierarchy uniqueName="[Range 1].[CHECK]" caption="CHECK" attribute="1" defaultMemberUniqueName="[Range 1].[CHECK].[All]" allUniqueName="[Range 1].[CHECK].[All]" dimensionUniqueName="[Range 1]" displayFolder="" count="0" memberValueDatatype="11" unbalanced="0"/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Total Amount]" caption="Total Amount" attribute="1" defaultMemberUniqueName="[Range 2].[Total Amount].[All]" allUniqueName="[Range 2].[Total Amount].[All]" dimensionUniqueName="[Range 2]" displayFolder="" count="0" memberValueDatatype="5" unbalanced="0"/>
    <cacheHierarchy uniqueName="[Range 2].[MoM % Change]" caption="MoM % Change" attribute="1" defaultMemberUniqueName="[Range 2].[MoM % Change].[All]" allUniqueName="[Range 2].[MoM % Change].[All]" dimensionUniqueName="[Range 2]" displayFolder="" count="0" memberValueDatatype="5" unbalanced="0"/>
    <cacheHierarchy uniqueName="[Range 3].[Date]" caption="Date" attribute="1" defaultMemberUniqueName="[Range 3].[Date].[All]" allUniqueName="[Range 3].[Date].[All]" dimensionUniqueName="[Range 3]" displayFolder="" count="0" memberValueDatatype="130" unbalanced="0"/>
    <cacheHierarchy uniqueName="[Range 3].[Total Amount]" caption="Total Amount" attribute="1" defaultMemberUniqueName="[Range 3].[Total Amount].[All]" allUniqueName="[Range 3].[Total Amount].[All]" dimensionUniqueName="[Range 3]" displayFolder="" count="0" memberValueDatatype="5" unbalanced="0"/>
    <cacheHierarchy uniqueName="[Range 3].[MoM % Change]" caption="MoM % Change" attribute="1" defaultMemberUniqueName="[Range 3].[MoM % Change].[All]" allUniqueName="[Range 3].[MoM % Change].[All]" dimensionUniqueName="[Range 3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Liters]" caption="Count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]" caption="Sum of Liter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 2]" caption="Sum of Liters 2" measure="1" displayFolder="" measureGroup="Range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Grand Total]" caption="Sum of Grand Total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 Amount]" caption="Sum of Sale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AT]" caption="Sum of VA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CS]" caption="Sum of TC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M % Change]" caption="Sum of MoM % Change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MoM % Change 2]" caption="Sum of MoM % Change 2" measure="1" displayFolder="" measureGroup="Range 3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Credit Amount]" caption="Sum of Credit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YAG" refreshedDate="45858.545583564817" backgroundQuery="1" createdVersion="8" refreshedVersion="8" minRefreshableVersion="3" recordCount="0" supportSubquery="1" supportAdvancedDrill="1" xr:uid="{A1C5B888-5160-4A03-90F6-358A16B6DB51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Range 1].[Date].[Date]" caption="Date" numFmtId="0" hierarchy="22" level="1">
      <sharedItems containsSemiMixedTypes="0" containsNonDate="0" containsDate="1" containsString="0" minDate="2021-04-16T11:26:36" maxDate="2023-12-29T16:59:55" count="264">
        <d v="2021-04-16T11:26:36"/>
        <d v="2021-04-17T12:38:38"/>
        <d v="2021-04-19T13:07:27"/>
        <d v="2021-04-20T15:02:09"/>
        <d v="2021-04-22T17:44:11"/>
        <d v="2021-04-23T15:32:35"/>
        <d v="2021-04-26T11:06:50"/>
        <d v="2021-04-26T11:46:16"/>
        <d v="2021-04-27T16:10:48"/>
        <d v="2021-04-27T16:11:24"/>
        <d v="2021-04-28T15:03:30"/>
        <d v="2021-04-28T15:04:08"/>
        <d v="2021-04-29T16:21:33"/>
        <d v="2021-04-30T12:02:13"/>
        <d v="2021-05-03T12:10:23"/>
        <d v="2021-05-03T12:11:00"/>
        <d v="2021-05-04T14:59:04"/>
        <d v="2021-05-04T15:21:19"/>
        <d v="2021-05-18T11:52:14"/>
        <d v="2021-05-18T11:53:08"/>
        <d v="2021-05-20T10:07:03"/>
        <d v="2021-05-20T10:09:15"/>
        <d v="2021-05-24T09:15:26"/>
        <d v="2021-05-24T09:16:19"/>
        <d v="2021-05-28T08:30:47"/>
        <d v="2021-05-28T08:31:26"/>
        <d v="2021-06-03T09:33:56"/>
        <d v="2021-06-03T09:34:33"/>
        <d v="2021-06-09T09:07:04"/>
        <d v="2021-06-14T09:23:44"/>
        <d v="2021-06-14T09:24:13"/>
        <d v="2021-06-17T10:32:13"/>
        <d v="2021-06-17T10:32:48"/>
        <d v="2021-06-21T09:46:12"/>
        <d v="2021-06-21T09:56:17"/>
        <d v="2021-06-23T11:35:43"/>
        <d v="2021-06-25T09:50:16"/>
        <d v="2021-06-25T10:18:13"/>
        <d v="2021-06-29T11:38:01"/>
        <d v="2021-07-01T10:04:09"/>
        <d v="2021-07-01T10:04:37"/>
        <d v="2021-07-05T10:09:34"/>
        <d v="2021-07-07T10:12:27"/>
        <d v="2021-07-07T10:36:38"/>
        <d v="2021-07-09T09:49:16"/>
        <d v="2021-07-09T09:50:03"/>
        <d v="2021-07-14T12:34:27"/>
        <d v="2021-07-14T12:35:25"/>
        <d v="2021-07-16T10:21:20"/>
        <d v="2021-07-16T10:47:10"/>
        <d v="2021-07-20T10:46:15"/>
        <d v="2021-07-20T10:46:58"/>
        <d v="2021-07-26T11:58:53"/>
        <d v="2021-07-26T12:00:18"/>
        <d v="2021-07-28T11:29:48"/>
        <d v="2021-07-28T11:42:27"/>
        <d v="2021-07-30T11:00:34"/>
        <d v="2021-08-03T10:41:09"/>
        <d v="2021-08-03T10:42:05"/>
        <d v="2021-08-07T09:47:45"/>
        <d v="2021-08-07T09:53:32"/>
        <d v="2021-08-10T10:50:23"/>
        <d v="2021-08-10T10:51:18"/>
        <d v="2021-08-14T10:15:58"/>
        <d v="2021-08-14T10:16:32"/>
        <d v="2021-08-17T10:37:11"/>
        <d v="2021-08-21T10:06:49"/>
        <d v="2021-08-21T10:07:29"/>
        <d v="2021-08-24T10:53:29"/>
        <d v="2021-08-24T10:54:09"/>
        <d v="2021-08-28T09:56:43"/>
        <d v="2021-08-28T09:57:30"/>
        <d v="2021-09-01T10:10:51"/>
        <d v="2021-09-01T10:12:25"/>
        <d v="2021-09-03T10:23:14"/>
        <d v="2021-09-06T10:44:51"/>
        <d v="2021-09-06T10:45:35"/>
        <d v="2021-09-11T10:07:16"/>
        <d v="2021-09-11T10:08:34"/>
        <d v="2021-09-14T10:20:11"/>
        <d v="2021-09-18T10:00:29"/>
        <d v="2021-09-18T10:00:53"/>
        <d v="2021-09-21T10:21:52"/>
        <d v="2021-09-21T10:22:46"/>
        <d v="2021-09-25T10:21:38"/>
        <d v="2021-09-25T10:22:25"/>
        <d v="2021-09-30T10:03:13"/>
        <d v="2021-10-01T12:00:09"/>
        <d v="2021-10-01T12:02:10"/>
        <d v="2021-10-04T11:36:11"/>
        <d v="2021-10-07T11:06:16"/>
        <d v="2021-10-07T11:27:26"/>
        <d v="2021-10-12T10:10:08"/>
        <d v="2021-10-12T11:22:28"/>
        <d v="2021-10-16T10:02:39"/>
        <d v="2021-10-16T10:37:05"/>
        <d v="2021-10-22T11:19:23"/>
        <d v="2021-10-26T10:26:09"/>
        <d v="2021-10-26T10:27:01"/>
        <d v="2021-11-02T10:19:16"/>
        <d v="2021-11-06T10:36:00"/>
        <d v="2021-11-06T12:01:54"/>
        <d v="2021-11-11T11:25:48"/>
        <d v="2021-11-11T11:26:34"/>
        <d v="2021-11-16T11:32:58"/>
        <d v="2021-11-16T11:33:31"/>
        <d v="2021-11-20T11:33:06"/>
        <d v="2021-11-20T11:34:29"/>
        <d v="2021-11-24T11:16:35"/>
        <d v="2021-11-24T11:43:27"/>
        <d v="2021-11-27T11:07:54"/>
        <d v="2021-11-30T11:04:46"/>
        <d v="2021-11-30T11:21:52"/>
        <d v="2021-12-06T11:19:30"/>
        <d v="2021-12-10T11:15:06"/>
        <d v="2021-12-10T11:16:06"/>
        <d v="2021-12-13T12:14:29"/>
        <d v="2021-12-16T11:16:56"/>
        <d v="2021-12-16T12:07:15"/>
        <d v="2021-12-20T11:46:16"/>
        <d v="2021-12-23T12:48:34"/>
        <d v="2021-12-27T11:45:25"/>
        <d v="2021-12-27T11:48:30"/>
        <d v="2021-12-31T11:34:44"/>
        <d v="2022-01-01T11:10:03"/>
        <d v="2022-01-05T10:52:47"/>
        <d v="2022-01-08T12:55:27"/>
        <d v="2022-01-10T11:16:53"/>
        <d v="2022-01-19T11:24:18"/>
        <d v="2022-01-21T11:24:02"/>
        <d v="2022-01-25T11:51:21"/>
        <d v="2022-01-27T11:43:42"/>
        <d v="2022-01-27T11:44:18"/>
        <d v="2022-02-03T12:42:10"/>
        <d v="2022-02-03T12:43:12"/>
        <d v="2022-02-10T13:02:28"/>
        <d v="2022-03-30T22:15:17"/>
        <d v="2022-03-30T22:15:50"/>
        <d v="2022-04-25T21:13:45"/>
        <d v="2022-04-25T21:15:08"/>
        <d v="2022-05-04T12:36:23"/>
        <d v="2022-05-04T12:37:02"/>
        <d v="2022-05-09T12:06:59"/>
        <d v="2022-05-16T17:11:23"/>
        <d v="2022-05-20T12:23:12"/>
        <d v="2022-05-23T12:51:07"/>
        <d v="2022-05-23T17:13:35"/>
        <d v="2022-05-31T12:32:35"/>
        <d v="2022-06-04T13:00:10"/>
        <d v="2022-06-07T16:18:14"/>
        <d v="2022-06-09T11:41:41"/>
        <d v="2022-06-11T16:35:03"/>
        <d v="2022-06-17T11:17:04"/>
        <d v="2022-06-20T17:12:50"/>
        <d v="2022-06-20T17:13:48"/>
        <d v="2022-06-27T16:25:21"/>
        <d v="2022-07-02T16:21:12"/>
        <d v="2022-07-11T16:23:42"/>
        <d v="2022-07-20T16:56:44"/>
        <d v="2022-07-20T16:57:36"/>
        <d v="2022-07-29T15:56:55"/>
        <d v="2022-08-01T15:56:57"/>
        <d v="2022-08-09T12:57:03"/>
        <d v="2022-08-09T12:57:36"/>
        <d v="2022-08-12T15:45:55"/>
        <d v="2022-08-22T16:33:24"/>
        <d v="2022-08-22T16:35:51"/>
        <d v="2022-09-02T16:14:02"/>
        <d v="2022-09-02T16:16:33"/>
        <d v="2022-09-12T12:34:38"/>
        <d v="2022-09-15T13:15:25"/>
        <d v="2022-09-15T15:17:46"/>
        <d v="2022-09-22T15:52:51"/>
        <d v="2022-09-22T16:17:19"/>
        <d v="2022-09-29T11:51:37"/>
        <d v="2022-10-01T12:07:34"/>
        <d v="2022-10-07T10:08:24"/>
        <d v="2022-10-11T15:24:35"/>
        <d v="2022-10-22T15:26:51"/>
        <d v="2022-11-01T12:10:10"/>
        <d v="2022-11-07T15:09:21"/>
        <d v="2022-11-11T16:12:26"/>
        <d v="2022-11-11T16:13:27"/>
        <d v="2022-11-15T15:39:32"/>
        <d v="2022-11-17T13:01:40"/>
        <d v="2022-11-23T12:06:35"/>
        <d v="2022-11-23T12:07:20"/>
        <d v="2022-12-02T11:40:43"/>
        <d v="2022-12-06T15:10:41"/>
        <d v="2022-12-06T15:12:52"/>
        <d v="2022-12-19T18:26:12"/>
        <d v="2022-12-19T18:39:07"/>
        <d v="2022-12-29T17:18:35"/>
        <d v="2023-01-03T15:39:49"/>
        <d v="2023-01-18T16:03:55"/>
        <d v="2023-01-25T13:16:17"/>
        <d v="2023-01-25T13:20:41"/>
        <d v="2023-01-30T18:02:55"/>
        <d v="2023-02-07T15:11:30"/>
        <d v="2023-02-10T11:53:13"/>
        <d v="2023-02-16T16:37:42"/>
        <d v="2023-02-27T12:36:42"/>
        <d v="2023-03-04T12:29:17"/>
        <d v="2023-03-06T11:13:54"/>
        <d v="2023-03-09T12:54:54"/>
        <d v="2023-03-31T13:04:48"/>
        <d v="2023-04-10T22:33:27"/>
        <d v="2023-04-10T22:37:09"/>
        <d v="2023-04-13T19:35:32"/>
        <d v="2023-04-13T19:36:40"/>
        <d v="2023-05-03T16:48:26"/>
        <d v="2023-05-03T16:49:45"/>
        <d v="2023-05-10T15:56:15"/>
        <d v="2023-05-12T12:52:04"/>
        <d v="2023-05-17T13:01:24"/>
        <d v="2023-05-20T22:40:53"/>
        <d v="2023-05-30T16:52:22"/>
        <d v="2023-05-30T16:53:09"/>
        <d v="2023-06-02T12:44:27"/>
        <d v="2023-06-02T12:45:31"/>
        <d v="2023-06-06T19:40:00"/>
        <d v="2023-06-12T17:25:42"/>
        <d v="2023-06-17T22:51:44"/>
        <d v="2023-06-17T22:52:07"/>
        <d v="2023-06-19T21:39:15"/>
        <d v="2023-06-22T17:14:25"/>
        <d v="2023-06-24T18:44:01"/>
        <d v="2023-06-24T18:45:14"/>
        <d v="2023-06-29T17:28:58"/>
        <d v="2023-07-04T17:38:28"/>
        <d v="2023-07-04T17:40:34"/>
        <d v="2023-07-14T12:01:00"/>
        <d v="2023-07-14T12:02:50"/>
        <d v="2023-07-27T17:38:50"/>
        <d v="2023-08-07T16:30:38"/>
        <d v="2023-08-07T16:31:37"/>
        <d v="2023-08-17T17:36:13"/>
        <d v="2023-08-24T13:05:08"/>
        <d v="2023-08-24T13:06:30"/>
        <d v="2023-09-01T16:23:18"/>
        <d v="2023-09-11T15:18:15"/>
        <d v="2023-09-11T15:19:42"/>
        <d v="2023-09-16T11:48:24"/>
        <d v="2023-09-18T10:49:41"/>
        <d v="2023-09-28T13:13:08"/>
        <d v="2023-09-28T13:13:38"/>
        <d v="2023-10-09T13:06:14"/>
        <d v="2023-10-17T13:25:31"/>
        <d v="2023-10-17T14:27:54"/>
        <d v="2023-10-26T15:15:13"/>
        <d v="2023-10-26T15:16:06"/>
        <d v="2023-11-09T11:57:50"/>
        <d v="2023-11-14T15:08:47"/>
        <d v="2023-11-14T15:09:32"/>
        <d v="2023-11-20T11:32:38"/>
        <d v="2023-11-20T11:33:25"/>
        <d v="2023-11-28T15:50:05"/>
        <d v="2023-11-28T15:51:14"/>
        <d v="2023-12-08T15:15:34"/>
        <d v="2023-12-11T14:33:13"/>
        <d v="2023-12-11T14:34:02"/>
        <d v="2023-12-15T15:06:34"/>
        <d v="2023-12-29T16:58:03"/>
        <d v="2023-12-29T16:59:55"/>
      </sharedItems>
      <extLst>
        <ext xmlns:x15="http://schemas.microsoft.com/office/spreadsheetml/2010/11/main" uri="{4F2E5C28-24EA-4eb8-9CBF-B6C8F9C3D259}">
          <x15:cachedUniqueNames>
            <x15:cachedUniqueName index="0" name="[Range 1].[Date].&amp;[2021-04-16T11:26:36]"/>
            <x15:cachedUniqueName index="1" name="[Range 1].[Date].&amp;[2021-04-17T12:38:38]"/>
            <x15:cachedUniqueName index="2" name="[Range 1].[Date].&amp;[2021-04-19T13:07:27]"/>
            <x15:cachedUniqueName index="3" name="[Range 1].[Date].&amp;[2021-04-20T15:02:09]"/>
            <x15:cachedUniqueName index="4" name="[Range 1].[Date].&amp;[2021-04-22T17:44:11]"/>
            <x15:cachedUniqueName index="5" name="[Range 1].[Date].&amp;[2021-04-23T15:32:35]"/>
            <x15:cachedUniqueName index="6" name="[Range 1].[Date].&amp;[2021-04-26T11:06:50]"/>
            <x15:cachedUniqueName index="7" name="[Range 1].[Date].&amp;[2021-04-26T11:46:16]"/>
            <x15:cachedUniqueName index="8" name="[Range 1].[Date].&amp;[2021-04-27T16:10:48]"/>
            <x15:cachedUniqueName index="9" name="[Range 1].[Date].&amp;[2021-04-27T16:11:24]"/>
            <x15:cachedUniqueName index="10" name="[Range 1].[Date].&amp;[2021-04-28T15:03:30]"/>
            <x15:cachedUniqueName index="11" name="[Range 1].[Date].&amp;[2021-04-28T15:04:08]"/>
            <x15:cachedUniqueName index="12" name="[Range 1].[Date].&amp;[2021-04-29T16:21:33]"/>
            <x15:cachedUniqueName index="13" name="[Range 1].[Date].&amp;[2021-04-30T12:02:13]"/>
            <x15:cachedUniqueName index="14" name="[Range 1].[Date].&amp;[2021-05-03T12:10:23]"/>
            <x15:cachedUniqueName index="15" name="[Range 1].[Date].&amp;[2021-05-03T12:11:00]"/>
            <x15:cachedUniqueName index="16" name="[Range 1].[Date].&amp;[2021-05-04T14:59:04]"/>
            <x15:cachedUniqueName index="17" name="[Range 1].[Date].&amp;[2021-05-04T15:21:19]"/>
            <x15:cachedUniqueName index="18" name="[Range 1].[Date].&amp;[2021-05-18T11:52:14]"/>
            <x15:cachedUniqueName index="19" name="[Range 1].[Date].&amp;[2021-05-18T11:53:08]"/>
            <x15:cachedUniqueName index="20" name="[Range 1].[Date].&amp;[2021-05-20T10:07:03]"/>
            <x15:cachedUniqueName index="21" name="[Range 1].[Date].&amp;[2021-05-20T10:09:15]"/>
            <x15:cachedUniqueName index="22" name="[Range 1].[Date].&amp;[2021-05-24T09:15:26]"/>
            <x15:cachedUniqueName index="23" name="[Range 1].[Date].&amp;[2021-05-24T09:16:19]"/>
            <x15:cachedUniqueName index="24" name="[Range 1].[Date].&amp;[2021-05-28T08:30:47]"/>
            <x15:cachedUniqueName index="25" name="[Range 1].[Date].&amp;[2021-05-28T08:31:26]"/>
            <x15:cachedUniqueName index="26" name="[Range 1].[Date].&amp;[2021-06-03T09:33:56]"/>
            <x15:cachedUniqueName index="27" name="[Range 1].[Date].&amp;[2021-06-03T09:34:33]"/>
            <x15:cachedUniqueName index="28" name="[Range 1].[Date].&amp;[2021-06-09T09:07:04]"/>
            <x15:cachedUniqueName index="29" name="[Range 1].[Date].&amp;[2021-06-14T09:23:44]"/>
            <x15:cachedUniqueName index="30" name="[Range 1].[Date].&amp;[2021-06-14T09:24:13]"/>
            <x15:cachedUniqueName index="31" name="[Range 1].[Date].&amp;[2021-06-17T10:32:13]"/>
            <x15:cachedUniqueName index="32" name="[Range 1].[Date].&amp;[2021-06-17T10:32:48]"/>
            <x15:cachedUniqueName index="33" name="[Range 1].[Date].&amp;[2021-06-21T09:46:12]"/>
            <x15:cachedUniqueName index="34" name="[Range 1].[Date].&amp;[2021-06-21T09:56:17]"/>
            <x15:cachedUniqueName index="35" name="[Range 1].[Date].&amp;[2021-06-23T11:35:43]"/>
            <x15:cachedUniqueName index="36" name="[Range 1].[Date].&amp;[2021-06-25T09:50:16]"/>
            <x15:cachedUniqueName index="37" name="[Range 1].[Date].&amp;[2021-06-25T10:18:13]"/>
            <x15:cachedUniqueName index="38" name="[Range 1].[Date].&amp;[2021-06-29T11:38:01]"/>
            <x15:cachedUniqueName index="39" name="[Range 1].[Date].&amp;[2021-07-01T10:04:09]"/>
            <x15:cachedUniqueName index="40" name="[Range 1].[Date].&amp;[2021-07-01T10:04:37]"/>
            <x15:cachedUniqueName index="41" name="[Range 1].[Date].&amp;[2021-07-05T10:09:34]"/>
            <x15:cachedUniqueName index="42" name="[Range 1].[Date].&amp;[2021-07-07T10:12:27]"/>
            <x15:cachedUniqueName index="43" name="[Range 1].[Date].&amp;[2021-07-07T10:36:38]"/>
            <x15:cachedUniqueName index="44" name="[Range 1].[Date].&amp;[2021-07-09T09:49:16]"/>
            <x15:cachedUniqueName index="45" name="[Range 1].[Date].&amp;[2021-07-09T09:50:03]"/>
            <x15:cachedUniqueName index="46" name="[Range 1].[Date].&amp;[2021-07-14T12:34:27]"/>
            <x15:cachedUniqueName index="47" name="[Range 1].[Date].&amp;[2021-07-14T12:35:25]"/>
            <x15:cachedUniqueName index="48" name="[Range 1].[Date].&amp;[2021-07-16T10:21:20]"/>
            <x15:cachedUniqueName index="49" name="[Range 1].[Date].&amp;[2021-07-16T10:47:10]"/>
            <x15:cachedUniqueName index="50" name="[Range 1].[Date].&amp;[2021-07-20T10:46:15]"/>
            <x15:cachedUniqueName index="51" name="[Range 1].[Date].&amp;[2021-07-20T10:46:58]"/>
            <x15:cachedUniqueName index="52" name="[Range 1].[Date].&amp;[2021-07-26T11:58:53]"/>
            <x15:cachedUniqueName index="53" name="[Range 1].[Date].&amp;[2021-07-26T12:00:18]"/>
            <x15:cachedUniqueName index="54" name="[Range 1].[Date].&amp;[2021-07-28T11:29:48]"/>
            <x15:cachedUniqueName index="55" name="[Range 1].[Date].&amp;[2021-07-28T11:42:27]"/>
            <x15:cachedUniqueName index="56" name="[Range 1].[Date].&amp;[2021-07-30T11:00:34]"/>
            <x15:cachedUniqueName index="57" name="[Range 1].[Date].&amp;[2021-08-03T10:41:09]"/>
            <x15:cachedUniqueName index="58" name="[Range 1].[Date].&amp;[2021-08-03T10:42:05]"/>
            <x15:cachedUniqueName index="59" name="[Range 1].[Date].&amp;[2021-08-07T09:47:45]"/>
            <x15:cachedUniqueName index="60" name="[Range 1].[Date].&amp;[2021-08-07T09:53:32]"/>
            <x15:cachedUniqueName index="61" name="[Range 1].[Date].&amp;[2021-08-10T10:50:23]"/>
            <x15:cachedUniqueName index="62" name="[Range 1].[Date].&amp;[2021-08-10T10:51:18]"/>
            <x15:cachedUniqueName index="63" name="[Range 1].[Date].&amp;[2021-08-14T10:15:58]"/>
            <x15:cachedUniqueName index="64" name="[Range 1].[Date].&amp;[2021-08-14T10:16:32]"/>
            <x15:cachedUniqueName index="65" name="[Range 1].[Date].&amp;[2021-08-17T10:37:11]"/>
            <x15:cachedUniqueName index="66" name="[Range 1].[Date].&amp;[2021-08-21T10:06:49]"/>
            <x15:cachedUniqueName index="67" name="[Range 1].[Date].&amp;[2021-08-21T10:07:29]"/>
            <x15:cachedUniqueName index="68" name="[Range 1].[Date].&amp;[2021-08-24T10:53:29]"/>
            <x15:cachedUniqueName index="69" name="[Range 1].[Date].&amp;[2021-08-24T10:54:09]"/>
            <x15:cachedUniqueName index="70" name="[Range 1].[Date].&amp;[2021-08-28T09:56:43]"/>
            <x15:cachedUniqueName index="71" name="[Range 1].[Date].&amp;[2021-08-28T09:57:30]"/>
            <x15:cachedUniqueName index="72" name="[Range 1].[Date].&amp;[2021-09-01T10:10:51]"/>
            <x15:cachedUniqueName index="73" name="[Range 1].[Date].&amp;[2021-09-01T10:12:25]"/>
            <x15:cachedUniqueName index="74" name="[Range 1].[Date].&amp;[2021-09-03T10:23:14]"/>
            <x15:cachedUniqueName index="75" name="[Range 1].[Date].&amp;[2021-09-06T10:44:51]"/>
            <x15:cachedUniqueName index="76" name="[Range 1].[Date].&amp;[2021-09-06T10:45:35]"/>
            <x15:cachedUniqueName index="77" name="[Range 1].[Date].&amp;[2021-09-11T10:07:16]"/>
            <x15:cachedUniqueName index="78" name="[Range 1].[Date].&amp;[2021-09-11T10:08:34]"/>
            <x15:cachedUniqueName index="79" name="[Range 1].[Date].&amp;[2021-09-14T10:20:11]"/>
            <x15:cachedUniqueName index="80" name="[Range 1].[Date].&amp;[2021-09-18T10:00:29]"/>
            <x15:cachedUniqueName index="81" name="[Range 1].[Date].&amp;[2021-09-18T10:00:53]"/>
            <x15:cachedUniqueName index="82" name="[Range 1].[Date].&amp;[2021-09-21T10:21:52]"/>
            <x15:cachedUniqueName index="83" name="[Range 1].[Date].&amp;[2021-09-21T10:22:46]"/>
            <x15:cachedUniqueName index="84" name="[Range 1].[Date].&amp;[2021-09-25T10:21:38]"/>
            <x15:cachedUniqueName index="85" name="[Range 1].[Date].&amp;[2021-09-25T10:22:25]"/>
            <x15:cachedUniqueName index="86" name="[Range 1].[Date].&amp;[2021-09-30T10:03:13]"/>
            <x15:cachedUniqueName index="87" name="[Range 1].[Date].&amp;[2021-10-01T12:00:09]"/>
            <x15:cachedUniqueName index="88" name="[Range 1].[Date].&amp;[2021-10-01T12:02:10]"/>
            <x15:cachedUniqueName index="89" name="[Range 1].[Date].&amp;[2021-10-04T11:36:11]"/>
            <x15:cachedUniqueName index="90" name="[Range 1].[Date].&amp;[2021-10-07T11:06:16]"/>
            <x15:cachedUniqueName index="91" name="[Range 1].[Date].&amp;[2021-10-07T11:27:26]"/>
            <x15:cachedUniqueName index="92" name="[Range 1].[Date].&amp;[2021-10-12T10:10:08]"/>
            <x15:cachedUniqueName index="93" name="[Range 1].[Date].&amp;[2021-10-12T11:22:28]"/>
            <x15:cachedUniqueName index="94" name="[Range 1].[Date].&amp;[2021-10-16T10:02:39]"/>
            <x15:cachedUniqueName index="95" name="[Range 1].[Date].&amp;[2021-10-16T10:37:05]"/>
            <x15:cachedUniqueName index="96" name="[Range 1].[Date].&amp;[2021-10-22T11:19:23]"/>
            <x15:cachedUniqueName index="97" name="[Range 1].[Date].&amp;[2021-10-26T10:26:09]"/>
            <x15:cachedUniqueName index="98" name="[Range 1].[Date].&amp;[2021-10-26T10:27:01]"/>
            <x15:cachedUniqueName index="99" name="[Range 1].[Date].&amp;[2021-11-02T10:19:16]"/>
            <x15:cachedUniqueName index="100" name="[Range 1].[Date].&amp;[2021-11-06T10:36:00]"/>
            <x15:cachedUniqueName index="101" name="[Range 1].[Date].&amp;[2021-11-06T12:01:54]"/>
            <x15:cachedUniqueName index="102" name="[Range 1].[Date].&amp;[2021-11-11T11:25:48]"/>
            <x15:cachedUniqueName index="103" name="[Range 1].[Date].&amp;[2021-11-11T11:26:34]"/>
            <x15:cachedUniqueName index="104" name="[Range 1].[Date].&amp;[2021-11-16T11:32:58]"/>
            <x15:cachedUniqueName index="105" name="[Range 1].[Date].&amp;[2021-11-16T11:33:31]"/>
            <x15:cachedUniqueName index="106" name="[Range 1].[Date].&amp;[2021-11-20T11:33:06]"/>
            <x15:cachedUniqueName index="107" name="[Range 1].[Date].&amp;[2021-11-20T11:34:29]"/>
            <x15:cachedUniqueName index="108" name="[Range 1].[Date].&amp;[2021-11-24T11:16:35]"/>
            <x15:cachedUniqueName index="109" name="[Range 1].[Date].&amp;[2021-11-24T11:43:27]"/>
            <x15:cachedUniqueName index="110" name="[Range 1].[Date].&amp;[2021-11-27T11:07:54]"/>
            <x15:cachedUniqueName index="111" name="[Range 1].[Date].&amp;[2021-11-30T11:04:46]"/>
            <x15:cachedUniqueName index="112" name="[Range 1].[Date].&amp;[2021-11-30T11:21:52]"/>
            <x15:cachedUniqueName index="113" name="[Range 1].[Date].&amp;[2021-12-06T11:19:30]"/>
            <x15:cachedUniqueName index="114" name="[Range 1].[Date].&amp;[2021-12-10T11:15:06]"/>
            <x15:cachedUniqueName index="115" name="[Range 1].[Date].&amp;[2021-12-10T11:16:06]"/>
            <x15:cachedUniqueName index="116" name="[Range 1].[Date].&amp;[2021-12-13T12:14:29]"/>
            <x15:cachedUniqueName index="117" name="[Range 1].[Date].&amp;[2021-12-16T11:16:56]"/>
            <x15:cachedUniqueName index="118" name="[Range 1].[Date].&amp;[2021-12-16T12:07:15]"/>
            <x15:cachedUniqueName index="119" name="[Range 1].[Date].&amp;[2021-12-20T11:46:16]"/>
            <x15:cachedUniqueName index="120" name="[Range 1].[Date].&amp;[2021-12-23T12:48:34]"/>
            <x15:cachedUniqueName index="121" name="[Range 1].[Date].&amp;[2021-12-27T11:45:25]"/>
            <x15:cachedUniqueName index="122" name="[Range 1].[Date].&amp;[2021-12-27T11:48:30]"/>
            <x15:cachedUniqueName index="123" name="[Range 1].[Date].&amp;[2021-12-31T11:34:44]"/>
            <x15:cachedUniqueName index="124" name="[Range 1].[Date].&amp;[2022-01-01T11:10:03]"/>
            <x15:cachedUniqueName index="125" name="[Range 1].[Date].&amp;[2022-01-05T10:52:47]"/>
            <x15:cachedUniqueName index="126" name="[Range 1].[Date].&amp;[2022-01-08T12:55:27]"/>
            <x15:cachedUniqueName index="127" name="[Range 1].[Date].&amp;[2022-01-10T11:16:53]"/>
            <x15:cachedUniqueName index="128" name="[Range 1].[Date].&amp;[2022-01-19T11:24:18]"/>
            <x15:cachedUniqueName index="129" name="[Range 1].[Date].&amp;[2022-01-21T11:24:02]"/>
            <x15:cachedUniqueName index="130" name="[Range 1].[Date].&amp;[2022-01-25T11:51:21]"/>
            <x15:cachedUniqueName index="131" name="[Range 1].[Date].&amp;[2022-01-27T11:43:42]"/>
            <x15:cachedUniqueName index="132" name="[Range 1].[Date].&amp;[2022-01-27T11:44:18]"/>
            <x15:cachedUniqueName index="133" name="[Range 1].[Date].&amp;[2022-02-03T12:42:10]"/>
            <x15:cachedUniqueName index="134" name="[Range 1].[Date].&amp;[2022-02-03T12:43:12]"/>
            <x15:cachedUniqueName index="135" name="[Range 1].[Date].&amp;[2022-02-10T13:02:28]"/>
            <x15:cachedUniqueName index="136" name="[Range 1].[Date].&amp;[2022-03-30T22:15:17]"/>
            <x15:cachedUniqueName index="137" name="[Range 1].[Date].&amp;[2022-03-30T22:15:50]"/>
            <x15:cachedUniqueName index="138" name="[Range 1].[Date].&amp;[2022-04-25T21:13:45]"/>
            <x15:cachedUniqueName index="139" name="[Range 1].[Date].&amp;[2022-04-25T21:15:08]"/>
            <x15:cachedUniqueName index="140" name="[Range 1].[Date].&amp;[2022-05-04T12:36:23]"/>
            <x15:cachedUniqueName index="141" name="[Range 1].[Date].&amp;[2022-05-04T12:37:02]"/>
            <x15:cachedUniqueName index="142" name="[Range 1].[Date].&amp;[2022-05-09T12:06:59]"/>
            <x15:cachedUniqueName index="143" name="[Range 1].[Date].&amp;[2022-05-16T17:11:23]"/>
            <x15:cachedUniqueName index="144" name="[Range 1].[Date].&amp;[2022-05-20T12:23:12]"/>
            <x15:cachedUniqueName index="145" name="[Range 1].[Date].&amp;[2022-05-23T12:51:07]"/>
            <x15:cachedUniqueName index="146" name="[Range 1].[Date].&amp;[2022-05-23T17:13:35]"/>
            <x15:cachedUniqueName index="147" name="[Range 1].[Date].&amp;[2022-05-31T12:32:35]"/>
            <x15:cachedUniqueName index="148" name="[Range 1].[Date].&amp;[2022-06-04T13:00:10]"/>
            <x15:cachedUniqueName index="149" name="[Range 1].[Date].&amp;[2022-06-07T16:18:14]"/>
            <x15:cachedUniqueName index="150" name="[Range 1].[Date].&amp;[2022-06-09T11:41:41]"/>
            <x15:cachedUniqueName index="151" name="[Range 1].[Date].&amp;[2022-06-11T16:35:03]"/>
            <x15:cachedUniqueName index="152" name="[Range 1].[Date].&amp;[2022-06-17T11:17:04]"/>
            <x15:cachedUniqueName index="153" name="[Range 1].[Date].&amp;[2022-06-20T17:12:50]"/>
            <x15:cachedUniqueName index="154" name="[Range 1].[Date].&amp;[2022-06-20T17:13:48]"/>
            <x15:cachedUniqueName index="155" name="[Range 1].[Date].&amp;[2022-06-27T16:25:21]"/>
            <x15:cachedUniqueName index="156" name="[Range 1].[Date].&amp;[2022-07-02T16:21:12]"/>
            <x15:cachedUniqueName index="157" name="[Range 1].[Date].&amp;[2022-07-11T16:23:42]"/>
            <x15:cachedUniqueName index="158" name="[Range 1].[Date].&amp;[2022-07-20T16:56:44]"/>
            <x15:cachedUniqueName index="159" name="[Range 1].[Date].&amp;[2022-07-20T16:57:36]"/>
            <x15:cachedUniqueName index="160" name="[Range 1].[Date].&amp;[2022-07-29T15:56:55]"/>
            <x15:cachedUniqueName index="161" name="[Range 1].[Date].&amp;[2022-08-01T15:56:57]"/>
            <x15:cachedUniqueName index="162" name="[Range 1].[Date].&amp;[2022-08-09T12:57:03]"/>
            <x15:cachedUniqueName index="163" name="[Range 1].[Date].&amp;[2022-08-09T12:57:36]"/>
            <x15:cachedUniqueName index="164" name="[Range 1].[Date].&amp;[2022-08-12T15:45:55]"/>
            <x15:cachedUniqueName index="165" name="[Range 1].[Date].&amp;[2022-08-22T16:33:24]"/>
            <x15:cachedUniqueName index="166" name="[Range 1].[Date].&amp;[2022-08-22T16:35:51]"/>
            <x15:cachedUniqueName index="167" name="[Range 1].[Date].&amp;[2022-09-02T16:14:02]"/>
            <x15:cachedUniqueName index="168" name="[Range 1].[Date].&amp;[2022-09-02T16:16:33]"/>
            <x15:cachedUniqueName index="169" name="[Range 1].[Date].&amp;[2022-09-12T12:34:38]"/>
            <x15:cachedUniqueName index="170" name="[Range 1].[Date].&amp;[2022-09-15T13:15:25]"/>
            <x15:cachedUniqueName index="171" name="[Range 1].[Date].&amp;[2022-09-15T15:17:46]"/>
            <x15:cachedUniqueName index="172" name="[Range 1].[Date].&amp;[2022-09-22T15:52:51]"/>
            <x15:cachedUniqueName index="173" name="[Range 1].[Date].&amp;[2022-09-22T16:17:19]"/>
            <x15:cachedUniqueName index="174" name="[Range 1].[Date].&amp;[2022-09-29T11:51:37]"/>
            <x15:cachedUniqueName index="175" name="[Range 1].[Date].&amp;[2022-10-01T12:07:34]"/>
            <x15:cachedUniqueName index="176" name="[Range 1].[Date].&amp;[2022-10-07T10:08:24]"/>
            <x15:cachedUniqueName index="177" name="[Range 1].[Date].&amp;[2022-10-11T15:24:35]"/>
            <x15:cachedUniqueName index="178" name="[Range 1].[Date].&amp;[2022-10-22T15:26:51]"/>
            <x15:cachedUniqueName index="179" name="[Range 1].[Date].&amp;[2022-11-01T12:10:10]"/>
            <x15:cachedUniqueName index="180" name="[Range 1].[Date].&amp;[2022-11-07T15:09:21]"/>
            <x15:cachedUniqueName index="181" name="[Range 1].[Date].&amp;[2022-11-11T16:12:26]"/>
            <x15:cachedUniqueName index="182" name="[Range 1].[Date].&amp;[2022-11-11T16:13:27]"/>
            <x15:cachedUniqueName index="183" name="[Range 1].[Date].&amp;[2022-11-15T15:39:32]"/>
            <x15:cachedUniqueName index="184" name="[Range 1].[Date].&amp;[2022-11-17T13:01:40]"/>
            <x15:cachedUniqueName index="185" name="[Range 1].[Date].&amp;[2022-11-23T12:06:35]"/>
            <x15:cachedUniqueName index="186" name="[Range 1].[Date].&amp;[2022-11-23T12:07:20]"/>
            <x15:cachedUniqueName index="187" name="[Range 1].[Date].&amp;[2022-12-02T11:40:43]"/>
            <x15:cachedUniqueName index="188" name="[Range 1].[Date].&amp;[2022-12-06T15:10:41]"/>
            <x15:cachedUniqueName index="189" name="[Range 1].[Date].&amp;[2022-12-06T15:12:52]"/>
            <x15:cachedUniqueName index="190" name="[Range 1].[Date].&amp;[2022-12-19T18:26:12]"/>
            <x15:cachedUniqueName index="191" name="[Range 1].[Date].&amp;[2022-12-19T18:39:07]"/>
            <x15:cachedUniqueName index="192" name="[Range 1].[Date].&amp;[2022-12-29T17:18:35]"/>
            <x15:cachedUniqueName index="193" name="[Range 1].[Date].&amp;[2023-01-03T15:39:49]"/>
            <x15:cachedUniqueName index="194" name="[Range 1].[Date].&amp;[2023-01-18T16:03:55]"/>
            <x15:cachedUniqueName index="195" name="[Range 1].[Date].&amp;[2023-01-25T13:16:17]"/>
            <x15:cachedUniqueName index="196" name="[Range 1].[Date].&amp;[2023-01-25T13:20:41]"/>
            <x15:cachedUniqueName index="197" name="[Range 1].[Date].&amp;[2023-01-30T18:02:55]"/>
            <x15:cachedUniqueName index="198" name="[Range 1].[Date].&amp;[2023-02-07T15:11:30]"/>
            <x15:cachedUniqueName index="199" name="[Range 1].[Date].&amp;[2023-02-10T11:53:13]"/>
            <x15:cachedUniqueName index="200" name="[Range 1].[Date].&amp;[2023-02-16T16:37:42]"/>
            <x15:cachedUniqueName index="201" name="[Range 1].[Date].&amp;[2023-02-27T12:36:42]"/>
            <x15:cachedUniqueName index="202" name="[Range 1].[Date].&amp;[2023-03-04T12:29:17]"/>
            <x15:cachedUniqueName index="203" name="[Range 1].[Date].&amp;[2023-03-06T11:13:54]"/>
            <x15:cachedUniqueName index="204" name="[Range 1].[Date].&amp;[2023-03-09T12:54:54]"/>
            <x15:cachedUniqueName index="205" name="[Range 1].[Date].&amp;[2023-03-31T13:04:48]"/>
            <x15:cachedUniqueName index="206" name="[Range 1].[Date].&amp;[2023-04-10T22:33:27]"/>
            <x15:cachedUniqueName index="207" name="[Range 1].[Date].&amp;[2023-04-10T22:37:09]"/>
            <x15:cachedUniqueName index="208" name="[Range 1].[Date].&amp;[2023-04-13T19:35:32]"/>
            <x15:cachedUniqueName index="209" name="[Range 1].[Date].&amp;[2023-04-13T19:36:40]"/>
            <x15:cachedUniqueName index="210" name="[Range 1].[Date].&amp;[2023-05-03T16:48:26]"/>
            <x15:cachedUniqueName index="211" name="[Range 1].[Date].&amp;[2023-05-03T16:49:45]"/>
            <x15:cachedUniqueName index="212" name="[Range 1].[Date].&amp;[2023-05-10T15:56:15]"/>
            <x15:cachedUniqueName index="213" name="[Range 1].[Date].&amp;[2023-05-12T12:52:04]"/>
            <x15:cachedUniqueName index="214" name="[Range 1].[Date].&amp;[2023-05-17T13:01:24]"/>
            <x15:cachedUniqueName index="215" name="[Range 1].[Date].&amp;[2023-05-20T22:40:53]"/>
            <x15:cachedUniqueName index="216" name="[Range 1].[Date].&amp;[2023-05-30T16:52:22]"/>
            <x15:cachedUniqueName index="217" name="[Range 1].[Date].&amp;[2023-05-30T16:53:09]"/>
            <x15:cachedUniqueName index="218" name="[Range 1].[Date].&amp;[2023-06-02T12:44:27]"/>
            <x15:cachedUniqueName index="219" name="[Range 1].[Date].&amp;[2023-06-02T12:45:31]"/>
            <x15:cachedUniqueName index="220" name="[Range 1].[Date].&amp;[2023-06-06T19:40:00]"/>
            <x15:cachedUniqueName index="221" name="[Range 1].[Date].&amp;[2023-06-12T17:25:42]"/>
            <x15:cachedUniqueName index="222" name="[Range 1].[Date].&amp;[2023-06-17T22:51:44]"/>
            <x15:cachedUniqueName index="223" name="[Range 1].[Date].&amp;[2023-06-17T22:52:07]"/>
            <x15:cachedUniqueName index="224" name="[Range 1].[Date].&amp;[2023-06-19T21:39:15]"/>
            <x15:cachedUniqueName index="225" name="[Range 1].[Date].&amp;[2023-06-22T17:14:25]"/>
            <x15:cachedUniqueName index="226" name="[Range 1].[Date].&amp;[2023-06-24T18:44:01]"/>
            <x15:cachedUniqueName index="227" name="[Range 1].[Date].&amp;[2023-06-24T18:45:14]"/>
            <x15:cachedUniqueName index="228" name="[Range 1].[Date].&amp;[2023-06-29T17:28:58]"/>
            <x15:cachedUniqueName index="229" name="[Range 1].[Date].&amp;[2023-07-04T17:38:28]"/>
            <x15:cachedUniqueName index="230" name="[Range 1].[Date].&amp;[2023-07-04T17:40:34]"/>
            <x15:cachedUniqueName index="231" name="[Range 1].[Date].&amp;[2023-07-14T12:01:00]"/>
            <x15:cachedUniqueName index="232" name="[Range 1].[Date].&amp;[2023-07-14T12:02:50]"/>
            <x15:cachedUniqueName index="233" name="[Range 1].[Date].&amp;[2023-07-27T17:38:50]"/>
            <x15:cachedUniqueName index="234" name="[Range 1].[Date].&amp;[2023-08-07T16:30:38]"/>
            <x15:cachedUniqueName index="235" name="[Range 1].[Date].&amp;[2023-08-07T16:31:37]"/>
            <x15:cachedUniqueName index="236" name="[Range 1].[Date].&amp;[2023-08-17T17:36:13]"/>
            <x15:cachedUniqueName index="237" name="[Range 1].[Date].&amp;[2023-08-24T13:05:08]"/>
            <x15:cachedUniqueName index="238" name="[Range 1].[Date].&amp;[2023-08-24T13:06:30]"/>
            <x15:cachedUniqueName index="239" name="[Range 1].[Date].&amp;[2023-09-01T16:23:18]"/>
            <x15:cachedUniqueName index="240" name="[Range 1].[Date].&amp;[2023-09-11T15:18:15]"/>
            <x15:cachedUniqueName index="241" name="[Range 1].[Date].&amp;[2023-09-11T15:19:42]"/>
            <x15:cachedUniqueName index="242" name="[Range 1].[Date].&amp;[2023-09-16T11:48:24]"/>
            <x15:cachedUniqueName index="243" name="[Range 1].[Date].&amp;[2023-09-18T10:49:41]"/>
            <x15:cachedUniqueName index="244" name="[Range 1].[Date].&amp;[2023-09-28T13:13:08]"/>
            <x15:cachedUniqueName index="245" name="[Range 1].[Date].&amp;[2023-09-28T13:13:38]"/>
            <x15:cachedUniqueName index="246" name="[Range 1].[Date].&amp;[2023-10-09T13:06:14]"/>
            <x15:cachedUniqueName index="247" name="[Range 1].[Date].&amp;[2023-10-17T13:25:31]"/>
            <x15:cachedUniqueName index="248" name="[Range 1].[Date].&amp;[2023-10-17T14:27:54]"/>
            <x15:cachedUniqueName index="249" name="[Range 1].[Date].&amp;[2023-10-26T15:15:13]"/>
            <x15:cachedUniqueName index="250" name="[Range 1].[Date].&amp;[2023-10-26T15:16:06]"/>
            <x15:cachedUniqueName index="251" name="[Range 1].[Date].&amp;[2023-11-09T11:57:50]"/>
            <x15:cachedUniqueName index="252" name="[Range 1].[Date].&amp;[2023-11-14T15:08:47]"/>
            <x15:cachedUniqueName index="253" name="[Range 1].[Date].&amp;[2023-11-14T15:09:32]"/>
            <x15:cachedUniqueName index="254" name="[Range 1].[Date].&amp;[2023-11-20T11:32:38]"/>
            <x15:cachedUniqueName index="255" name="[Range 1].[Date].&amp;[2023-11-20T11:33:25]"/>
            <x15:cachedUniqueName index="256" name="[Range 1].[Date].&amp;[2023-11-28T15:50:05]"/>
            <x15:cachedUniqueName index="257" name="[Range 1].[Date].&amp;[2023-11-28T15:51:14]"/>
            <x15:cachedUniqueName index="258" name="[Range 1].[Date].&amp;[2023-12-08T15:15:34]"/>
            <x15:cachedUniqueName index="259" name="[Range 1].[Date].&amp;[2023-12-11T14:33:13]"/>
            <x15:cachedUniqueName index="260" name="[Range 1].[Date].&amp;[2023-12-11T14:34:02]"/>
            <x15:cachedUniqueName index="261" name="[Range 1].[Date].&amp;[2023-12-15T15:06:34]"/>
            <x15:cachedUniqueName index="262" name="[Range 1].[Date].&amp;[2023-12-29T16:58:03]"/>
            <x15:cachedUniqueName index="263" name="[Range 1].[Date].&amp;[2023-12-29T16:59:55]"/>
          </x15:cachedUniqueNames>
        </ext>
      </extLst>
    </cacheField>
    <cacheField name="[Range 1].[Date (Month)].[Date (Month)]" caption="Date (Month)" numFmtId="0" hierarchy="42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Range 1].[Date (Year)].[Date (Year)]" caption="Date (Year)" numFmtId="0" hierarchy="40" level="1">
      <sharedItems count="4">
        <s v="2021"/>
        <s v="2022"/>
        <s v="2023"/>
        <s v="2024"/>
      </sharedItems>
    </cacheField>
    <cacheField name="[Range 1].[Item].[Item]" caption="Item" numFmtId="0" hierarchy="37" level="1">
      <sharedItems count="3">
        <s v="Beer"/>
        <s v="Liquor"/>
        <s v="-" u="1"/>
      </sharedItems>
    </cacheField>
    <cacheField name="[Measures].[Sum of Liters 2]" caption="Sum of Liters 2" numFmtId="0" hierarchy="59" level="32767"/>
  </cacheFields>
  <cacheHierarchies count="67">
    <cacheHierarchy uniqueName="[Range].[Sl No.]" caption="Sl No." attribute="1" defaultMemberUniqueName="[Range].[Sl No.].[All]" allUniqueName="[Range].[Sl No.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voice/ MR No.]" caption="Invoice/ MR No." attribute="1" defaultMemberUniqueName="[Range].[Invoice/ MR No.].[All]" allUniqueName="[Range].[Invoice/ MR No.].[All]" dimensionUniqueName="[Range]" displayFolder="" count="0" memberValueDatatype="130" unbalanced="0"/>
    <cacheHierarchy uniqueName="[Range].[Invoice Type]" caption="Invoice Type" attribute="1" defaultMemberUniqueName="[Range].[Invoice Type].[All]" allUniqueName="[Range].[Invoice Type].[All]" dimensionUniqueName="[Range]" displayFolder="" count="0" memberValueDatatype="130" unbalanced="0"/>
    <cacheHierarchy uniqueName="[Range].[Oppening Balance]" caption="Oppening Balance" attribute="1" defaultMemberUniqueName="[Range].[Oppening Balance].[All]" allUniqueName="[Range].[Oppening Balance].[All]" dimensionUniqueName="[Range]" displayFolder="" count="0" memberValueDatatype="5" unbalanced="0"/>
    <cacheHierarchy uniqueName="[Range].[Credit Amount]" caption="Credit Amount" attribute="1" defaultMemberUniqueName="[Range].[Credit Amount].[All]" allUniqueName="[Range].[Credit Amount].[All]" dimensionUniqueName="[Range]" displayFolder="" count="0" memberValueDatatype="20" unbalanced="0"/>
    <cacheHierarchy uniqueName="[Range].[BL]" caption="BL" attribute="1" defaultMemberUniqueName="[Range].[BL].[All]" allUniqueName="[Range].[BL].[All]" dimensionUniqueName="[Range]" displayFolder="" count="0" memberValueDatatype="5" unbalanced="0"/>
    <cacheHierarchy uniqueName="[Range].[LPL]" caption="LPL" attribute="1" defaultMemberUniqueName="[Range].[LPL].[All]" allUniqueName="[Range].[LPL].[All]" dimensionUniqueName="[Range]" displayFolder="" count="0" memberValueDatatype="5" unbalanced="0"/>
    <cacheHierarchy uniqueName="[Range].[Sale Amount]" caption="Sale Amount" attribute="1" defaultMemberUniqueName="[Range].[Sale Amount].[All]" allUniqueName="[Range].[Sale Amount].[All]" dimensionUniqueName="[Range]" displayFolder="" count="0" memberValueDatatype="5" unbalanced="0"/>
    <cacheHierarchy uniqueName="[Range].[VAT]" caption="VAT" attribute="1" defaultMemberUniqueName="[Range].[VAT].[All]" allUniqueName="[Range].[VAT].[All]" dimensionUniqueName="[Range]" displayFolder="" count="0" memberValueDatatype="5" unbalanced="0"/>
    <cacheHierarchy uniqueName="[Range].[TCS]" caption="TCS" attribute="1" defaultMemberUniqueName="[Range].[TCS].[All]" allUniqueName="[Range].[TCS].[All]" dimensionUniqueName="[Range]" displayFolder="" count="0" memberValueDatatype="5" unbalanced="0"/>
    <cacheHierarchy uniqueName="[Range].[Grand Total]" caption="Grand Total" attribute="1" defaultMemberUniqueName="[Range].[Grand Total].[All]" allUniqueName="[Range].[Grand Total].[All]" dimensionUniqueName="[Range]" displayFolder="" count="0" memberValueDatatype="5" unbalanced="0"/>
    <cacheHierarchy uniqueName="[Range].[Closing Balance]" caption="Closing Balance" attribute="1" defaultMemberUniqueName="[Range].[Closing Balance].[All]" allUniqueName="[Range].[Closing Balance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VAT %]" caption="VAT %" attribute="1" defaultMemberUniqueName="[Range].[VAT %].[All]" allUniqueName="[Range].[VAT %].[All]" dimensionUniqueName="[Range]" displayFolder="" count="0" memberValueDatatype="5" unbalanced="0"/>
    <cacheHierarchy uniqueName="[Range].[TCS %]" caption="TCS %" attribute="1" defaultMemberUniqueName="[Range].[TCS %].[All]" allUniqueName="[Range].[TCS %].[All]" dimensionUniqueName="[Range]" displayFolder="" count="0" memberValueDatatype="5" unbalanced="0"/>
    <cacheHierarchy uniqueName="[Range].[Item]" caption="Item" attribute="1" defaultMemberUniqueName="[Range].[Item].[All]" allUniqueName="[Range].[Item].[All]" dimensionUniqueName="[Range]" displayFolder="" count="0" memberValueDatatype="130" unbalanced="0"/>
    <cacheHierarchy uniqueName="[Range].[Liters]" caption="Liters" attribute="1" defaultMemberUniqueName="[Range].[Liters].[All]" allUniqueName="[Range].[Liters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l No.]" caption="Sl No." attribute="1" defaultMemberUniqueName="[Range 1].[Sl No.].[All]" allUniqueName="[Range 1].[Sl No.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2" memberValueDatatype="7" unbalanced="0">
      <fieldsUsage count="2">
        <fieldUsage x="-1"/>
        <fieldUsage x="0"/>
      </fieldsUsage>
    </cacheHierarchy>
    <cacheHierarchy uniqueName="[Range 1].[Invoice/ MR No.]" caption="Invoice/ MR No." attribute="1" defaultMemberUniqueName="[Range 1].[Invoice/ MR No.].[All]" allUniqueName="[Range 1].[Invoice/ MR No.].[All]" dimensionUniqueName="[Range 1]" displayFolder="" count="0" memberValueDatatype="130" unbalanced="0"/>
    <cacheHierarchy uniqueName="[Range 1].[Invoice Type]" caption="Invoice Type" attribute="1" defaultMemberUniqueName="[Range 1].[Invoice Type].[All]" allUniqueName="[Range 1].[Invoice Type].[All]" dimensionUniqueName="[Range 1]" displayFolder="" count="0" memberValueDatatype="130" unbalanced="0"/>
    <cacheHierarchy uniqueName="[Range 1].[Oppening Balance]" caption="Oppening Balance" attribute="1" defaultMemberUniqueName="[Range 1].[Oppening Balance].[All]" allUniqueName="[Range 1].[Oppening Balance].[All]" dimensionUniqueName="[Range 1]" displayFolder="" count="0" memberValueDatatype="5" unbalanced="0"/>
    <cacheHierarchy uniqueName="[Range 1].[Credit Amount]" caption="Credit Amount" attribute="1" defaultMemberUniqueName="[Range 1].[Credit Amount].[All]" allUniqueName="[Range 1].[Credit Amount].[All]" dimensionUniqueName="[Range 1]" displayFolder="" count="0" memberValueDatatype="20" unbalanced="0"/>
    <cacheHierarchy uniqueName="[Range 1].[BL]" caption="BL" attribute="1" defaultMemberUniqueName="[Range 1].[BL].[All]" allUniqueName="[Range 1].[BL].[All]" dimensionUniqueName="[Range 1]" displayFolder="" count="0" memberValueDatatype="5" unbalanced="0"/>
    <cacheHierarchy uniqueName="[Range 1].[LPL]" caption="LPL" attribute="1" defaultMemberUniqueName="[Range 1].[LPL].[All]" allUniqueName="[Range 1].[LPL].[All]" dimensionUniqueName="[Range 1]" displayFolder="" count="0" memberValueDatatype="5" unbalanced="0"/>
    <cacheHierarchy uniqueName="[Range 1].[Sale Amount]" caption="Sale Amount" attribute="1" defaultMemberUniqueName="[Range 1].[Sale Amount].[All]" allUniqueName="[Range 1].[Sale Amount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TCS]" caption="TCS" attribute="1" defaultMemberUniqueName="[Range 1].[TCS].[All]" allUniqueName="[Range 1].[TCS].[All]" dimensionUniqueName="[Range 1]" displayFolder="" count="0" memberValueDatatype="5" unbalanced="0"/>
    <cacheHierarchy uniqueName="[Range 1].[Grand Total]" caption="Grand Total" attribute="1" defaultMemberUniqueName="[Range 1].[Grand Total].[All]" allUniqueName="[Range 1].[Grand Total].[All]" dimensionUniqueName="[Range 1]" displayFolder="" count="0" memberValueDatatype="5" unbalanced="0"/>
    <cacheHierarchy uniqueName="[Range 1].[Closing Balance]" caption="Closing Balance" attribute="1" defaultMemberUniqueName="[Range 1].[Closing Balance].[All]" allUniqueName="[Range 1].[Closing Balance].[All]" dimensionUniqueName="[Range 1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AT %]" caption="VAT %" attribute="1" defaultMemberUniqueName="[Range 1].[VAT %].[All]" allUniqueName="[Range 1].[VAT %].[All]" dimensionUniqueName="[Range 1]" displayFolder="" count="0" memberValueDatatype="5" unbalanced="0"/>
    <cacheHierarchy uniqueName="[Range 1].[TCS %]" caption="TCS %" attribute="1" defaultMemberUniqueName="[Range 1].[TCS %].[All]" allUniqueName="[Range 1].[TCS %].[All]" dimensionUniqueName="[Range 1]" displayFolder="" count="0" memberValueDatatype="5" unbalanced="0"/>
    <cacheHierarchy uniqueName="[Range 1].[Item]" caption="Item" attribute="1" defaultMemberUniqueName="[Range 1].[Item].[All]" allUniqueName="[Range 1].[Item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Liters]" caption="Liters" attribute="1" defaultMemberUniqueName="[Range 1].[Liters].[All]" allUniqueName="[Range 1].[Liters].[All]" dimensionUniqueName="[Range 1]" displayFolder="" count="0" memberValueDatatype="5" unbalanced="0"/>
    <cacheHierarchy uniqueName="[Range 1].[CHECK]" caption="CHECK" attribute="1" defaultMemberUniqueName="[Range 1].[CHECK].[All]" allUniqueName="[Range 1].[CHECK].[All]" dimensionUniqueName="[Range 1]" displayFolder="" count="0" memberValueDatatype="11" unbalanced="0"/>
    <cacheHierarchy uniqueName="[Range 1].[Date (Year)]" caption="Date (Year)" attribute="1" defaultMemberUniqueName="[Range 1].[Date (Year)].[All]" allUniqueName="[Range 1].[Date (Year)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Total Amount]" caption="Total Amount" attribute="1" defaultMemberUniqueName="[Range 2].[Total Amount].[All]" allUniqueName="[Range 2].[Total Amount].[All]" dimensionUniqueName="[Range 2]" displayFolder="" count="0" memberValueDatatype="5" unbalanced="0"/>
    <cacheHierarchy uniqueName="[Range 2].[MoM % Change]" caption="MoM % Change" attribute="1" defaultMemberUniqueName="[Range 2].[MoM % Change].[All]" allUniqueName="[Range 2].[MoM % Change].[All]" dimensionUniqueName="[Range 2]" displayFolder="" count="0" memberValueDatatype="5" unbalanced="0"/>
    <cacheHierarchy uniqueName="[Range 3].[Date]" caption="Date" attribute="1" defaultMemberUniqueName="[Range 3].[Date].[All]" allUniqueName="[Range 3].[Date].[All]" dimensionUniqueName="[Range 3]" displayFolder="" count="0" memberValueDatatype="130" unbalanced="0"/>
    <cacheHierarchy uniqueName="[Range 3].[Total Amount]" caption="Total Amount" attribute="1" defaultMemberUniqueName="[Range 3].[Total Amount].[All]" allUniqueName="[Range 3].[Total Amount].[All]" dimensionUniqueName="[Range 3]" displayFolder="" count="0" memberValueDatatype="5" unbalanced="0"/>
    <cacheHierarchy uniqueName="[Range 3].[MoM % Change]" caption="MoM % Change" attribute="1" defaultMemberUniqueName="[Range 3].[MoM % Change].[All]" allUniqueName="[Range 3].[MoM % Change].[All]" dimensionUniqueName="[Range 3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Liters]" caption="Count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]" caption="Sum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 2]" caption="Sum of Liters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Grand Total]" caption="Sum of Grand Tota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 Amount]" caption="Sum of Sale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AT]" caption="Sum of VA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CS]" caption="Sum of TC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M % Change]" caption="Sum of MoM % Change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MoM % Change 2]" caption="Sum of MoM % Change 2" measure="1" displayFolder="" measureGroup="Range 3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Credit Amount]" caption="Sum of Credit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171627067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YAG" refreshedDate="45858.545698958333" backgroundQuery="1" createdVersion="8" refreshedVersion="8" minRefreshableVersion="3" recordCount="0" supportSubquery="1" supportAdvancedDrill="1" xr:uid="{91264B3C-6CB9-4473-8DA0-85AF5CBE6191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Range].[Date].[Date]" caption="Date" numFmtId="0" hierarchy="1" level="1">
      <sharedItems containsSemiMixedTypes="0" containsNonDate="0" containsDate="1" containsString="0" minDate="2021-04-16T11:26:36" maxDate="2023-12-29T16:59:55" count="264">
        <d v="2021-04-16T11:26:36"/>
        <d v="2021-04-17T12:38:38"/>
        <d v="2021-04-19T13:07:27"/>
        <d v="2021-04-20T15:02:09"/>
        <d v="2021-04-22T17:44:11"/>
        <d v="2021-04-23T15:32:35"/>
        <d v="2021-04-26T11:06:50"/>
        <d v="2021-04-26T11:46:16"/>
        <d v="2021-04-27T16:10:48"/>
        <d v="2021-04-27T16:11:24"/>
        <d v="2021-04-28T15:03:30"/>
        <d v="2021-04-28T15:04:08"/>
        <d v="2021-04-29T16:21:33"/>
        <d v="2021-04-30T12:02:13"/>
        <d v="2021-05-03T12:10:23"/>
        <d v="2021-05-03T12:11:00"/>
        <d v="2021-05-04T14:59:04"/>
        <d v="2021-05-04T15:21:19"/>
        <d v="2021-05-18T11:52:14"/>
        <d v="2021-05-18T11:53:08"/>
        <d v="2021-05-20T10:07:03"/>
        <d v="2021-05-20T10:09:15"/>
        <d v="2021-05-24T09:15:26"/>
        <d v="2021-05-24T09:16:19"/>
        <d v="2021-05-28T08:30:47"/>
        <d v="2021-05-28T08:31:26"/>
        <d v="2021-06-03T09:33:56"/>
        <d v="2021-06-03T09:34:33"/>
        <d v="2021-06-09T09:07:04"/>
        <d v="2021-06-14T09:23:44"/>
        <d v="2021-06-14T09:24:13"/>
        <d v="2021-06-17T10:32:13"/>
        <d v="2021-06-17T10:32:48"/>
        <d v="2021-06-21T09:46:12"/>
        <d v="2021-06-21T09:56:17"/>
        <d v="2021-06-23T11:35:43"/>
        <d v="2021-06-25T09:50:16"/>
        <d v="2021-06-25T10:18:13"/>
        <d v="2021-06-29T11:38:01"/>
        <d v="2021-07-01T10:04:09"/>
        <d v="2021-07-01T10:04:37"/>
        <d v="2021-07-05T10:09:34"/>
        <d v="2021-07-07T10:12:27"/>
        <d v="2021-07-07T10:36:38"/>
        <d v="2021-07-09T09:49:16"/>
        <d v="2021-07-09T09:50:03"/>
        <d v="2021-07-14T12:34:27"/>
        <d v="2021-07-14T12:35:25"/>
        <d v="2021-07-16T10:21:20"/>
        <d v="2021-07-16T10:47:10"/>
        <d v="2021-07-20T10:46:15"/>
        <d v="2021-07-20T10:46:58"/>
        <d v="2021-07-26T11:58:53"/>
        <d v="2021-07-26T12:00:18"/>
        <d v="2021-07-28T11:29:48"/>
        <d v="2021-07-28T11:42:27"/>
        <d v="2021-07-30T11:00:34"/>
        <d v="2021-08-03T10:41:09"/>
        <d v="2021-08-03T10:42:05"/>
        <d v="2021-08-07T09:47:45"/>
        <d v="2021-08-07T09:53:32"/>
        <d v="2021-08-10T10:50:23"/>
        <d v="2021-08-10T10:51:18"/>
        <d v="2021-08-14T10:15:58"/>
        <d v="2021-08-14T10:16:32"/>
        <d v="2021-08-17T10:37:11"/>
        <d v="2021-08-21T10:06:49"/>
        <d v="2021-08-21T10:07:29"/>
        <d v="2021-08-24T10:53:29"/>
        <d v="2021-08-24T10:54:09"/>
        <d v="2021-08-28T09:56:43"/>
        <d v="2021-08-28T09:57:30"/>
        <d v="2021-09-01T10:10:51"/>
        <d v="2021-09-01T10:12:25"/>
        <d v="2021-09-03T10:23:14"/>
        <d v="2021-09-06T10:44:51"/>
        <d v="2021-09-06T10:45:35"/>
        <d v="2021-09-11T10:07:16"/>
        <d v="2021-09-11T10:08:34"/>
        <d v="2021-09-14T10:20:11"/>
        <d v="2021-09-18T10:00:29"/>
        <d v="2021-09-18T10:00:53"/>
        <d v="2021-09-21T10:21:52"/>
        <d v="2021-09-21T10:22:46"/>
        <d v="2021-09-25T10:21:38"/>
        <d v="2021-09-25T10:22:25"/>
        <d v="2021-09-30T10:03:13"/>
        <d v="2021-10-01T12:00:09"/>
        <d v="2021-10-01T12:02:10"/>
        <d v="2021-10-04T11:36:11"/>
        <d v="2021-10-07T11:06:16"/>
        <d v="2021-10-07T11:27:26"/>
        <d v="2021-10-12T10:10:08"/>
        <d v="2021-10-12T11:22:28"/>
        <d v="2021-10-16T10:02:39"/>
        <d v="2021-10-16T10:37:05"/>
        <d v="2021-10-22T11:19:23"/>
        <d v="2021-10-26T10:26:09"/>
        <d v="2021-10-26T10:27:01"/>
        <d v="2021-11-02T10:19:16"/>
        <d v="2021-11-06T10:36:00"/>
        <d v="2021-11-06T12:01:54"/>
        <d v="2021-11-11T11:25:48"/>
        <d v="2021-11-11T11:26:34"/>
        <d v="2021-11-16T11:32:58"/>
        <d v="2021-11-16T11:33:31"/>
        <d v="2021-11-20T11:33:06"/>
        <d v="2021-11-20T11:34:29"/>
        <d v="2021-11-24T11:16:35"/>
        <d v="2021-11-24T11:43:27"/>
        <d v="2021-11-27T11:07:54"/>
        <d v="2021-11-30T11:04:46"/>
        <d v="2021-11-30T11:21:52"/>
        <d v="2021-12-06T11:19:30"/>
        <d v="2021-12-10T11:15:06"/>
        <d v="2021-12-10T11:16:06"/>
        <d v="2021-12-13T12:14:29"/>
        <d v="2021-12-16T11:16:56"/>
        <d v="2021-12-16T12:07:15"/>
        <d v="2021-12-20T11:46:16"/>
        <d v="2021-12-23T12:48:34"/>
        <d v="2021-12-27T11:45:25"/>
        <d v="2021-12-27T11:48:30"/>
        <d v="2021-12-31T11:34:44"/>
        <d v="2022-01-01T11:10:03"/>
        <d v="2022-01-05T10:52:47"/>
        <d v="2022-01-08T12:55:27"/>
        <d v="2022-01-10T11:16:53"/>
        <d v="2022-01-19T11:24:18"/>
        <d v="2022-01-21T11:24:02"/>
        <d v="2022-01-25T11:51:21"/>
        <d v="2022-01-27T11:43:42"/>
        <d v="2022-01-27T11:44:18"/>
        <d v="2022-02-03T12:42:10"/>
        <d v="2022-02-03T12:43:12"/>
        <d v="2022-02-10T13:02:28"/>
        <d v="2022-03-30T22:15:17"/>
        <d v="2022-03-30T22:15:50"/>
        <d v="2022-04-25T21:13:45"/>
        <d v="2022-04-25T21:15:08"/>
        <d v="2022-05-04T12:36:23"/>
        <d v="2022-05-04T12:37:02"/>
        <d v="2022-05-09T12:06:59"/>
        <d v="2022-05-16T17:11:23"/>
        <d v="2022-05-20T12:23:12"/>
        <d v="2022-05-23T12:51:07"/>
        <d v="2022-05-23T17:13:35"/>
        <d v="2022-05-31T12:32:35"/>
        <d v="2022-06-04T13:00:10"/>
        <d v="2022-06-07T16:18:14"/>
        <d v="2022-06-09T11:41:41"/>
        <d v="2022-06-11T16:35:03"/>
        <d v="2022-06-17T11:17:04"/>
        <d v="2022-06-20T17:12:50"/>
        <d v="2022-06-20T17:13:48"/>
        <d v="2022-06-27T16:25:21"/>
        <d v="2022-07-02T16:21:12"/>
        <d v="2022-07-11T16:23:42"/>
        <d v="2022-07-20T16:56:44"/>
        <d v="2022-07-20T16:57:36"/>
        <d v="2022-07-29T15:56:55"/>
        <d v="2022-08-01T15:56:57"/>
        <d v="2022-08-09T12:57:03"/>
        <d v="2022-08-09T12:57:36"/>
        <d v="2022-08-12T15:45:55"/>
        <d v="2022-08-22T16:33:24"/>
        <d v="2022-08-22T16:35:51"/>
        <d v="2022-09-02T16:14:02"/>
        <d v="2022-09-02T16:16:33"/>
        <d v="2022-09-12T12:34:38"/>
        <d v="2022-09-15T13:15:25"/>
        <d v="2022-09-15T15:17:46"/>
        <d v="2022-09-22T15:52:51"/>
        <d v="2022-09-22T16:17:19"/>
        <d v="2022-09-29T11:51:37"/>
        <d v="2022-10-01T12:07:34"/>
        <d v="2022-10-07T10:08:24"/>
        <d v="2022-10-11T15:24:35"/>
        <d v="2022-10-22T15:26:51"/>
        <d v="2022-11-01T12:10:10"/>
        <d v="2022-11-07T15:09:21"/>
        <d v="2022-11-11T16:12:26"/>
        <d v="2022-11-11T16:13:27"/>
        <d v="2022-11-15T15:39:32"/>
        <d v="2022-11-17T13:01:40"/>
        <d v="2022-11-23T12:06:35"/>
        <d v="2022-11-23T12:07:20"/>
        <d v="2022-12-02T11:40:43"/>
        <d v="2022-12-06T15:10:41"/>
        <d v="2022-12-06T15:12:52"/>
        <d v="2022-12-19T18:26:12"/>
        <d v="2022-12-19T18:39:07"/>
        <d v="2022-12-29T17:18:35"/>
        <d v="2023-01-03T15:39:49"/>
        <d v="2023-01-18T16:03:55"/>
        <d v="2023-01-25T13:16:17"/>
        <d v="2023-01-25T13:20:41"/>
        <d v="2023-01-30T18:02:55"/>
        <d v="2023-02-07T15:11:30"/>
        <d v="2023-02-10T11:53:13"/>
        <d v="2023-02-16T16:37:42"/>
        <d v="2023-02-27T12:36:42"/>
        <d v="2023-03-04T12:29:17"/>
        <d v="2023-03-06T11:13:54"/>
        <d v="2023-03-09T12:54:54"/>
        <d v="2023-03-31T13:04:48"/>
        <d v="2023-04-10T22:33:27"/>
        <d v="2023-04-10T22:37:09"/>
        <d v="2023-04-13T19:35:32"/>
        <d v="2023-04-13T19:36:40"/>
        <d v="2023-05-03T16:48:26"/>
        <d v="2023-05-03T16:49:45"/>
        <d v="2023-05-10T15:56:15"/>
        <d v="2023-05-12T12:52:04"/>
        <d v="2023-05-17T13:01:24"/>
        <d v="2023-05-20T22:40:53"/>
        <d v="2023-05-30T16:52:22"/>
        <d v="2023-05-30T16:53:09"/>
        <d v="2023-06-02T12:44:27"/>
        <d v="2023-06-02T12:45:31"/>
        <d v="2023-06-06T19:40:00"/>
        <d v="2023-06-12T17:25:42"/>
        <d v="2023-06-17T22:51:44"/>
        <d v="2023-06-17T22:52:07"/>
        <d v="2023-06-19T21:39:15"/>
        <d v="2023-06-22T17:14:25"/>
        <d v="2023-06-24T18:44:01"/>
        <d v="2023-06-24T18:45:14"/>
        <d v="2023-06-29T17:28:58"/>
        <d v="2023-07-04T17:38:28"/>
        <d v="2023-07-04T17:40:34"/>
        <d v="2023-07-14T12:01:00"/>
        <d v="2023-07-14T12:02:50"/>
        <d v="2023-07-27T17:38:50"/>
        <d v="2023-08-07T16:30:38"/>
        <d v="2023-08-07T16:31:37"/>
        <d v="2023-08-17T17:36:13"/>
        <d v="2023-08-24T13:05:08"/>
        <d v="2023-08-24T13:06:30"/>
        <d v="2023-09-01T16:23:18"/>
        <d v="2023-09-11T15:18:15"/>
        <d v="2023-09-11T15:19:42"/>
        <d v="2023-09-16T11:48:24"/>
        <d v="2023-09-18T10:49:41"/>
        <d v="2023-09-28T13:13:08"/>
        <d v="2023-09-28T13:13:38"/>
        <d v="2023-10-09T13:06:14"/>
        <d v="2023-10-17T13:25:31"/>
        <d v="2023-10-17T14:27:54"/>
        <d v="2023-10-26T15:15:13"/>
        <d v="2023-10-26T15:16:06"/>
        <d v="2023-11-09T11:57:50"/>
        <d v="2023-11-14T15:08:47"/>
        <d v="2023-11-14T15:09:32"/>
        <d v="2023-11-20T11:32:38"/>
        <d v="2023-11-20T11:33:25"/>
        <d v="2023-11-28T15:50:05"/>
        <d v="2023-11-28T15:51:14"/>
        <d v="2023-12-08T15:15:34"/>
        <d v="2023-12-11T14:33:13"/>
        <d v="2023-12-11T14:34:02"/>
        <d v="2023-12-15T15:06:34"/>
        <d v="2023-12-29T16:58:03"/>
        <d v="2023-12-29T16:59:55"/>
      </sharedItems>
      <extLst>
        <ext xmlns:x15="http://schemas.microsoft.com/office/spreadsheetml/2010/11/main" uri="{4F2E5C28-24EA-4eb8-9CBF-B6C8F9C3D259}">
          <x15:cachedUniqueNames>
            <x15:cachedUniqueName index="0" name="[Range].[Date].&amp;[2021-04-16T11:26:36]"/>
            <x15:cachedUniqueName index="1" name="[Range].[Date].&amp;[2021-04-17T12:38:38]"/>
            <x15:cachedUniqueName index="2" name="[Range].[Date].&amp;[2021-04-19T13:07:27]"/>
            <x15:cachedUniqueName index="3" name="[Range].[Date].&amp;[2021-04-20T15:02:09]"/>
            <x15:cachedUniqueName index="4" name="[Range].[Date].&amp;[2021-04-22T17:44:11]"/>
            <x15:cachedUniqueName index="5" name="[Range].[Date].&amp;[2021-04-23T15:32:35]"/>
            <x15:cachedUniqueName index="6" name="[Range].[Date].&amp;[2021-04-26T11:06:50]"/>
            <x15:cachedUniqueName index="7" name="[Range].[Date].&amp;[2021-04-26T11:46:16]"/>
            <x15:cachedUniqueName index="8" name="[Range].[Date].&amp;[2021-04-27T16:10:48]"/>
            <x15:cachedUniqueName index="9" name="[Range].[Date].&amp;[2021-04-27T16:11:24]"/>
            <x15:cachedUniqueName index="10" name="[Range].[Date].&amp;[2021-04-28T15:03:30]"/>
            <x15:cachedUniqueName index="11" name="[Range].[Date].&amp;[2021-04-28T15:04:08]"/>
            <x15:cachedUniqueName index="12" name="[Range].[Date].&amp;[2021-04-29T16:21:33]"/>
            <x15:cachedUniqueName index="13" name="[Range].[Date].&amp;[2021-04-30T12:02:13]"/>
            <x15:cachedUniqueName index="14" name="[Range].[Date].&amp;[2021-05-03T12:10:23]"/>
            <x15:cachedUniqueName index="15" name="[Range].[Date].&amp;[2021-05-03T12:11:00]"/>
            <x15:cachedUniqueName index="16" name="[Range].[Date].&amp;[2021-05-04T14:59:04]"/>
            <x15:cachedUniqueName index="17" name="[Range].[Date].&amp;[2021-05-04T15:21:19]"/>
            <x15:cachedUniqueName index="18" name="[Range].[Date].&amp;[2021-05-18T11:52:14]"/>
            <x15:cachedUniqueName index="19" name="[Range].[Date].&amp;[2021-05-18T11:53:08]"/>
            <x15:cachedUniqueName index="20" name="[Range].[Date].&amp;[2021-05-20T10:07:03]"/>
            <x15:cachedUniqueName index="21" name="[Range].[Date].&amp;[2021-05-20T10:09:15]"/>
            <x15:cachedUniqueName index="22" name="[Range].[Date].&amp;[2021-05-24T09:15:26]"/>
            <x15:cachedUniqueName index="23" name="[Range].[Date].&amp;[2021-05-24T09:16:19]"/>
            <x15:cachedUniqueName index="24" name="[Range].[Date].&amp;[2021-05-28T08:30:47]"/>
            <x15:cachedUniqueName index="25" name="[Range].[Date].&amp;[2021-05-28T08:31:26]"/>
            <x15:cachedUniqueName index="26" name="[Range].[Date].&amp;[2021-06-03T09:33:56]"/>
            <x15:cachedUniqueName index="27" name="[Range].[Date].&amp;[2021-06-03T09:34:33]"/>
            <x15:cachedUniqueName index="28" name="[Range].[Date].&amp;[2021-06-09T09:07:04]"/>
            <x15:cachedUniqueName index="29" name="[Range].[Date].&amp;[2021-06-14T09:23:44]"/>
            <x15:cachedUniqueName index="30" name="[Range].[Date].&amp;[2021-06-14T09:24:13]"/>
            <x15:cachedUniqueName index="31" name="[Range].[Date].&amp;[2021-06-17T10:32:13]"/>
            <x15:cachedUniqueName index="32" name="[Range].[Date].&amp;[2021-06-17T10:32:48]"/>
            <x15:cachedUniqueName index="33" name="[Range].[Date].&amp;[2021-06-21T09:46:12]"/>
            <x15:cachedUniqueName index="34" name="[Range].[Date].&amp;[2021-06-21T09:56:17]"/>
            <x15:cachedUniqueName index="35" name="[Range].[Date].&amp;[2021-06-23T11:35:43]"/>
            <x15:cachedUniqueName index="36" name="[Range].[Date].&amp;[2021-06-25T09:50:16]"/>
            <x15:cachedUniqueName index="37" name="[Range].[Date].&amp;[2021-06-25T10:18:13]"/>
            <x15:cachedUniqueName index="38" name="[Range].[Date].&amp;[2021-06-29T11:38:01]"/>
            <x15:cachedUniqueName index="39" name="[Range].[Date].&amp;[2021-07-01T10:04:09]"/>
            <x15:cachedUniqueName index="40" name="[Range].[Date].&amp;[2021-07-01T10:04:37]"/>
            <x15:cachedUniqueName index="41" name="[Range].[Date].&amp;[2021-07-05T10:09:34]"/>
            <x15:cachedUniqueName index="42" name="[Range].[Date].&amp;[2021-07-07T10:12:27]"/>
            <x15:cachedUniqueName index="43" name="[Range].[Date].&amp;[2021-07-07T10:36:38]"/>
            <x15:cachedUniqueName index="44" name="[Range].[Date].&amp;[2021-07-09T09:49:16]"/>
            <x15:cachedUniqueName index="45" name="[Range].[Date].&amp;[2021-07-09T09:50:03]"/>
            <x15:cachedUniqueName index="46" name="[Range].[Date].&amp;[2021-07-14T12:34:27]"/>
            <x15:cachedUniqueName index="47" name="[Range].[Date].&amp;[2021-07-14T12:35:25]"/>
            <x15:cachedUniqueName index="48" name="[Range].[Date].&amp;[2021-07-16T10:21:20]"/>
            <x15:cachedUniqueName index="49" name="[Range].[Date].&amp;[2021-07-16T10:47:10]"/>
            <x15:cachedUniqueName index="50" name="[Range].[Date].&amp;[2021-07-20T10:46:15]"/>
            <x15:cachedUniqueName index="51" name="[Range].[Date].&amp;[2021-07-20T10:46:58]"/>
            <x15:cachedUniqueName index="52" name="[Range].[Date].&amp;[2021-07-26T11:58:53]"/>
            <x15:cachedUniqueName index="53" name="[Range].[Date].&amp;[2021-07-26T12:00:18]"/>
            <x15:cachedUniqueName index="54" name="[Range].[Date].&amp;[2021-07-28T11:29:48]"/>
            <x15:cachedUniqueName index="55" name="[Range].[Date].&amp;[2021-07-28T11:42:27]"/>
            <x15:cachedUniqueName index="56" name="[Range].[Date].&amp;[2021-07-30T11:00:34]"/>
            <x15:cachedUniqueName index="57" name="[Range].[Date].&amp;[2021-08-03T10:41:09]"/>
            <x15:cachedUniqueName index="58" name="[Range].[Date].&amp;[2021-08-03T10:42:05]"/>
            <x15:cachedUniqueName index="59" name="[Range].[Date].&amp;[2021-08-07T09:47:45]"/>
            <x15:cachedUniqueName index="60" name="[Range].[Date].&amp;[2021-08-07T09:53:32]"/>
            <x15:cachedUniqueName index="61" name="[Range].[Date].&amp;[2021-08-10T10:50:23]"/>
            <x15:cachedUniqueName index="62" name="[Range].[Date].&amp;[2021-08-10T10:51:18]"/>
            <x15:cachedUniqueName index="63" name="[Range].[Date].&amp;[2021-08-14T10:15:58]"/>
            <x15:cachedUniqueName index="64" name="[Range].[Date].&amp;[2021-08-14T10:16:32]"/>
            <x15:cachedUniqueName index="65" name="[Range].[Date].&amp;[2021-08-17T10:37:11]"/>
            <x15:cachedUniqueName index="66" name="[Range].[Date].&amp;[2021-08-21T10:06:49]"/>
            <x15:cachedUniqueName index="67" name="[Range].[Date].&amp;[2021-08-21T10:07:29]"/>
            <x15:cachedUniqueName index="68" name="[Range].[Date].&amp;[2021-08-24T10:53:29]"/>
            <x15:cachedUniqueName index="69" name="[Range].[Date].&amp;[2021-08-24T10:54:09]"/>
            <x15:cachedUniqueName index="70" name="[Range].[Date].&amp;[2021-08-28T09:56:43]"/>
            <x15:cachedUniqueName index="71" name="[Range].[Date].&amp;[2021-08-28T09:57:30]"/>
            <x15:cachedUniqueName index="72" name="[Range].[Date].&amp;[2021-09-01T10:10:51]"/>
            <x15:cachedUniqueName index="73" name="[Range].[Date].&amp;[2021-09-01T10:12:25]"/>
            <x15:cachedUniqueName index="74" name="[Range].[Date].&amp;[2021-09-03T10:23:14]"/>
            <x15:cachedUniqueName index="75" name="[Range].[Date].&amp;[2021-09-06T10:44:51]"/>
            <x15:cachedUniqueName index="76" name="[Range].[Date].&amp;[2021-09-06T10:45:35]"/>
            <x15:cachedUniqueName index="77" name="[Range].[Date].&amp;[2021-09-11T10:07:16]"/>
            <x15:cachedUniqueName index="78" name="[Range].[Date].&amp;[2021-09-11T10:08:34]"/>
            <x15:cachedUniqueName index="79" name="[Range].[Date].&amp;[2021-09-14T10:20:11]"/>
            <x15:cachedUniqueName index="80" name="[Range].[Date].&amp;[2021-09-18T10:00:29]"/>
            <x15:cachedUniqueName index="81" name="[Range].[Date].&amp;[2021-09-18T10:00:53]"/>
            <x15:cachedUniqueName index="82" name="[Range].[Date].&amp;[2021-09-21T10:21:52]"/>
            <x15:cachedUniqueName index="83" name="[Range].[Date].&amp;[2021-09-21T10:22:46]"/>
            <x15:cachedUniqueName index="84" name="[Range].[Date].&amp;[2021-09-25T10:21:38]"/>
            <x15:cachedUniqueName index="85" name="[Range].[Date].&amp;[2021-09-25T10:22:25]"/>
            <x15:cachedUniqueName index="86" name="[Range].[Date].&amp;[2021-09-30T10:03:13]"/>
            <x15:cachedUniqueName index="87" name="[Range].[Date].&amp;[2021-10-01T12:00:09]"/>
            <x15:cachedUniqueName index="88" name="[Range].[Date].&amp;[2021-10-01T12:02:10]"/>
            <x15:cachedUniqueName index="89" name="[Range].[Date].&amp;[2021-10-04T11:36:11]"/>
            <x15:cachedUniqueName index="90" name="[Range].[Date].&amp;[2021-10-07T11:06:16]"/>
            <x15:cachedUniqueName index="91" name="[Range].[Date].&amp;[2021-10-07T11:27:26]"/>
            <x15:cachedUniqueName index="92" name="[Range].[Date].&amp;[2021-10-12T10:10:08]"/>
            <x15:cachedUniqueName index="93" name="[Range].[Date].&amp;[2021-10-12T11:22:28]"/>
            <x15:cachedUniqueName index="94" name="[Range].[Date].&amp;[2021-10-16T10:02:39]"/>
            <x15:cachedUniqueName index="95" name="[Range].[Date].&amp;[2021-10-16T10:37:05]"/>
            <x15:cachedUniqueName index="96" name="[Range].[Date].&amp;[2021-10-22T11:19:23]"/>
            <x15:cachedUniqueName index="97" name="[Range].[Date].&amp;[2021-10-26T10:26:09]"/>
            <x15:cachedUniqueName index="98" name="[Range].[Date].&amp;[2021-10-26T10:27:01]"/>
            <x15:cachedUniqueName index="99" name="[Range].[Date].&amp;[2021-11-02T10:19:16]"/>
            <x15:cachedUniqueName index="100" name="[Range].[Date].&amp;[2021-11-06T10:36:00]"/>
            <x15:cachedUniqueName index="101" name="[Range].[Date].&amp;[2021-11-06T12:01:54]"/>
            <x15:cachedUniqueName index="102" name="[Range].[Date].&amp;[2021-11-11T11:25:48]"/>
            <x15:cachedUniqueName index="103" name="[Range].[Date].&amp;[2021-11-11T11:26:34]"/>
            <x15:cachedUniqueName index="104" name="[Range].[Date].&amp;[2021-11-16T11:32:58]"/>
            <x15:cachedUniqueName index="105" name="[Range].[Date].&amp;[2021-11-16T11:33:31]"/>
            <x15:cachedUniqueName index="106" name="[Range].[Date].&amp;[2021-11-20T11:33:06]"/>
            <x15:cachedUniqueName index="107" name="[Range].[Date].&amp;[2021-11-20T11:34:29]"/>
            <x15:cachedUniqueName index="108" name="[Range].[Date].&amp;[2021-11-24T11:16:35]"/>
            <x15:cachedUniqueName index="109" name="[Range].[Date].&amp;[2021-11-24T11:43:27]"/>
            <x15:cachedUniqueName index="110" name="[Range].[Date].&amp;[2021-11-27T11:07:54]"/>
            <x15:cachedUniqueName index="111" name="[Range].[Date].&amp;[2021-11-30T11:04:46]"/>
            <x15:cachedUniqueName index="112" name="[Range].[Date].&amp;[2021-11-30T11:21:52]"/>
            <x15:cachedUniqueName index="113" name="[Range].[Date].&amp;[2021-12-06T11:19:30]"/>
            <x15:cachedUniqueName index="114" name="[Range].[Date].&amp;[2021-12-10T11:15:06]"/>
            <x15:cachedUniqueName index="115" name="[Range].[Date].&amp;[2021-12-10T11:16:06]"/>
            <x15:cachedUniqueName index="116" name="[Range].[Date].&amp;[2021-12-13T12:14:29]"/>
            <x15:cachedUniqueName index="117" name="[Range].[Date].&amp;[2021-12-16T11:16:56]"/>
            <x15:cachedUniqueName index="118" name="[Range].[Date].&amp;[2021-12-16T12:07:15]"/>
            <x15:cachedUniqueName index="119" name="[Range].[Date].&amp;[2021-12-20T11:46:16]"/>
            <x15:cachedUniqueName index="120" name="[Range].[Date].&amp;[2021-12-23T12:48:34]"/>
            <x15:cachedUniqueName index="121" name="[Range].[Date].&amp;[2021-12-27T11:45:25]"/>
            <x15:cachedUniqueName index="122" name="[Range].[Date].&amp;[2021-12-27T11:48:30]"/>
            <x15:cachedUniqueName index="123" name="[Range].[Date].&amp;[2021-12-31T11:34:44]"/>
            <x15:cachedUniqueName index="124" name="[Range].[Date].&amp;[2022-01-01T11:10:03]"/>
            <x15:cachedUniqueName index="125" name="[Range].[Date].&amp;[2022-01-05T10:52:47]"/>
            <x15:cachedUniqueName index="126" name="[Range].[Date].&amp;[2022-01-08T12:55:27]"/>
            <x15:cachedUniqueName index="127" name="[Range].[Date].&amp;[2022-01-10T11:16:53]"/>
            <x15:cachedUniqueName index="128" name="[Range].[Date].&amp;[2022-01-19T11:24:18]"/>
            <x15:cachedUniqueName index="129" name="[Range].[Date].&amp;[2022-01-21T11:24:02]"/>
            <x15:cachedUniqueName index="130" name="[Range].[Date].&amp;[2022-01-25T11:51:21]"/>
            <x15:cachedUniqueName index="131" name="[Range].[Date].&amp;[2022-01-27T11:43:42]"/>
            <x15:cachedUniqueName index="132" name="[Range].[Date].&amp;[2022-01-27T11:44:18]"/>
            <x15:cachedUniqueName index="133" name="[Range].[Date].&amp;[2022-02-03T12:42:10]"/>
            <x15:cachedUniqueName index="134" name="[Range].[Date].&amp;[2022-02-03T12:43:12]"/>
            <x15:cachedUniqueName index="135" name="[Range].[Date].&amp;[2022-02-10T13:02:28]"/>
            <x15:cachedUniqueName index="136" name="[Range].[Date].&amp;[2022-03-30T22:15:17]"/>
            <x15:cachedUniqueName index="137" name="[Range].[Date].&amp;[2022-03-30T22:15:50]"/>
            <x15:cachedUniqueName index="138" name="[Range].[Date].&amp;[2022-04-25T21:13:45]"/>
            <x15:cachedUniqueName index="139" name="[Range].[Date].&amp;[2022-04-25T21:15:08]"/>
            <x15:cachedUniqueName index="140" name="[Range].[Date].&amp;[2022-05-04T12:36:23]"/>
            <x15:cachedUniqueName index="141" name="[Range].[Date].&amp;[2022-05-04T12:37:02]"/>
            <x15:cachedUniqueName index="142" name="[Range].[Date].&amp;[2022-05-09T12:06:59]"/>
            <x15:cachedUniqueName index="143" name="[Range].[Date].&amp;[2022-05-16T17:11:23]"/>
            <x15:cachedUniqueName index="144" name="[Range].[Date].&amp;[2022-05-20T12:23:12]"/>
            <x15:cachedUniqueName index="145" name="[Range].[Date].&amp;[2022-05-23T12:51:07]"/>
            <x15:cachedUniqueName index="146" name="[Range].[Date].&amp;[2022-05-23T17:13:35]"/>
            <x15:cachedUniqueName index="147" name="[Range].[Date].&amp;[2022-05-31T12:32:35]"/>
            <x15:cachedUniqueName index="148" name="[Range].[Date].&amp;[2022-06-04T13:00:10]"/>
            <x15:cachedUniqueName index="149" name="[Range].[Date].&amp;[2022-06-07T16:18:14]"/>
            <x15:cachedUniqueName index="150" name="[Range].[Date].&amp;[2022-06-09T11:41:41]"/>
            <x15:cachedUniqueName index="151" name="[Range].[Date].&amp;[2022-06-11T16:35:03]"/>
            <x15:cachedUniqueName index="152" name="[Range].[Date].&amp;[2022-06-17T11:17:04]"/>
            <x15:cachedUniqueName index="153" name="[Range].[Date].&amp;[2022-06-20T17:12:50]"/>
            <x15:cachedUniqueName index="154" name="[Range].[Date].&amp;[2022-06-20T17:13:48]"/>
            <x15:cachedUniqueName index="155" name="[Range].[Date].&amp;[2022-06-27T16:25:21]"/>
            <x15:cachedUniqueName index="156" name="[Range].[Date].&amp;[2022-07-02T16:21:12]"/>
            <x15:cachedUniqueName index="157" name="[Range].[Date].&amp;[2022-07-11T16:23:42]"/>
            <x15:cachedUniqueName index="158" name="[Range].[Date].&amp;[2022-07-20T16:56:44]"/>
            <x15:cachedUniqueName index="159" name="[Range].[Date].&amp;[2022-07-20T16:57:36]"/>
            <x15:cachedUniqueName index="160" name="[Range].[Date].&amp;[2022-07-29T15:56:55]"/>
            <x15:cachedUniqueName index="161" name="[Range].[Date].&amp;[2022-08-01T15:56:57]"/>
            <x15:cachedUniqueName index="162" name="[Range].[Date].&amp;[2022-08-09T12:57:03]"/>
            <x15:cachedUniqueName index="163" name="[Range].[Date].&amp;[2022-08-09T12:57:36]"/>
            <x15:cachedUniqueName index="164" name="[Range].[Date].&amp;[2022-08-12T15:45:55]"/>
            <x15:cachedUniqueName index="165" name="[Range].[Date].&amp;[2022-08-22T16:33:24]"/>
            <x15:cachedUniqueName index="166" name="[Range].[Date].&amp;[2022-08-22T16:35:51]"/>
            <x15:cachedUniqueName index="167" name="[Range].[Date].&amp;[2022-09-02T16:14:02]"/>
            <x15:cachedUniqueName index="168" name="[Range].[Date].&amp;[2022-09-02T16:16:33]"/>
            <x15:cachedUniqueName index="169" name="[Range].[Date].&amp;[2022-09-12T12:34:38]"/>
            <x15:cachedUniqueName index="170" name="[Range].[Date].&amp;[2022-09-15T13:15:25]"/>
            <x15:cachedUniqueName index="171" name="[Range].[Date].&amp;[2022-09-15T15:17:46]"/>
            <x15:cachedUniqueName index="172" name="[Range].[Date].&amp;[2022-09-22T15:52:51]"/>
            <x15:cachedUniqueName index="173" name="[Range].[Date].&amp;[2022-09-22T16:17:19]"/>
            <x15:cachedUniqueName index="174" name="[Range].[Date].&amp;[2022-09-29T11:51:37]"/>
            <x15:cachedUniqueName index="175" name="[Range].[Date].&amp;[2022-10-01T12:07:34]"/>
            <x15:cachedUniqueName index="176" name="[Range].[Date].&amp;[2022-10-07T10:08:24]"/>
            <x15:cachedUniqueName index="177" name="[Range].[Date].&amp;[2022-10-11T15:24:35]"/>
            <x15:cachedUniqueName index="178" name="[Range].[Date].&amp;[2022-10-22T15:26:51]"/>
            <x15:cachedUniqueName index="179" name="[Range].[Date].&amp;[2022-11-01T12:10:10]"/>
            <x15:cachedUniqueName index="180" name="[Range].[Date].&amp;[2022-11-07T15:09:21]"/>
            <x15:cachedUniqueName index="181" name="[Range].[Date].&amp;[2022-11-11T16:12:26]"/>
            <x15:cachedUniqueName index="182" name="[Range].[Date].&amp;[2022-11-11T16:13:27]"/>
            <x15:cachedUniqueName index="183" name="[Range].[Date].&amp;[2022-11-15T15:39:32]"/>
            <x15:cachedUniqueName index="184" name="[Range].[Date].&amp;[2022-11-17T13:01:40]"/>
            <x15:cachedUniqueName index="185" name="[Range].[Date].&amp;[2022-11-23T12:06:35]"/>
            <x15:cachedUniqueName index="186" name="[Range].[Date].&amp;[2022-11-23T12:07:20]"/>
            <x15:cachedUniqueName index="187" name="[Range].[Date].&amp;[2022-12-02T11:40:43]"/>
            <x15:cachedUniqueName index="188" name="[Range].[Date].&amp;[2022-12-06T15:10:41]"/>
            <x15:cachedUniqueName index="189" name="[Range].[Date].&amp;[2022-12-06T15:12:52]"/>
            <x15:cachedUniqueName index="190" name="[Range].[Date].&amp;[2022-12-19T18:26:12]"/>
            <x15:cachedUniqueName index="191" name="[Range].[Date].&amp;[2022-12-19T18:39:07]"/>
            <x15:cachedUniqueName index="192" name="[Range].[Date].&amp;[2022-12-29T17:18:35]"/>
            <x15:cachedUniqueName index="193" name="[Range].[Date].&amp;[2023-01-03T15:39:49]"/>
            <x15:cachedUniqueName index="194" name="[Range].[Date].&amp;[2023-01-18T16:03:55]"/>
            <x15:cachedUniqueName index="195" name="[Range].[Date].&amp;[2023-01-25T13:16:17]"/>
            <x15:cachedUniqueName index="196" name="[Range].[Date].&amp;[2023-01-25T13:20:41]"/>
            <x15:cachedUniqueName index="197" name="[Range].[Date].&amp;[2023-01-30T18:02:55]"/>
            <x15:cachedUniqueName index="198" name="[Range].[Date].&amp;[2023-02-07T15:11:30]"/>
            <x15:cachedUniqueName index="199" name="[Range].[Date].&amp;[2023-02-10T11:53:13]"/>
            <x15:cachedUniqueName index="200" name="[Range].[Date].&amp;[2023-02-16T16:37:42]"/>
            <x15:cachedUniqueName index="201" name="[Range].[Date].&amp;[2023-02-27T12:36:42]"/>
            <x15:cachedUniqueName index="202" name="[Range].[Date].&amp;[2023-03-04T12:29:17]"/>
            <x15:cachedUniqueName index="203" name="[Range].[Date].&amp;[2023-03-06T11:13:54]"/>
            <x15:cachedUniqueName index="204" name="[Range].[Date].&amp;[2023-03-09T12:54:54]"/>
            <x15:cachedUniqueName index="205" name="[Range].[Date].&amp;[2023-03-31T13:04:48]"/>
            <x15:cachedUniqueName index="206" name="[Range].[Date].&amp;[2023-04-10T22:33:27]"/>
            <x15:cachedUniqueName index="207" name="[Range].[Date].&amp;[2023-04-10T22:37:09]"/>
            <x15:cachedUniqueName index="208" name="[Range].[Date].&amp;[2023-04-13T19:35:32]"/>
            <x15:cachedUniqueName index="209" name="[Range].[Date].&amp;[2023-04-13T19:36:40]"/>
            <x15:cachedUniqueName index="210" name="[Range].[Date].&amp;[2023-05-03T16:48:26]"/>
            <x15:cachedUniqueName index="211" name="[Range].[Date].&amp;[2023-05-03T16:49:45]"/>
            <x15:cachedUniqueName index="212" name="[Range].[Date].&amp;[2023-05-10T15:56:15]"/>
            <x15:cachedUniqueName index="213" name="[Range].[Date].&amp;[2023-05-12T12:52:04]"/>
            <x15:cachedUniqueName index="214" name="[Range].[Date].&amp;[2023-05-17T13:01:24]"/>
            <x15:cachedUniqueName index="215" name="[Range].[Date].&amp;[2023-05-20T22:40:53]"/>
            <x15:cachedUniqueName index="216" name="[Range].[Date].&amp;[2023-05-30T16:52:22]"/>
            <x15:cachedUniqueName index="217" name="[Range].[Date].&amp;[2023-05-30T16:53:09]"/>
            <x15:cachedUniqueName index="218" name="[Range].[Date].&amp;[2023-06-02T12:44:27]"/>
            <x15:cachedUniqueName index="219" name="[Range].[Date].&amp;[2023-06-02T12:45:31]"/>
            <x15:cachedUniqueName index="220" name="[Range].[Date].&amp;[2023-06-06T19:40:00]"/>
            <x15:cachedUniqueName index="221" name="[Range].[Date].&amp;[2023-06-12T17:25:42]"/>
            <x15:cachedUniqueName index="222" name="[Range].[Date].&amp;[2023-06-17T22:51:44]"/>
            <x15:cachedUniqueName index="223" name="[Range].[Date].&amp;[2023-06-17T22:52:07]"/>
            <x15:cachedUniqueName index="224" name="[Range].[Date].&amp;[2023-06-19T21:39:15]"/>
            <x15:cachedUniqueName index="225" name="[Range].[Date].&amp;[2023-06-22T17:14:25]"/>
            <x15:cachedUniqueName index="226" name="[Range].[Date].&amp;[2023-06-24T18:44:01]"/>
            <x15:cachedUniqueName index="227" name="[Range].[Date].&amp;[2023-06-24T18:45:14]"/>
            <x15:cachedUniqueName index="228" name="[Range].[Date].&amp;[2023-06-29T17:28:58]"/>
            <x15:cachedUniqueName index="229" name="[Range].[Date].&amp;[2023-07-04T17:38:28]"/>
            <x15:cachedUniqueName index="230" name="[Range].[Date].&amp;[2023-07-04T17:40:34]"/>
            <x15:cachedUniqueName index="231" name="[Range].[Date].&amp;[2023-07-14T12:01:00]"/>
            <x15:cachedUniqueName index="232" name="[Range].[Date].&amp;[2023-07-14T12:02:50]"/>
            <x15:cachedUniqueName index="233" name="[Range].[Date].&amp;[2023-07-27T17:38:50]"/>
            <x15:cachedUniqueName index="234" name="[Range].[Date].&amp;[2023-08-07T16:30:38]"/>
            <x15:cachedUniqueName index="235" name="[Range].[Date].&amp;[2023-08-07T16:31:37]"/>
            <x15:cachedUniqueName index="236" name="[Range].[Date].&amp;[2023-08-17T17:36:13]"/>
            <x15:cachedUniqueName index="237" name="[Range].[Date].&amp;[2023-08-24T13:05:08]"/>
            <x15:cachedUniqueName index="238" name="[Range].[Date].&amp;[2023-08-24T13:06:30]"/>
            <x15:cachedUniqueName index="239" name="[Range].[Date].&amp;[2023-09-01T16:23:18]"/>
            <x15:cachedUniqueName index="240" name="[Range].[Date].&amp;[2023-09-11T15:18:15]"/>
            <x15:cachedUniqueName index="241" name="[Range].[Date].&amp;[2023-09-11T15:19:42]"/>
            <x15:cachedUniqueName index="242" name="[Range].[Date].&amp;[2023-09-16T11:48:24]"/>
            <x15:cachedUniqueName index="243" name="[Range].[Date].&amp;[2023-09-18T10:49:41]"/>
            <x15:cachedUniqueName index="244" name="[Range].[Date].&amp;[2023-09-28T13:13:08]"/>
            <x15:cachedUniqueName index="245" name="[Range].[Date].&amp;[2023-09-28T13:13:38]"/>
            <x15:cachedUniqueName index="246" name="[Range].[Date].&amp;[2023-10-09T13:06:14]"/>
            <x15:cachedUniqueName index="247" name="[Range].[Date].&amp;[2023-10-17T13:25:31]"/>
            <x15:cachedUniqueName index="248" name="[Range].[Date].&amp;[2023-10-17T14:27:54]"/>
            <x15:cachedUniqueName index="249" name="[Range].[Date].&amp;[2023-10-26T15:15:13]"/>
            <x15:cachedUniqueName index="250" name="[Range].[Date].&amp;[2023-10-26T15:16:06]"/>
            <x15:cachedUniqueName index="251" name="[Range].[Date].&amp;[2023-11-09T11:57:50]"/>
            <x15:cachedUniqueName index="252" name="[Range].[Date].&amp;[2023-11-14T15:08:47]"/>
            <x15:cachedUniqueName index="253" name="[Range].[Date].&amp;[2023-11-14T15:09:32]"/>
            <x15:cachedUniqueName index="254" name="[Range].[Date].&amp;[2023-11-20T11:32:38]"/>
            <x15:cachedUniqueName index="255" name="[Range].[Date].&amp;[2023-11-20T11:33:25]"/>
            <x15:cachedUniqueName index="256" name="[Range].[Date].&amp;[2023-11-28T15:50:05]"/>
            <x15:cachedUniqueName index="257" name="[Range].[Date].&amp;[2023-11-28T15:51:14]"/>
            <x15:cachedUniqueName index="258" name="[Range].[Date].&amp;[2023-12-08T15:15:34]"/>
            <x15:cachedUniqueName index="259" name="[Range].[Date].&amp;[2023-12-11T14:33:13]"/>
            <x15:cachedUniqueName index="260" name="[Range].[Date].&amp;[2023-12-11T14:34:02]"/>
            <x15:cachedUniqueName index="261" name="[Range].[Date].&amp;[2023-12-15T15:06:34]"/>
            <x15:cachedUniqueName index="262" name="[Range].[Date].&amp;[2023-12-29T16:58:03]"/>
            <x15:cachedUniqueName index="263" name="[Range].[Date].&amp;[2023-12-29T16:59:55]"/>
          </x15:cachedUniqueNames>
        </ext>
      </extLst>
    </cacheField>
    <cacheField name="[Range].[Date (Month)].[Date (Month)]" caption="Date (Month)" numFmtId="0" hierarchy="20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Range].[Date (Year)].[Date (Year)]" caption="Date (Year)" numFmtId="0" hierarchy="18" level="1">
      <sharedItems count="4">
        <s v="2021"/>
        <s v="2022"/>
        <s v="2023"/>
        <s v="2024"/>
      </sharedItems>
    </cacheField>
    <cacheField name="[Range].[Item].[Item]" caption="Item" numFmtId="0" hierarchy="16" level="1">
      <sharedItems count="3">
        <s v="Beer"/>
        <s v="Liquor"/>
        <s v="-" u="1"/>
      </sharedItems>
    </cacheField>
    <cacheField name="[Measures].[Sum of Sale Amount]" caption="Sum of Sale Amount" numFmtId="0" hierarchy="61" level="32767"/>
  </cacheFields>
  <cacheHierarchies count="67">
    <cacheHierarchy uniqueName="[Range].[Sl No.]" caption="Sl No." attribute="1" defaultMemberUniqueName="[Range].[Sl No.].[All]" allUniqueName="[Range].[Sl No.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Invoice/ MR No.]" caption="Invoice/ MR No." attribute="1" defaultMemberUniqueName="[Range].[Invoice/ MR No.].[All]" allUniqueName="[Range].[Invoice/ MR No.].[All]" dimensionUniqueName="[Range]" displayFolder="" count="0" memberValueDatatype="130" unbalanced="0"/>
    <cacheHierarchy uniqueName="[Range].[Invoice Type]" caption="Invoice Type" attribute="1" defaultMemberUniqueName="[Range].[Invoice Type].[All]" allUniqueName="[Range].[Invoice Type].[All]" dimensionUniqueName="[Range]" displayFolder="" count="0" memberValueDatatype="130" unbalanced="0"/>
    <cacheHierarchy uniqueName="[Range].[Oppening Balance]" caption="Oppening Balance" attribute="1" defaultMemberUniqueName="[Range].[Oppening Balance].[All]" allUniqueName="[Range].[Oppening Balance].[All]" dimensionUniqueName="[Range]" displayFolder="" count="0" memberValueDatatype="5" unbalanced="0"/>
    <cacheHierarchy uniqueName="[Range].[Credit Amount]" caption="Credit Amount" attribute="1" defaultMemberUniqueName="[Range].[Credit Amount].[All]" allUniqueName="[Range].[Credit Amount].[All]" dimensionUniqueName="[Range]" displayFolder="" count="0" memberValueDatatype="20" unbalanced="0"/>
    <cacheHierarchy uniqueName="[Range].[BL]" caption="BL" attribute="1" defaultMemberUniqueName="[Range].[BL].[All]" allUniqueName="[Range].[BL].[All]" dimensionUniqueName="[Range]" displayFolder="" count="0" memberValueDatatype="5" unbalanced="0"/>
    <cacheHierarchy uniqueName="[Range].[LPL]" caption="LPL" attribute="1" defaultMemberUniqueName="[Range].[LPL].[All]" allUniqueName="[Range].[LPL].[All]" dimensionUniqueName="[Range]" displayFolder="" count="0" memberValueDatatype="5" unbalanced="0"/>
    <cacheHierarchy uniqueName="[Range].[Sale Amount]" caption="Sale Amount" attribute="1" defaultMemberUniqueName="[Range].[Sale Amount].[All]" allUniqueName="[Range].[Sale Amount].[All]" dimensionUniqueName="[Range]" displayFolder="" count="0" memberValueDatatype="5" unbalanced="0"/>
    <cacheHierarchy uniqueName="[Range].[VAT]" caption="VAT" attribute="1" defaultMemberUniqueName="[Range].[VAT].[All]" allUniqueName="[Range].[VAT].[All]" dimensionUniqueName="[Range]" displayFolder="" count="0" memberValueDatatype="5" unbalanced="0"/>
    <cacheHierarchy uniqueName="[Range].[TCS]" caption="TCS" attribute="1" defaultMemberUniqueName="[Range].[TCS].[All]" allUniqueName="[Range].[TCS].[All]" dimensionUniqueName="[Range]" displayFolder="" count="0" memberValueDatatype="5" unbalanced="0"/>
    <cacheHierarchy uniqueName="[Range].[Grand Total]" caption="Grand Total" attribute="1" defaultMemberUniqueName="[Range].[Grand Total].[All]" allUniqueName="[Range].[Grand Total].[All]" dimensionUniqueName="[Range]" displayFolder="" count="0" memberValueDatatype="5" unbalanced="0"/>
    <cacheHierarchy uniqueName="[Range].[Closing Balance]" caption="Closing Balance" attribute="1" defaultMemberUniqueName="[Range].[Closing Balance].[All]" allUniqueName="[Range].[Closing Balance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VAT %]" caption="VAT %" attribute="1" defaultMemberUniqueName="[Range].[VAT %].[All]" allUniqueName="[Range].[VAT %].[All]" dimensionUniqueName="[Range]" displayFolder="" count="0" memberValueDatatype="5" unbalanced="0"/>
    <cacheHierarchy uniqueName="[Range].[TCS %]" caption="TCS %" attribute="1" defaultMemberUniqueName="[Range].[TCS %].[All]" allUniqueName="[Range].[TCS %].[All]" dimensionUniqueName="[Range]" displayFolder="" count="0" memberValueDatatype="5" unbalanced="0"/>
    <cacheHierarchy uniqueName="[Range].[Item]" caption="Item" attribute="1" defaultMemberUniqueName="[Range].[Item].[All]" allUniqueName="[Range].[Item].[All]" dimensionUniqueName="[Range]" displayFolder="" count="2" memberValueDatatype="130" unbalanced="0">
      <fieldsUsage count="2">
        <fieldUsage x="-1"/>
        <fieldUsage x="3"/>
      </fieldsUsage>
    </cacheHierarchy>
    <cacheHierarchy uniqueName="[Range].[Liters]" caption="Liters" attribute="1" defaultMemberUniqueName="[Range].[Liters].[All]" allUniqueName="[Range].[Liters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Sl No.]" caption="Sl No." attribute="1" defaultMemberUniqueName="[Range 1].[Sl No.].[All]" allUniqueName="[Range 1].[Sl No.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Invoice/ MR No.]" caption="Invoice/ MR No." attribute="1" defaultMemberUniqueName="[Range 1].[Invoice/ MR No.].[All]" allUniqueName="[Range 1].[Invoice/ MR No.].[All]" dimensionUniqueName="[Range 1]" displayFolder="" count="0" memberValueDatatype="130" unbalanced="0"/>
    <cacheHierarchy uniqueName="[Range 1].[Invoice Type]" caption="Invoice Type" attribute="1" defaultMemberUniqueName="[Range 1].[Invoice Type].[All]" allUniqueName="[Range 1].[Invoice Type].[All]" dimensionUniqueName="[Range 1]" displayFolder="" count="0" memberValueDatatype="130" unbalanced="0"/>
    <cacheHierarchy uniqueName="[Range 1].[Oppening Balance]" caption="Oppening Balance" attribute="1" defaultMemberUniqueName="[Range 1].[Oppening Balance].[All]" allUniqueName="[Range 1].[Oppening Balance].[All]" dimensionUniqueName="[Range 1]" displayFolder="" count="0" memberValueDatatype="5" unbalanced="0"/>
    <cacheHierarchy uniqueName="[Range 1].[Credit Amount]" caption="Credit Amount" attribute="1" defaultMemberUniqueName="[Range 1].[Credit Amount].[All]" allUniqueName="[Range 1].[Credit Amount].[All]" dimensionUniqueName="[Range 1]" displayFolder="" count="0" memberValueDatatype="20" unbalanced="0"/>
    <cacheHierarchy uniqueName="[Range 1].[BL]" caption="BL" attribute="1" defaultMemberUniqueName="[Range 1].[BL].[All]" allUniqueName="[Range 1].[BL].[All]" dimensionUniqueName="[Range 1]" displayFolder="" count="0" memberValueDatatype="5" unbalanced="0"/>
    <cacheHierarchy uniqueName="[Range 1].[LPL]" caption="LPL" attribute="1" defaultMemberUniqueName="[Range 1].[LPL].[All]" allUniqueName="[Range 1].[LPL].[All]" dimensionUniqueName="[Range 1]" displayFolder="" count="0" memberValueDatatype="5" unbalanced="0"/>
    <cacheHierarchy uniqueName="[Range 1].[Sale Amount]" caption="Sale Amount" attribute="1" defaultMemberUniqueName="[Range 1].[Sale Amount].[All]" allUniqueName="[Range 1].[Sale Amount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TCS]" caption="TCS" attribute="1" defaultMemberUniqueName="[Range 1].[TCS].[All]" allUniqueName="[Range 1].[TCS].[All]" dimensionUniqueName="[Range 1]" displayFolder="" count="0" memberValueDatatype="5" unbalanced="0"/>
    <cacheHierarchy uniqueName="[Range 1].[Grand Total]" caption="Grand Total" attribute="1" defaultMemberUniqueName="[Range 1].[Grand Total].[All]" allUniqueName="[Range 1].[Grand Total].[All]" dimensionUniqueName="[Range 1]" displayFolder="" count="0" memberValueDatatype="5" unbalanced="0"/>
    <cacheHierarchy uniqueName="[Range 1].[Closing Balance]" caption="Closing Balance" attribute="1" defaultMemberUniqueName="[Range 1].[Closing Balance].[All]" allUniqueName="[Range 1].[Closing Balance].[All]" dimensionUniqueName="[Range 1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AT %]" caption="VAT %" attribute="1" defaultMemberUniqueName="[Range 1].[VAT %].[All]" allUniqueName="[Range 1].[VAT %].[All]" dimensionUniqueName="[Range 1]" displayFolder="" count="0" memberValueDatatype="5" unbalanced="0"/>
    <cacheHierarchy uniqueName="[Range 1].[TCS %]" caption="TCS %" attribute="1" defaultMemberUniqueName="[Range 1].[TCS %].[All]" allUniqueName="[Range 1].[TCS %].[All]" dimensionUniqueName="[Range 1]" displayFolder="" count="0" memberValueDatatype="5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Liters]" caption="Liters" attribute="1" defaultMemberUniqueName="[Range 1].[Liters].[All]" allUniqueName="[Range 1].[Liters].[All]" dimensionUniqueName="[Range 1]" displayFolder="" count="0" memberValueDatatype="5" unbalanced="0"/>
    <cacheHierarchy uniqueName="[Range 1].[CHECK]" caption="CHECK" attribute="1" defaultMemberUniqueName="[Range 1].[CHECK].[All]" allUniqueName="[Range 1].[CHECK].[All]" dimensionUniqueName="[Range 1]" displayFolder="" count="0" memberValueDatatype="11" unbalanced="0"/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Total Amount]" caption="Total Amount" attribute="1" defaultMemberUniqueName="[Range 2].[Total Amount].[All]" allUniqueName="[Range 2].[Total Amount].[All]" dimensionUniqueName="[Range 2]" displayFolder="" count="0" memberValueDatatype="5" unbalanced="0"/>
    <cacheHierarchy uniqueName="[Range 2].[MoM % Change]" caption="MoM % Change" attribute="1" defaultMemberUniqueName="[Range 2].[MoM % Change].[All]" allUniqueName="[Range 2].[MoM % Change].[All]" dimensionUniqueName="[Range 2]" displayFolder="" count="0" memberValueDatatype="5" unbalanced="0"/>
    <cacheHierarchy uniqueName="[Range 3].[Date]" caption="Date" attribute="1" defaultMemberUniqueName="[Range 3].[Date].[All]" allUniqueName="[Range 3].[Date].[All]" dimensionUniqueName="[Range 3]" displayFolder="" count="0" memberValueDatatype="130" unbalanced="0"/>
    <cacheHierarchy uniqueName="[Range 3].[Total Amount]" caption="Total Amount" attribute="1" defaultMemberUniqueName="[Range 3].[Total Amount].[All]" allUniqueName="[Range 3].[Total Amount].[All]" dimensionUniqueName="[Range 3]" displayFolder="" count="0" memberValueDatatype="5" unbalanced="0"/>
    <cacheHierarchy uniqueName="[Range 3].[MoM % Change]" caption="MoM % Change" attribute="1" defaultMemberUniqueName="[Range 3].[MoM % Change].[All]" allUniqueName="[Range 3].[MoM % Change].[All]" dimensionUniqueName="[Range 3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Liters]" caption="Count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]" caption="Sum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 2]" caption="Sum of Liters 2" measure="1" displayFolder="" measureGroup="Range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Grand Total]" caption="Sum of Grand Tota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 Amount]" caption="Sum of Sale Amoun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AT]" caption="Sum of VA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CS]" caption="Sum of TC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M % Change]" caption="Sum of MoM % Change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MoM % Change 2]" caption="Sum of MoM % Change 2" measure="1" displayFolder="" measureGroup="Range 3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Credit Amount]" caption="Sum of Credit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2065998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YAG" refreshedDate="45858.545583564817" backgroundQuery="1" createdVersion="8" refreshedVersion="8" minRefreshableVersion="3" recordCount="0" supportSubquery="1" supportAdvancedDrill="1" xr:uid="{57D71375-00BA-429A-9EB8-D55658FAABA9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Range 1].[Date].[Date]" caption="Date" numFmtId="0" hierarchy="22" level="1">
      <sharedItems containsSemiMixedTypes="0" containsNonDate="0" containsDate="1" containsString="0" minDate="2021-04-16T11:26:36" maxDate="2023-12-29T16:59:55" count="264">
        <d v="2021-04-16T11:26:36"/>
        <d v="2021-04-17T12:38:38"/>
        <d v="2021-04-19T13:07:27"/>
        <d v="2021-04-20T15:02:09"/>
        <d v="2021-04-22T17:44:11"/>
        <d v="2021-04-23T15:32:35"/>
        <d v="2021-04-26T11:06:50"/>
        <d v="2021-04-26T11:46:16"/>
        <d v="2021-04-27T16:10:48"/>
        <d v="2021-04-27T16:11:24"/>
        <d v="2021-04-28T15:03:30"/>
        <d v="2021-04-28T15:04:08"/>
        <d v="2021-04-29T16:21:33"/>
        <d v="2021-04-30T12:02:13"/>
        <d v="2021-05-03T12:10:23"/>
        <d v="2021-05-03T12:11:00"/>
        <d v="2021-05-04T14:59:04"/>
        <d v="2021-05-04T15:21:19"/>
        <d v="2021-05-18T11:52:14"/>
        <d v="2021-05-18T11:53:08"/>
        <d v="2021-05-20T10:07:03"/>
        <d v="2021-05-20T10:09:15"/>
        <d v="2021-05-24T09:15:26"/>
        <d v="2021-05-24T09:16:19"/>
        <d v="2021-05-28T08:30:47"/>
        <d v="2021-05-28T08:31:26"/>
        <d v="2021-06-03T09:33:56"/>
        <d v="2021-06-03T09:34:33"/>
        <d v="2021-06-09T09:07:04"/>
        <d v="2021-06-14T09:23:44"/>
        <d v="2021-06-14T09:24:13"/>
        <d v="2021-06-17T10:32:13"/>
        <d v="2021-06-17T10:32:48"/>
        <d v="2021-06-21T09:46:12"/>
        <d v="2021-06-21T09:56:17"/>
        <d v="2021-06-23T11:35:43"/>
        <d v="2021-06-25T09:50:16"/>
        <d v="2021-06-25T10:18:13"/>
        <d v="2021-06-29T11:38:01"/>
        <d v="2021-07-01T10:04:09"/>
        <d v="2021-07-01T10:04:37"/>
        <d v="2021-07-05T10:09:34"/>
        <d v="2021-07-07T10:12:27"/>
        <d v="2021-07-07T10:36:38"/>
        <d v="2021-07-09T09:49:16"/>
        <d v="2021-07-09T09:50:03"/>
        <d v="2021-07-14T12:34:27"/>
        <d v="2021-07-14T12:35:25"/>
        <d v="2021-07-16T10:21:20"/>
        <d v="2021-07-16T10:47:10"/>
        <d v="2021-07-20T10:46:15"/>
        <d v="2021-07-20T10:46:58"/>
        <d v="2021-07-26T11:58:53"/>
        <d v="2021-07-26T12:00:18"/>
        <d v="2021-07-28T11:29:48"/>
        <d v="2021-07-28T11:42:27"/>
        <d v="2021-07-30T11:00:34"/>
        <d v="2021-08-03T10:41:09"/>
        <d v="2021-08-03T10:42:05"/>
        <d v="2021-08-07T09:47:45"/>
        <d v="2021-08-07T09:53:32"/>
        <d v="2021-08-10T10:50:23"/>
        <d v="2021-08-10T10:51:18"/>
        <d v="2021-08-14T10:15:58"/>
        <d v="2021-08-14T10:16:32"/>
        <d v="2021-08-17T10:37:11"/>
        <d v="2021-08-21T10:06:49"/>
        <d v="2021-08-21T10:07:29"/>
        <d v="2021-08-24T10:53:29"/>
        <d v="2021-08-24T10:54:09"/>
        <d v="2021-08-28T09:56:43"/>
        <d v="2021-08-28T09:57:30"/>
        <d v="2021-09-01T10:10:51"/>
        <d v="2021-09-01T10:12:25"/>
        <d v="2021-09-03T10:23:14"/>
        <d v="2021-09-06T10:44:51"/>
        <d v="2021-09-06T10:45:35"/>
        <d v="2021-09-11T10:07:16"/>
        <d v="2021-09-11T10:08:34"/>
        <d v="2021-09-14T10:20:11"/>
        <d v="2021-09-18T10:00:29"/>
        <d v="2021-09-18T10:00:53"/>
        <d v="2021-09-21T10:21:52"/>
        <d v="2021-09-21T10:22:46"/>
        <d v="2021-09-25T10:21:38"/>
        <d v="2021-09-25T10:22:25"/>
        <d v="2021-09-30T10:03:13"/>
        <d v="2021-10-01T12:00:09"/>
        <d v="2021-10-01T12:02:10"/>
        <d v="2021-10-04T11:36:11"/>
        <d v="2021-10-07T11:06:16"/>
        <d v="2021-10-07T11:27:26"/>
        <d v="2021-10-12T10:10:08"/>
        <d v="2021-10-12T11:22:28"/>
        <d v="2021-10-16T10:02:39"/>
        <d v="2021-10-16T10:37:05"/>
        <d v="2021-10-22T11:19:23"/>
        <d v="2021-10-26T10:26:09"/>
        <d v="2021-10-26T10:27:01"/>
        <d v="2021-11-02T10:19:16"/>
        <d v="2021-11-06T10:36:00"/>
        <d v="2021-11-06T12:01:54"/>
        <d v="2021-11-11T11:25:48"/>
        <d v="2021-11-11T11:26:34"/>
        <d v="2021-11-16T11:32:58"/>
        <d v="2021-11-16T11:33:31"/>
        <d v="2021-11-20T11:33:06"/>
        <d v="2021-11-20T11:34:29"/>
        <d v="2021-11-24T11:16:35"/>
        <d v="2021-11-24T11:43:27"/>
        <d v="2021-11-27T11:07:54"/>
        <d v="2021-11-30T11:04:46"/>
        <d v="2021-11-30T11:21:52"/>
        <d v="2021-12-06T11:19:30"/>
        <d v="2021-12-10T11:15:06"/>
        <d v="2021-12-10T11:16:06"/>
        <d v="2021-12-13T12:14:29"/>
        <d v="2021-12-16T11:16:56"/>
        <d v="2021-12-16T12:07:15"/>
        <d v="2021-12-20T11:46:16"/>
        <d v="2021-12-23T12:48:34"/>
        <d v="2021-12-27T11:45:25"/>
        <d v="2021-12-27T11:48:30"/>
        <d v="2021-12-31T11:34:44"/>
        <d v="2022-01-01T11:10:03"/>
        <d v="2022-01-05T10:52:47"/>
        <d v="2022-01-08T12:55:27"/>
        <d v="2022-01-10T11:16:53"/>
        <d v="2022-01-19T11:24:18"/>
        <d v="2022-01-21T11:24:02"/>
        <d v="2022-01-25T11:51:21"/>
        <d v="2022-01-27T11:43:42"/>
        <d v="2022-01-27T11:44:18"/>
        <d v="2022-02-03T12:42:10"/>
        <d v="2022-02-03T12:43:12"/>
        <d v="2022-02-10T13:02:28"/>
        <d v="2022-03-30T22:15:17"/>
        <d v="2022-03-30T22:15:50"/>
        <d v="2022-04-25T21:13:45"/>
        <d v="2022-04-25T21:15:08"/>
        <d v="2022-05-04T12:36:23"/>
        <d v="2022-05-04T12:37:02"/>
        <d v="2022-05-09T12:06:59"/>
        <d v="2022-05-16T17:11:23"/>
        <d v="2022-05-20T12:23:12"/>
        <d v="2022-05-23T12:51:07"/>
        <d v="2022-05-23T17:13:35"/>
        <d v="2022-05-31T12:32:35"/>
        <d v="2022-06-04T13:00:10"/>
        <d v="2022-06-07T16:18:14"/>
        <d v="2022-06-09T11:41:41"/>
        <d v="2022-06-11T16:35:03"/>
        <d v="2022-06-17T11:17:04"/>
        <d v="2022-06-20T17:12:50"/>
        <d v="2022-06-20T17:13:48"/>
        <d v="2022-06-27T16:25:21"/>
        <d v="2022-07-02T16:21:12"/>
        <d v="2022-07-11T16:23:42"/>
        <d v="2022-07-20T16:56:44"/>
        <d v="2022-07-20T16:57:36"/>
        <d v="2022-07-29T15:56:55"/>
        <d v="2022-08-01T15:56:57"/>
        <d v="2022-08-09T12:57:03"/>
        <d v="2022-08-09T12:57:36"/>
        <d v="2022-08-12T15:45:55"/>
        <d v="2022-08-22T16:33:24"/>
        <d v="2022-08-22T16:35:51"/>
        <d v="2022-09-02T16:14:02"/>
        <d v="2022-09-02T16:16:33"/>
        <d v="2022-09-12T12:34:38"/>
        <d v="2022-09-15T13:15:25"/>
        <d v="2022-09-15T15:17:46"/>
        <d v="2022-09-22T15:52:51"/>
        <d v="2022-09-22T16:17:19"/>
        <d v="2022-09-29T11:51:37"/>
        <d v="2022-10-01T12:07:34"/>
        <d v="2022-10-07T10:08:24"/>
        <d v="2022-10-11T15:24:35"/>
        <d v="2022-10-22T15:26:51"/>
        <d v="2022-11-01T12:10:10"/>
        <d v="2022-11-07T15:09:21"/>
        <d v="2022-11-11T16:12:26"/>
        <d v="2022-11-11T16:13:27"/>
        <d v="2022-11-15T15:39:32"/>
        <d v="2022-11-17T13:01:40"/>
        <d v="2022-11-23T12:06:35"/>
        <d v="2022-11-23T12:07:20"/>
        <d v="2022-12-02T11:40:43"/>
        <d v="2022-12-06T15:10:41"/>
        <d v="2022-12-06T15:12:52"/>
        <d v="2022-12-19T18:26:12"/>
        <d v="2022-12-19T18:39:07"/>
        <d v="2022-12-29T17:18:35"/>
        <d v="2023-01-03T15:39:49"/>
        <d v="2023-01-18T16:03:55"/>
        <d v="2023-01-25T13:16:17"/>
        <d v="2023-01-25T13:20:41"/>
        <d v="2023-01-30T18:02:55"/>
        <d v="2023-02-07T15:11:30"/>
        <d v="2023-02-10T11:53:13"/>
        <d v="2023-02-16T16:37:42"/>
        <d v="2023-02-27T12:36:42"/>
        <d v="2023-03-04T12:29:17"/>
        <d v="2023-03-06T11:13:54"/>
        <d v="2023-03-09T12:54:54"/>
        <d v="2023-03-31T13:04:48"/>
        <d v="2023-04-10T22:33:27"/>
        <d v="2023-04-10T22:37:09"/>
        <d v="2023-04-13T19:35:32"/>
        <d v="2023-04-13T19:36:40"/>
        <d v="2023-05-03T16:48:26"/>
        <d v="2023-05-03T16:49:45"/>
        <d v="2023-05-10T15:56:15"/>
        <d v="2023-05-12T12:52:04"/>
        <d v="2023-05-17T13:01:24"/>
        <d v="2023-05-20T22:40:53"/>
        <d v="2023-05-30T16:52:22"/>
        <d v="2023-05-30T16:53:09"/>
        <d v="2023-06-02T12:44:27"/>
        <d v="2023-06-02T12:45:31"/>
        <d v="2023-06-06T19:40:00"/>
        <d v="2023-06-12T17:25:42"/>
        <d v="2023-06-17T22:51:44"/>
        <d v="2023-06-17T22:52:07"/>
        <d v="2023-06-19T21:39:15"/>
        <d v="2023-06-22T17:14:25"/>
        <d v="2023-06-24T18:44:01"/>
        <d v="2023-06-24T18:45:14"/>
        <d v="2023-06-29T17:28:58"/>
        <d v="2023-07-04T17:38:28"/>
        <d v="2023-07-04T17:40:34"/>
        <d v="2023-07-14T12:01:00"/>
        <d v="2023-07-14T12:02:50"/>
        <d v="2023-07-27T17:38:50"/>
        <d v="2023-08-07T16:30:38"/>
        <d v="2023-08-07T16:31:37"/>
        <d v="2023-08-17T17:36:13"/>
        <d v="2023-08-24T13:05:08"/>
        <d v="2023-08-24T13:06:30"/>
        <d v="2023-09-01T16:23:18"/>
        <d v="2023-09-11T15:18:15"/>
        <d v="2023-09-11T15:19:42"/>
        <d v="2023-09-16T11:48:24"/>
        <d v="2023-09-18T10:49:41"/>
        <d v="2023-09-28T13:13:08"/>
        <d v="2023-09-28T13:13:38"/>
        <d v="2023-10-09T13:06:14"/>
        <d v="2023-10-17T13:25:31"/>
        <d v="2023-10-17T14:27:54"/>
        <d v="2023-10-26T15:15:13"/>
        <d v="2023-10-26T15:16:06"/>
        <d v="2023-11-09T11:57:50"/>
        <d v="2023-11-14T15:08:47"/>
        <d v="2023-11-14T15:09:32"/>
        <d v="2023-11-20T11:32:38"/>
        <d v="2023-11-20T11:33:25"/>
        <d v="2023-11-28T15:50:05"/>
        <d v="2023-11-28T15:51:14"/>
        <d v="2023-12-08T15:15:34"/>
        <d v="2023-12-11T14:33:13"/>
        <d v="2023-12-11T14:34:02"/>
        <d v="2023-12-15T15:06:34"/>
        <d v="2023-12-29T16:58:03"/>
        <d v="2023-12-29T16:59:55"/>
      </sharedItems>
      <extLst>
        <ext xmlns:x15="http://schemas.microsoft.com/office/spreadsheetml/2010/11/main" uri="{4F2E5C28-24EA-4eb8-9CBF-B6C8F9C3D259}">
          <x15:cachedUniqueNames>
            <x15:cachedUniqueName index="0" name="[Range 1].[Date].&amp;[2021-04-16T11:26:36]"/>
            <x15:cachedUniqueName index="1" name="[Range 1].[Date].&amp;[2021-04-17T12:38:38]"/>
            <x15:cachedUniqueName index="2" name="[Range 1].[Date].&amp;[2021-04-19T13:07:27]"/>
            <x15:cachedUniqueName index="3" name="[Range 1].[Date].&amp;[2021-04-20T15:02:09]"/>
            <x15:cachedUniqueName index="4" name="[Range 1].[Date].&amp;[2021-04-22T17:44:11]"/>
            <x15:cachedUniqueName index="5" name="[Range 1].[Date].&amp;[2021-04-23T15:32:35]"/>
            <x15:cachedUniqueName index="6" name="[Range 1].[Date].&amp;[2021-04-26T11:06:50]"/>
            <x15:cachedUniqueName index="7" name="[Range 1].[Date].&amp;[2021-04-26T11:46:16]"/>
            <x15:cachedUniqueName index="8" name="[Range 1].[Date].&amp;[2021-04-27T16:10:48]"/>
            <x15:cachedUniqueName index="9" name="[Range 1].[Date].&amp;[2021-04-27T16:11:24]"/>
            <x15:cachedUniqueName index="10" name="[Range 1].[Date].&amp;[2021-04-28T15:03:30]"/>
            <x15:cachedUniqueName index="11" name="[Range 1].[Date].&amp;[2021-04-28T15:04:08]"/>
            <x15:cachedUniqueName index="12" name="[Range 1].[Date].&amp;[2021-04-29T16:21:33]"/>
            <x15:cachedUniqueName index="13" name="[Range 1].[Date].&amp;[2021-04-30T12:02:13]"/>
            <x15:cachedUniqueName index="14" name="[Range 1].[Date].&amp;[2021-05-03T12:10:23]"/>
            <x15:cachedUniqueName index="15" name="[Range 1].[Date].&amp;[2021-05-03T12:11:00]"/>
            <x15:cachedUniqueName index="16" name="[Range 1].[Date].&amp;[2021-05-04T14:59:04]"/>
            <x15:cachedUniqueName index="17" name="[Range 1].[Date].&amp;[2021-05-04T15:21:19]"/>
            <x15:cachedUniqueName index="18" name="[Range 1].[Date].&amp;[2021-05-18T11:52:14]"/>
            <x15:cachedUniqueName index="19" name="[Range 1].[Date].&amp;[2021-05-18T11:53:08]"/>
            <x15:cachedUniqueName index="20" name="[Range 1].[Date].&amp;[2021-05-20T10:07:03]"/>
            <x15:cachedUniqueName index="21" name="[Range 1].[Date].&amp;[2021-05-20T10:09:15]"/>
            <x15:cachedUniqueName index="22" name="[Range 1].[Date].&amp;[2021-05-24T09:15:26]"/>
            <x15:cachedUniqueName index="23" name="[Range 1].[Date].&amp;[2021-05-24T09:16:19]"/>
            <x15:cachedUniqueName index="24" name="[Range 1].[Date].&amp;[2021-05-28T08:30:47]"/>
            <x15:cachedUniqueName index="25" name="[Range 1].[Date].&amp;[2021-05-28T08:31:26]"/>
            <x15:cachedUniqueName index="26" name="[Range 1].[Date].&amp;[2021-06-03T09:33:56]"/>
            <x15:cachedUniqueName index="27" name="[Range 1].[Date].&amp;[2021-06-03T09:34:33]"/>
            <x15:cachedUniqueName index="28" name="[Range 1].[Date].&amp;[2021-06-09T09:07:04]"/>
            <x15:cachedUniqueName index="29" name="[Range 1].[Date].&amp;[2021-06-14T09:23:44]"/>
            <x15:cachedUniqueName index="30" name="[Range 1].[Date].&amp;[2021-06-14T09:24:13]"/>
            <x15:cachedUniqueName index="31" name="[Range 1].[Date].&amp;[2021-06-17T10:32:13]"/>
            <x15:cachedUniqueName index="32" name="[Range 1].[Date].&amp;[2021-06-17T10:32:48]"/>
            <x15:cachedUniqueName index="33" name="[Range 1].[Date].&amp;[2021-06-21T09:46:12]"/>
            <x15:cachedUniqueName index="34" name="[Range 1].[Date].&amp;[2021-06-21T09:56:17]"/>
            <x15:cachedUniqueName index="35" name="[Range 1].[Date].&amp;[2021-06-23T11:35:43]"/>
            <x15:cachedUniqueName index="36" name="[Range 1].[Date].&amp;[2021-06-25T09:50:16]"/>
            <x15:cachedUniqueName index="37" name="[Range 1].[Date].&amp;[2021-06-25T10:18:13]"/>
            <x15:cachedUniqueName index="38" name="[Range 1].[Date].&amp;[2021-06-29T11:38:01]"/>
            <x15:cachedUniqueName index="39" name="[Range 1].[Date].&amp;[2021-07-01T10:04:09]"/>
            <x15:cachedUniqueName index="40" name="[Range 1].[Date].&amp;[2021-07-01T10:04:37]"/>
            <x15:cachedUniqueName index="41" name="[Range 1].[Date].&amp;[2021-07-05T10:09:34]"/>
            <x15:cachedUniqueName index="42" name="[Range 1].[Date].&amp;[2021-07-07T10:12:27]"/>
            <x15:cachedUniqueName index="43" name="[Range 1].[Date].&amp;[2021-07-07T10:36:38]"/>
            <x15:cachedUniqueName index="44" name="[Range 1].[Date].&amp;[2021-07-09T09:49:16]"/>
            <x15:cachedUniqueName index="45" name="[Range 1].[Date].&amp;[2021-07-09T09:50:03]"/>
            <x15:cachedUniqueName index="46" name="[Range 1].[Date].&amp;[2021-07-14T12:34:27]"/>
            <x15:cachedUniqueName index="47" name="[Range 1].[Date].&amp;[2021-07-14T12:35:25]"/>
            <x15:cachedUniqueName index="48" name="[Range 1].[Date].&amp;[2021-07-16T10:21:20]"/>
            <x15:cachedUniqueName index="49" name="[Range 1].[Date].&amp;[2021-07-16T10:47:10]"/>
            <x15:cachedUniqueName index="50" name="[Range 1].[Date].&amp;[2021-07-20T10:46:15]"/>
            <x15:cachedUniqueName index="51" name="[Range 1].[Date].&amp;[2021-07-20T10:46:58]"/>
            <x15:cachedUniqueName index="52" name="[Range 1].[Date].&amp;[2021-07-26T11:58:53]"/>
            <x15:cachedUniqueName index="53" name="[Range 1].[Date].&amp;[2021-07-26T12:00:18]"/>
            <x15:cachedUniqueName index="54" name="[Range 1].[Date].&amp;[2021-07-28T11:29:48]"/>
            <x15:cachedUniqueName index="55" name="[Range 1].[Date].&amp;[2021-07-28T11:42:27]"/>
            <x15:cachedUniqueName index="56" name="[Range 1].[Date].&amp;[2021-07-30T11:00:34]"/>
            <x15:cachedUniqueName index="57" name="[Range 1].[Date].&amp;[2021-08-03T10:41:09]"/>
            <x15:cachedUniqueName index="58" name="[Range 1].[Date].&amp;[2021-08-03T10:42:05]"/>
            <x15:cachedUniqueName index="59" name="[Range 1].[Date].&amp;[2021-08-07T09:47:45]"/>
            <x15:cachedUniqueName index="60" name="[Range 1].[Date].&amp;[2021-08-07T09:53:32]"/>
            <x15:cachedUniqueName index="61" name="[Range 1].[Date].&amp;[2021-08-10T10:50:23]"/>
            <x15:cachedUniqueName index="62" name="[Range 1].[Date].&amp;[2021-08-10T10:51:18]"/>
            <x15:cachedUniqueName index="63" name="[Range 1].[Date].&amp;[2021-08-14T10:15:58]"/>
            <x15:cachedUniqueName index="64" name="[Range 1].[Date].&amp;[2021-08-14T10:16:32]"/>
            <x15:cachedUniqueName index="65" name="[Range 1].[Date].&amp;[2021-08-17T10:37:11]"/>
            <x15:cachedUniqueName index="66" name="[Range 1].[Date].&amp;[2021-08-21T10:06:49]"/>
            <x15:cachedUniqueName index="67" name="[Range 1].[Date].&amp;[2021-08-21T10:07:29]"/>
            <x15:cachedUniqueName index="68" name="[Range 1].[Date].&amp;[2021-08-24T10:53:29]"/>
            <x15:cachedUniqueName index="69" name="[Range 1].[Date].&amp;[2021-08-24T10:54:09]"/>
            <x15:cachedUniqueName index="70" name="[Range 1].[Date].&amp;[2021-08-28T09:56:43]"/>
            <x15:cachedUniqueName index="71" name="[Range 1].[Date].&amp;[2021-08-28T09:57:30]"/>
            <x15:cachedUniqueName index="72" name="[Range 1].[Date].&amp;[2021-09-01T10:10:51]"/>
            <x15:cachedUniqueName index="73" name="[Range 1].[Date].&amp;[2021-09-01T10:12:25]"/>
            <x15:cachedUniqueName index="74" name="[Range 1].[Date].&amp;[2021-09-03T10:23:14]"/>
            <x15:cachedUniqueName index="75" name="[Range 1].[Date].&amp;[2021-09-06T10:44:51]"/>
            <x15:cachedUniqueName index="76" name="[Range 1].[Date].&amp;[2021-09-06T10:45:35]"/>
            <x15:cachedUniqueName index="77" name="[Range 1].[Date].&amp;[2021-09-11T10:07:16]"/>
            <x15:cachedUniqueName index="78" name="[Range 1].[Date].&amp;[2021-09-11T10:08:34]"/>
            <x15:cachedUniqueName index="79" name="[Range 1].[Date].&amp;[2021-09-14T10:20:11]"/>
            <x15:cachedUniqueName index="80" name="[Range 1].[Date].&amp;[2021-09-18T10:00:29]"/>
            <x15:cachedUniqueName index="81" name="[Range 1].[Date].&amp;[2021-09-18T10:00:53]"/>
            <x15:cachedUniqueName index="82" name="[Range 1].[Date].&amp;[2021-09-21T10:21:52]"/>
            <x15:cachedUniqueName index="83" name="[Range 1].[Date].&amp;[2021-09-21T10:22:46]"/>
            <x15:cachedUniqueName index="84" name="[Range 1].[Date].&amp;[2021-09-25T10:21:38]"/>
            <x15:cachedUniqueName index="85" name="[Range 1].[Date].&amp;[2021-09-25T10:22:25]"/>
            <x15:cachedUniqueName index="86" name="[Range 1].[Date].&amp;[2021-09-30T10:03:13]"/>
            <x15:cachedUniqueName index="87" name="[Range 1].[Date].&amp;[2021-10-01T12:00:09]"/>
            <x15:cachedUniqueName index="88" name="[Range 1].[Date].&amp;[2021-10-01T12:02:10]"/>
            <x15:cachedUniqueName index="89" name="[Range 1].[Date].&amp;[2021-10-04T11:36:11]"/>
            <x15:cachedUniqueName index="90" name="[Range 1].[Date].&amp;[2021-10-07T11:06:16]"/>
            <x15:cachedUniqueName index="91" name="[Range 1].[Date].&amp;[2021-10-07T11:27:26]"/>
            <x15:cachedUniqueName index="92" name="[Range 1].[Date].&amp;[2021-10-12T10:10:08]"/>
            <x15:cachedUniqueName index="93" name="[Range 1].[Date].&amp;[2021-10-12T11:22:28]"/>
            <x15:cachedUniqueName index="94" name="[Range 1].[Date].&amp;[2021-10-16T10:02:39]"/>
            <x15:cachedUniqueName index="95" name="[Range 1].[Date].&amp;[2021-10-16T10:37:05]"/>
            <x15:cachedUniqueName index="96" name="[Range 1].[Date].&amp;[2021-10-22T11:19:23]"/>
            <x15:cachedUniqueName index="97" name="[Range 1].[Date].&amp;[2021-10-26T10:26:09]"/>
            <x15:cachedUniqueName index="98" name="[Range 1].[Date].&amp;[2021-10-26T10:27:01]"/>
            <x15:cachedUniqueName index="99" name="[Range 1].[Date].&amp;[2021-11-02T10:19:16]"/>
            <x15:cachedUniqueName index="100" name="[Range 1].[Date].&amp;[2021-11-06T10:36:00]"/>
            <x15:cachedUniqueName index="101" name="[Range 1].[Date].&amp;[2021-11-06T12:01:54]"/>
            <x15:cachedUniqueName index="102" name="[Range 1].[Date].&amp;[2021-11-11T11:25:48]"/>
            <x15:cachedUniqueName index="103" name="[Range 1].[Date].&amp;[2021-11-11T11:26:34]"/>
            <x15:cachedUniqueName index="104" name="[Range 1].[Date].&amp;[2021-11-16T11:32:58]"/>
            <x15:cachedUniqueName index="105" name="[Range 1].[Date].&amp;[2021-11-16T11:33:31]"/>
            <x15:cachedUniqueName index="106" name="[Range 1].[Date].&amp;[2021-11-20T11:33:06]"/>
            <x15:cachedUniqueName index="107" name="[Range 1].[Date].&amp;[2021-11-20T11:34:29]"/>
            <x15:cachedUniqueName index="108" name="[Range 1].[Date].&amp;[2021-11-24T11:16:35]"/>
            <x15:cachedUniqueName index="109" name="[Range 1].[Date].&amp;[2021-11-24T11:43:27]"/>
            <x15:cachedUniqueName index="110" name="[Range 1].[Date].&amp;[2021-11-27T11:07:54]"/>
            <x15:cachedUniqueName index="111" name="[Range 1].[Date].&amp;[2021-11-30T11:04:46]"/>
            <x15:cachedUniqueName index="112" name="[Range 1].[Date].&amp;[2021-11-30T11:21:52]"/>
            <x15:cachedUniqueName index="113" name="[Range 1].[Date].&amp;[2021-12-06T11:19:30]"/>
            <x15:cachedUniqueName index="114" name="[Range 1].[Date].&amp;[2021-12-10T11:15:06]"/>
            <x15:cachedUniqueName index="115" name="[Range 1].[Date].&amp;[2021-12-10T11:16:06]"/>
            <x15:cachedUniqueName index="116" name="[Range 1].[Date].&amp;[2021-12-13T12:14:29]"/>
            <x15:cachedUniqueName index="117" name="[Range 1].[Date].&amp;[2021-12-16T11:16:56]"/>
            <x15:cachedUniqueName index="118" name="[Range 1].[Date].&amp;[2021-12-16T12:07:15]"/>
            <x15:cachedUniqueName index="119" name="[Range 1].[Date].&amp;[2021-12-20T11:46:16]"/>
            <x15:cachedUniqueName index="120" name="[Range 1].[Date].&amp;[2021-12-23T12:48:34]"/>
            <x15:cachedUniqueName index="121" name="[Range 1].[Date].&amp;[2021-12-27T11:45:25]"/>
            <x15:cachedUniqueName index="122" name="[Range 1].[Date].&amp;[2021-12-27T11:48:30]"/>
            <x15:cachedUniqueName index="123" name="[Range 1].[Date].&amp;[2021-12-31T11:34:44]"/>
            <x15:cachedUniqueName index="124" name="[Range 1].[Date].&amp;[2022-01-01T11:10:03]"/>
            <x15:cachedUniqueName index="125" name="[Range 1].[Date].&amp;[2022-01-05T10:52:47]"/>
            <x15:cachedUniqueName index="126" name="[Range 1].[Date].&amp;[2022-01-08T12:55:27]"/>
            <x15:cachedUniqueName index="127" name="[Range 1].[Date].&amp;[2022-01-10T11:16:53]"/>
            <x15:cachedUniqueName index="128" name="[Range 1].[Date].&amp;[2022-01-19T11:24:18]"/>
            <x15:cachedUniqueName index="129" name="[Range 1].[Date].&amp;[2022-01-21T11:24:02]"/>
            <x15:cachedUniqueName index="130" name="[Range 1].[Date].&amp;[2022-01-25T11:51:21]"/>
            <x15:cachedUniqueName index="131" name="[Range 1].[Date].&amp;[2022-01-27T11:43:42]"/>
            <x15:cachedUniqueName index="132" name="[Range 1].[Date].&amp;[2022-01-27T11:44:18]"/>
            <x15:cachedUniqueName index="133" name="[Range 1].[Date].&amp;[2022-02-03T12:42:10]"/>
            <x15:cachedUniqueName index="134" name="[Range 1].[Date].&amp;[2022-02-03T12:43:12]"/>
            <x15:cachedUniqueName index="135" name="[Range 1].[Date].&amp;[2022-02-10T13:02:28]"/>
            <x15:cachedUniqueName index="136" name="[Range 1].[Date].&amp;[2022-03-30T22:15:17]"/>
            <x15:cachedUniqueName index="137" name="[Range 1].[Date].&amp;[2022-03-30T22:15:50]"/>
            <x15:cachedUniqueName index="138" name="[Range 1].[Date].&amp;[2022-04-25T21:13:45]"/>
            <x15:cachedUniqueName index="139" name="[Range 1].[Date].&amp;[2022-04-25T21:15:08]"/>
            <x15:cachedUniqueName index="140" name="[Range 1].[Date].&amp;[2022-05-04T12:36:23]"/>
            <x15:cachedUniqueName index="141" name="[Range 1].[Date].&amp;[2022-05-04T12:37:02]"/>
            <x15:cachedUniqueName index="142" name="[Range 1].[Date].&amp;[2022-05-09T12:06:59]"/>
            <x15:cachedUniqueName index="143" name="[Range 1].[Date].&amp;[2022-05-16T17:11:23]"/>
            <x15:cachedUniqueName index="144" name="[Range 1].[Date].&amp;[2022-05-20T12:23:12]"/>
            <x15:cachedUniqueName index="145" name="[Range 1].[Date].&amp;[2022-05-23T12:51:07]"/>
            <x15:cachedUniqueName index="146" name="[Range 1].[Date].&amp;[2022-05-23T17:13:35]"/>
            <x15:cachedUniqueName index="147" name="[Range 1].[Date].&amp;[2022-05-31T12:32:35]"/>
            <x15:cachedUniqueName index="148" name="[Range 1].[Date].&amp;[2022-06-04T13:00:10]"/>
            <x15:cachedUniqueName index="149" name="[Range 1].[Date].&amp;[2022-06-07T16:18:14]"/>
            <x15:cachedUniqueName index="150" name="[Range 1].[Date].&amp;[2022-06-09T11:41:41]"/>
            <x15:cachedUniqueName index="151" name="[Range 1].[Date].&amp;[2022-06-11T16:35:03]"/>
            <x15:cachedUniqueName index="152" name="[Range 1].[Date].&amp;[2022-06-17T11:17:04]"/>
            <x15:cachedUniqueName index="153" name="[Range 1].[Date].&amp;[2022-06-20T17:12:50]"/>
            <x15:cachedUniqueName index="154" name="[Range 1].[Date].&amp;[2022-06-20T17:13:48]"/>
            <x15:cachedUniqueName index="155" name="[Range 1].[Date].&amp;[2022-06-27T16:25:21]"/>
            <x15:cachedUniqueName index="156" name="[Range 1].[Date].&amp;[2022-07-02T16:21:12]"/>
            <x15:cachedUniqueName index="157" name="[Range 1].[Date].&amp;[2022-07-11T16:23:42]"/>
            <x15:cachedUniqueName index="158" name="[Range 1].[Date].&amp;[2022-07-20T16:56:44]"/>
            <x15:cachedUniqueName index="159" name="[Range 1].[Date].&amp;[2022-07-20T16:57:36]"/>
            <x15:cachedUniqueName index="160" name="[Range 1].[Date].&amp;[2022-07-29T15:56:55]"/>
            <x15:cachedUniqueName index="161" name="[Range 1].[Date].&amp;[2022-08-01T15:56:57]"/>
            <x15:cachedUniqueName index="162" name="[Range 1].[Date].&amp;[2022-08-09T12:57:03]"/>
            <x15:cachedUniqueName index="163" name="[Range 1].[Date].&amp;[2022-08-09T12:57:36]"/>
            <x15:cachedUniqueName index="164" name="[Range 1].[Date].&amp;[2022-08-12T15:45:55]"/>
            <x15:cachedUniqueName index="165" name="[Range 1].[Date].&amp;[2022-08-22T16:33:24]"/>
            <x15:cachedUniqueName index="166" name="[Range 1].[Date].&amp;[2022-08-22T16:35:51]"/>
            <x15:cachedUniqueName index="167" name="[Range 1].[Date].&amp;[2022-09-02T16:14:02]"/>
            <x15:cachedUniqueName index="168" name="[Range 1].[Date].&amp;[2022-09-02T16:16:33]"/>
            <x15:cachedUniqueName index="169" name="[Range 1].[Date].&amp;[2022-09-12T12:34:38]"/>
            <x15:cachedUniqueName index="170" name="[Range 1].[Date].&amp;[2022-09-15T13:15:25]"/>
            <x15:cachedUniqueName index="171" name="[Range 1].[Date].&amp;[2022-09-15T15:17:46]"/>
            <x15:cachedUniqueName index="172" name="[Range 1].[Date].&amp;[2022-09-22T15:52:51]"/>
            <x15:cachedUniqueName index="173" name="[Range 1].[Date].&amp;[2022-09-22T16:17:19]"/>
            <x15:cachedUniqueName index="174" name="[Range 1].[Date].&amp;[2022-09-29T11:51:37]"/>
            <x15:cachedUniqueName index="175" name="[Range 1].[Date].&amp;[2022-10-01T12:07:34]"/>
            <x15:cachedUniqueName index="176" name="[Range 1].[Date].&amp;[2022-10-07T10:08:24]"/>
            <x15:cachedUniqueName index="177" name="[Range 1].[Date].&amp;[2022-10-11T15:24:35]"/>
            <x15:cachedUniqueName index="178" name="[Range 1].[Date].&amp;[2022-10-22T15:26:51]"/>
            <x15:cachedUniqueName index="179" name="[Range 1].[Date].&amp;[2022-11-01T12:10:10]"/>
            <x15:cachedUniqueName index="180" name="[Range 1].[Date].&amp;[2022-11-07T15:09:21]"/>
            <x15:cachedUniqueName index="181" name="[Range 1].[Date].&amp;[2022-11-11T16:12:26]"/>
            <x15:cachedUniqueName index="182" name="[Range 1].[Date].&amp;[2022-11-11T16:13:27]"/>
            <x15:cachedUniqueName index="183" name="[Range 1].[Date].&amp;[2022-11-15T15:39:32]"/>
            <x15:cachedUniqueName index="184" name="[Range 1].[Date].&amp;[2022-11-17T13:01:40]"/>
            <x15:cachedUniqueName index="185" name="[Range 1].[Date].&amp;[2022-11-23T12:06:35]"/>
            <x15:cachedUniqueName index="186" name="[Range 1].[Date].&amp;[2022-11-23T12:07:20]"/>
            <x15:cachedUniqueName index="187" name="[Range 1].[Date].&amp;[2022-12-02T11:40:43]"/>
            <x15:cachedUniqueName index="188" name="[Range 1].[Date].&amp;[2022-12-06T15:10:41]"/>
            <x15:cachedUniqueName index="189" name="[Range 1].[Date].&amp;[2022-12-06T15:12:52]"/>
            <x15:cachedUniqueName index="190" name="[Range 1].[Date].&amp;[2022-12-19T18:26:12]"/>
            <x15:cachedUniqueName index="191" name="[Range 1].[Date].&amp;[2022-12-19T18:39:07]"/>
            <x15:cachedUniqueName index="192" name="[Range 1].[Date].&amp;[2022-12-29T17:18:35]"/>
            <x15:cachedUniqueName index="193" name="[Range 1].[Date].&amp;[2023-01-03T15:39:49]"/>
            <x15:cachedUniqueName index="194" name="[Range 1].[Date].&amp;[2023-01-18T16:03:55]"/>
            <x15:cachedUniqueName index="195" name="[Range 1].[Date].&amp;[2023-01-25T13:16:17]"/>
            <x15:cachedUniqueName index="196" name="[Range 1].[Date].&amp;[2023-01-25T13:20:41]"/>
            <x15:cachedUniqueName index="197" name="[Range 1].[Date].&amp;[2023-01-30T18:02:55]"/>
            <x15:cachedUniqueName index="198" name="[Range 1].[Date].&amp;[2023-02-07T15:11:30]"/>
            <x15:cachedUniqueName index="199" name="[Range 1].[Date].&amp;[2023-02-10T11:53:13]"/>
            <x15:cachedUniqueName index="200" name="[Range 1].[Date].&amp;[2023-02-16T16:37:42]"/>
            <x15:cachedUniqueName index="201" name="[Range 1].[Date].&amp;[2023-02-27T12:36:42]"/>
            <x15:cachedUniqueName index="202" name="[Range 1].[Date].&amp;[2023-03-04T12:29:17]"/>
            <x15:cachedUniqueName index="203" name="[Range 1].[Date].&amp;[2023-03-06T11:13:54]"/>
            <x15:cachedUniqueName index="204" name="[Range 1].[Date].&amp;[2023-03-09T12:54:54]"/>
            <x15:cachedUniqueName index="205" name="[Range 1].[Date].&amp;[2023-03-31T13:04:48]"/>
            <x15:cachedUniqueName index="206" name="[Range 1].[Date].&amp;[2023-04-10T22:33:27]"/>
            <x15:cachedUniqueName index="207" name="[Range 1].[Date].&amp;[2023-04-10T22:37:09]"/>
            <x15:cachedUniqueName index="208" name="[Range 1].[Date].&amp;[2023-04-13T19:35:32]"/>
            <x15:cachedUniqueName index="209" name="[Range 1].[Date].&amp;[2023-04-13T19:36:40]"/>
            <x15:cachedUniqueName index="210" name="[Range 1].[Date].&amp;[2023-05-03T16:48:26]"/>
            <x15:cachedUniqueName index="211" name="[Range 1].[Date].&amp;[2023-05-03T16:49:45]"/>
            <x15:cachedUniqueName index="212" name="[Range 1].[Date].&amp;[2023-05-10T15:56:15]"/>
            <x15:cachedUniqueName index="213" name="[Range 1].[Date].&amp;[2023-05-12T12:52:04]"/>
            <x15:cachedUniqueName index="214" name="[Range 1].[Date].&amp;[2023-05-17T13:01:24]"/>
            <x15:cachedUniqueName index="215" name="[Range 1].[Date].&amp;[2023-05-20T22:40:53]"/>
            <x15:cachedUniqueName index="216" name="[Range 1].[Date].&amp;[2023-05-30T16:52:22]"/>
            <x15:cachedUniqueName index="217" name="[Range 1].[Date].&amp;[2023-05-30T16:53:09]"/>
            <x15:cachedUniqueName index="218" name="[Range 1].[Date].&amp;[2023-06-02T12:44:27]"/>
            <x15:cachedUniqueName index="219" name="[Range 1].[Date].&amp;[2023-06-02T12:45:31]"/>
            <x15:cachedUniqueName index="220" name="[Range 1].[Date].&amp;[2023-06-06T19:40:00]"/>
            <x15:cachedUniqueName index="221" name="[Range 1].[Date].&amp;[2023-06-12T17:25:42]"/>
            <x15:cachedUniqueName index="222" name="[Range 1].[Date].&amp;[2023-06-17T22:51:44]"/>
            <x15:cachedUniqueName index="223" name="[Range 1].[Date].&amp;[2023-06-17T22:52:07]"/>
            <x15:cachedUniqueName index="224" name="[Range 1].[Date].&amp;[2023-06-19T21:39:15]"/>
            <x15:cachedUniqueName index="225" name="[Range 1].[Date].&amp;[2023-06-22T17:14:25]"/>
            <x15:cachedUniqueName index="226" name="[Range 1].[Date].&amp;[2023-06-24T18:44:01]"/>
            <x15:cachedUniqueName index="227" name="[Range 1].[Date].&amp;[2023-06-24T18:45:14]"/>
            <x15:cachedUniqueName index="228" name="[Range 1].[Date].&amp;[2023-06-29T17:28:58]"/>
            <x15:cachedUniqueName index="229" name="[Range 1].[Date].&amp;[2023-07-04T17:38:28]"/>
            <x15:cachedUniqueName index="230" name="[Range 1].[Date].&amp;[2023-07-04T17:40:34]"/>
            <x15:cachedUniqueName index="231" name="[Range 1].[Date].&amp;[2023-07-14T12:01:00]"/>
            <x15:cachedUniqueName index="232" name="[Range 1].[Date].&amp;[2023-07-14T12:02:50]"/>
            <x15:cachedUniqueName index="233" name="[Range 1].[Date].&amp;[2023-07-27T17:38:50]"/>
            <x15:cachedUniqueName index="234" name="[Range 1].[Date].&amp;[2023-08-07T16:30:38]"/>
            <x15:cachedUniqueName index="235" name="[Range 1].[Date].&amp;[2023-08-07T16:31:37]"/>
            <x15:cachedUniqueName index="236" name="[Range 1].[Date].&amp;[2023-08-17T17:36:13]"/>
            <x15:cachedUniqueName index="237" name="[Range 1].[Date].&amp;[2023-08-24T13:05:08]"/>
            <x15:cachedUniqueName index="238" name="[Range 1].[Date].&amp;[2023-08-24T13:06:30]"/>
            <x15:cachedUniqueName index="239" name="[Range 1].[Date].&amp;[2023-09-01T16:23:18]"/>
            <x15:cachedUniqueName index="240" name="[Range 1].[Date].&amp;[2023-09-11T15:18:15]"/>
            <x15:cachedUniqueName index="241" name="[Range 1].[Date].&amp;[2023-09-11T15:19:42]"/>
            <x15:cachedUniqueName index="242" name="[Range 1].[Date].&amp;[2023-09-16T11:48:24]"/>
            <x15:cachedUniqueName index="243" name="[Range 1].[Date].&amp;[2023-09-18T10:49:41]"/>
            <x15:cachedUniqueName index="244" name="[Range 1].[Date].&amp;[2023-09-28T13:13:08]"/>
            <x15:cachedUniqueName index="245" name="[Range 1].[Date].&amp;[2023-09-28T13:13:38]"/>
            <x15:cachedUniqueName index="246" name="[Range 1].[Date].&amp;[2023-10-09T13:06:14]"/>
            <x15:cachedUniqueName index="247" name="[Range 1].[Date].&amp;[2023-10-17T13:25:31]"/>
            <x15:cachedUniqueName index="248" name="[Range 1].[Date].&amp;[2023-10-17T14:27:54]"/>
            <x15:cachedUniqueName index="249" name="[Range 1].[Date].&amp;[2023-10-26T15:15:13]"/>
            <x15:cachedUniqueName index="250" name="[Range 1].[Date].&amp;[2023-10-26T15:16:06]"/>
            <x15:cachedUniqueName index="251" name="[Range 1].[Date].&amp;[2023-11-09T11:57:50]"/>
            <x15:cachedUniqueName index="252" name="[Range 1].[Date].&amp;[2023-11-14T15:08:47]"/>
            <x15:cachedUniqueName index="253" name="[Range 1].[Date].&amp;[2023-11-14T15:09:32]"/>
            <x15:cachedUniqueName index="254" name="[Range 1].[Date].&amp;[2023-11-20T11:32:38]"/>
            <x15:cachedUniqueName index="255" name="[Range 1].[Date].&amp;[2023-11-20T11:33:25]"/>
            <x15:cachedUniqueName index="256" name="[Range 1].[Date].&amp;[2023-11-28T15:50:05]"/>
            <x15:cachedUniqueName index="257" name="[Range 1].[Date].&amp;[2023-11-28T15:51:14]"/>
            <x15:cachedUniqueName index="258" name="[Range 1].[Date].&amp;[2023-12-08T15:15:34]"/>
            <x15:cachedUniqueName index="259" name="[Range 1].[Date].&amp;[2023-12-11T14:33:13]"/>
            <x15:cachedUniqueName index="260" name="[Range 1].[Date].&amp;[2023-12-11T14:34:02]"/>
            <x15:cachedUniqueName index="261" name="[Range 1].[Date].&amp;[2023-12-15T15:06:34]"/>
            <x15:cachedUniqueName index="262" name="[Range 1].[Date].&amp;[2023-12-29T16:58:03]"/>
            <x15:cachedUniqueName index="263" name="[Range 1].[Date].&amp;[2023-12-29T16:59:55]"/>
          </x15:cachedUniqueNames>
        </ext>
      </extLst>
    </cacheField>
    <cacheField name="[Range 1].[Date (Month)].[Date (Month)]" caption="Date (Month)" numFmtId="0" hierarchy="42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Range 1].[Date (Year)].[Date (Year)]" caption="Date (Year)" numFmtId="0" hierarchy="40" level="1">
      <sharedItems count="4">
        <s v="2021"/>
        <s v="2022"/>
        <s v="2023"/>
        <s v="2024"/>
      </sharedItems>
    </cacheField>
    <cacheField name="[Range 1].[Item].[Item]" caption="Item" numFmtId="0" hierarchy="37" level="1">
      <sharedItems count="3">
        <s v="Beer"/>
        <s v="Liquor"/>
        <s v="-" u="1"/>
      </sharedItems>
    </cacheField>
    <cacheField name="[Measures].[Sum of Liters 2]" caption="Sum of Liters 2" numFmtId="0" hierarchy="59" level="32767"/>
  </cacheFields>
  <cacheHierarchies count="67">
    <cacheHierarchy uniqueName="[Range].[Sl No.]" caption="Sl No." attribute="1" defaultMemberUniqueName="[Range].[Sl No.].[All]" allUniqueName="[Range].[Sl No.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voice/ MR No.]" caption="Invoice/ MR No." attribute="1" defaultMemberUniqueName="[Range].[Invoice/ MR No.].[All]" allUniqueName="[Range].[Invoice/ MR No.].[All]" dimensionUniqueName="[Range]" displayFolder="" count="0" memberValueDatatype="130" unbalanced="0"/>
    <cacheHierarchy uniqueName="[Range].[Invoice Type]" caption="Invoice Type" attribute="1" defaultMemberUniqueName="[Range].[Invoice Type].[All]" allUniqueName="[Range].[Invoice Type].[All]" dimensionUniqueName="[Range]" displayFolder="" count="0" memberValueDatatype="130" unbalanced="0"/>
    <cacheHierarchy uniqueName="[Range].[Oppening Balance]" caption="Oppening Balance" attribute="1" defaultMemberUniqueName="[Range].[Oppening Balance].[All]" allUniqueName="[Range].[Oppening Balance].[All]" dimensionUniqueName="[Range]" displayFolder="" count="0" memberValueDatatype="5" unbalanced="0"/>
    <cacheHierarchy uniqueName="[Range].[Credit Amount]" caption="Credit Amount" attribute="1" defaultMemberUniqueName="[Range].[Credit Amount].[All]" allUniqueName="[Range].[Credit Amount].[All]" dimensionUniqueName="[Range]" displayFolder="" count="0" memberValueDatatype="20" unbalanced="0"/>
    <cacheHierarchy uniqueName="[Range].[BL]" caption="BL" attribute="1" defaultMemberUniqueName="[Range].[BL].[All]" allUniqueName="[Range].[BL].[All]" dimensionUniqueName="[Range]" displayFolder="" count="0" memberValueDatatype="5" unbalanced="0"/>
    <cacheHierarchy uniqueName="[Range].[LPL]" caption="LPL" attribute="1" defaultMemberUniqueName="[Range].[LPL].[All]" allUniqueName="[Range].[LPL].[All]" dimensionUniqueName="[Range]" displayFolder="" count="0" memberValueDatatype="5" unbalanced="0"/>
    <cacheHierarchy uniqueName="[Range].[Sale Amount]" caption="Sale Amount" attribute="1" defaultMemberUniqueName="[Range].[Sale Amount].[All]" allUniqueName="[Range].[Sale Amount].[All]" dimensionUniqueName="[Range]" displayFolder="" count="0" memberValueDatatype="5" unbalanced="0"/>
    <cacheHierarchy uniqueName="[Range].[VAT]" caption="VAT" attribute="1" defaultMemberUniqueName="[Range].[VAT].[All]" allUniqueName="[Range].[VAT].[All]" dimensionUniqueName="[Range]" displayFolder="" count="0" memberValueDatatype="5" unbalanced="0"/>
    <cacheHierarchy uniqueName="[Range].[TCS]" caption="TCS" attribute="1" defaultMemberUniqueName="[Range].[TCS].[All]" allUniqueName="[Range].[TCS].[All]" dimensionUniqueName="[Range]" displayFolder="" count="0" memberValueDatatype="5" unbalanced="0"/>
    <cacheHierarchy uniqueName="[Range].[Grand Total]" caption="Grand Total" attribute="1" defaultMemberUniqueName="[Range].[Grand Total].[All]" allUniqueName="[Range].[Grand Total].[All]" dimensionUniqueName="[Range]" displayFolder="" count="0" memberValueDatatype="5" unbalanced="0"/>
    <cacheHierarchy uniqueName="[Range].[Closing Balance]" caption="Closing Balance" attribute="1" defaultMemberUniqueName="[Range].[Closing Balance].[All]" allUniqueName="[Range].[Closing Balance].[All]" dimensionUniqueName="[Range]" displayFolder="" count="0" memberValueDatatype="5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VAT %]" caption="VAT %" attribute="1" defaultMemberUniqueName="[Range].[VAT %].[All]" allUniqueName="[Range].[VAT %].[All]" dimensionUniqueName="[Range]" displayFolder="" count="0" memberValueDatatype="5" unbalanced="0"/>
    <cacheHierarchy uniqueName="[Range].[TCS %]" caption="TCS %" attribute="1" defaultMemberUniqueName="[Range].[TCS %].[All]" allUniqueName="[Range].[TCS %].[All]" dimensionUniqueName="[Range]" displayFolder="" count="0" memberValueDatatype="5" unbalanced="0"/>
    <cacheHierarchy uniqueName="[Range].[Item]" caption="Item" attribute="1" defaultMemberUniqueName="[Range].[Item].[All]" allUniqueName="[Range].[Item].[All]" dimensionUniqueName="[Range]" displayFolder="" count="0" memberValueDatatype="130" unbalanced="0"/>
    <cacheHierarchy uniqueName="[Range].[Liters]" caption="Liters" attribute="1" defaultMemberUniqueName="[Range].[Liters].[All]" allUniqueName="[Range].[Liters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l No.]" caption="Sl No." attribute="1" defaultMemberUniqueName="[Range 1].[Sl No.].[All]" allUniqueName="[Range 1].[Sl No.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2" memberValueDatatype="7" unbalanced="0">
      <fieldsUsage count="2">
        <fieldUsage x="-1"/>
        <fieldUsage x="0"/>
      </fieldsUsage>
    </cacheHierarchy>
    <cacheHierarchy uniqueName="[Range 1].[Invoice/ MR No.]" caption="Invoice/ MR No." attribute="1" defaultMemberUniqueName="[Range 1].[Invoice/ MR No.].[All]" allUniqueName="[Range 1].[Invoice/ MR No.].[All]" dimensionUniqueName="[Range 1]" displayFolder="" count="0" memberValueDatatype="130" unbalanced="0"/>
    <cacheHierarchy uniqueName="[Range 1].[Invoice Type]" caption="Invoice Type" attribute="1" defaultMemberUniqueName="[Range 1].[Invoice Type].[All]" allUniqueName="[Range 1].[Invoice Type].[All]" dimensionUniqueName="[Range 1]" displayFolder="" count="0" memberValueDatatype="130" unbalanced="0"/>
    <cacheHierarchy uniqueName="[Range 1].[Oppening Balance]" caption="Oppening Balance" attribute="1" defaultMemberUniqueName="[Range 1].[Oppening Balance].[All]" allUniqueName="[Range 1].[Oppening Balance].[All]" dimensionUniqueName="[Range 1]" displayFolder="" count="0" memberValueDatatype="5" unbalanced="0"/>
    <cacheHierarchy uniqueName="[Range 1].[Credit Amount]" caption="Credit Amount" attribute="1" defaultMemberUniqueName="[Range 1].[Credit Amount].[All]" allUniqueName="[Range 1].[Credit Amount].[All]" dimensionUniqueName="[Range 1]" displayFolder="" count="0" memberValueDatatype="20" unbalanced="0"/>
    <cacheHierarchy uniqueName="[Range 1].[BL]" caption="BL" attribute="1" defaultMemberUniqueName="[Range 1].[BL].[All]" allUniqueName="[Range 1].[BL].[All]" dimensionUniqueName="[Range 1]" displayFolder="" count="0" memberValueDatatype="5" unbalanced="0"/>
    <cacheHierarchy uniqueName="[Range 1].[LPL]" caption="LPL" attribute="1" defaultMemberUniqueName="[Range 1].[LPL].[All]" allUniqueName="[Range 1].[LPL].[All]" dimensionUniqueName="[Range 1]" displayFolder="" count="0" memberValueDatatype="5" unbalanced="0"/>
    <cacheHierarchy uniqueName="[Range 1].[Sale Amount]" caption="Sale Amount" attribute="1" defaultMemberUniqueName="[Range 1].[Sale Amount].[All]" allUniqueName="[Range 1].[Sale Amount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TCS]" caption="TCS" attribute="1" defaultMemberUniqueName="[Range 1].[TCS].[All]" allUniqueName="[Range 1].[TCS].[All]" dimensionUniqueName="[Range 1]" displayFolder="" count="0" memberValueDatatype="5" unbalanced="0"/>
    <cacheHierarchy uniqueName="[Range 1].[Grand Total]" caption="Grand Total" attribute="1" defaultMemberUniqueName="[Range 1].[Grand Total].[All]" allUniqueName="[Range 1].[Grand Total].[All]" dimensionUniqueName="[Range 1]" displayFolder="" count="0" memberValueDatatype="5" unbalanced="0"/>
    <cacheHierarchy uniqueName="[Range 1].[Closing Balance]" caption="Closing Balance" attribute="1" defaultMemberUniqueName="[Range 1].[Closing Balance].[All]" allUniqueName="[Range 1].[Closing Balance].[All]" dimensionUniqueName="[Range 1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AT %]" caption="VAT %" attribute="1" defaultMemberUniqueName="[Range 1].[VAT %].[All]" allUniqueName="[Range 1].[VAT %].[All]" dimensionUniqueName="[Range 1]" displayFolder="" count="0" memberValueDatatype="5" unbalanced="0"/>
    <cacheHierarchy uniqueName="[Range 1].[TCS %]" caption="TCS %" attribute="1" defaultMemberUniqueName="[Range 1].[TCS %].[All]" allUniqueName="[Range 1].[TCS %].[All]" dimensionUniqueName="[Range 1]" displayFolder="" count="0" memberValueDatatype="5" unbalanced="0"/>
    <cacheHierarchy uniqueName="[Range 1].[Item]" caption="Item" attribute="1" defaultMemberUniqueName="[Range 1].[Item].[All]" allUniqueName="[Range 1].[Item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Liters]" caption="Liters" attribute="1" defaultMemberUniqueName="[Range 1].[Liters].[All]" allUniqueName="[Range 1].[Liters].[All]" dimensionUniqueName="[Range 1]" displayFolder="" count="0" memberValueDatatype="5" unbalanced="0"/>
    <cacheHierarchy uniqueName="[Range 1].[CHECK]" caption="CHECK" attribute="1" defaultMemberUniqueName="[Range 1].[CHECK].[All]" allUniqueName="[Range 1].[CHECK].[All]" dimensionUniqueName="[Range 1]" displayFolder="" count="0" memberValueDatatype="11" unbalanced="0"/>
    <cacheHierarchy uniqueName="[Range 1].[Date (Year)]" caption="Date (Year)" attribute="1" defaultMemberUniqueName="[Range 1].[Date (Year)].[All]" allUniqueName="[Range 1].[Date (Year)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Total Amount]" caption="Total Amount" attribute="1" defaultMemberUniqueName="[Range 2].[Total Amount].[All]" allUniqueName="[Range 2].[Total Amount].[All]" dimensionUniqueName="[Range 2]" displayFolder="" count="0" memberValueDatatype="5" unbalanced="0"/>
    <cacheHierarchy uniqueName="[Range 2].[MoM % Change]" caption="MoM % Change" attribute="1" defaultMemberUniqueName="[Range 2].[MoM % Change].[All]" allUniqueName="[Range 2].[MoM % Change].[All]" dimensionUniqueName="[Range 2]" displayFolder="" count="0" memberValueDatatype="5" unbalanced="0"/>
    <cacheHierarchy uniqueName="[Range 3].[Date]" caption="Date" attribute="1" defaultMemberUniqueName="[Range 3].[Date].[All]" allUniqueName="[Range 3].[Date].[All]" dimensionUniqueName="[Range 3]" displayFolder="" count="0" memberValueDatatype="130" unbalanced="0"/>
    <cacheHierarchy uniqueName="[Range 3].[Total Amount]" caption="Total Amount" attribute="1" defaultMemberUniqueName="[Range 3].[Total Amount].[All]" allUniqueName="[Range 3].[Total Amount].[All]" dimensionUniqueName="[Range 3]" displayFolder="" count="0" memberValueDatatype="5" unbalanced="0"/>
    <cacheHierarchy uniqueName="[Range 3].[MoM % Change]" caption="MoM % Change" attribute="1" defaultMemberUniqueName="[Range 3].[MoM % Change].[All]" allUniqueName="[Range 3].[MoM % Change].[All]" dimensionUniqueName="[Range 3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Liters]" caption="Count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]" caption="Sum of Liter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Liters 2]" caption="Sum of Liters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Grand Total]" caption="Sum of Grand Tota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 Amount]" caption="Sum of Sale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AT]" caption="Sum of VA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CS]" caption="Sum of TC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M % Change]" caption="Sum of MoM % Change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MoM % Change 2]" caption="Sum of MoM % Change 2" measure="1" displayFolder="" measureGroup="Range 3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Credit Amount]" caption="Sum of Credit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23894392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45B42-BC17-406C-AD0A-2B1B089AB78F}" name="PivotChartTable3" cacheId="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>
  <location ref="A1:D43" firstHeaderRow="1" firstDataRow="2" firstDataCol="1"/>
  <pivotFields count="5">
    <pivotField axis="axisRow" allDrilled="1" subtotalTop="0" showAll="0" dataSourceSort="1" defaultSubtotal="0" defaultAttributeDrillState="1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</pivotFields>
  <rowFields count="3">
    <field x="2"/>
    <field x="1"/>
    <field x="0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Liters" fld="4" baseField="0" baseItem="0"/>
  </dataFields>
  <chartFormats count="7">
    <chartFormat chart="0" format="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3">
    <rowHierarchyUsage hierarchyUsage="40"/>
    <rowHierarchyUsage hierarchyUsage="42"/>
    <rowHierarchyUsage hierarchyUsage="22"/>
  </rowHierarchiesUsage>
  <colHierarchiesUsage count="1">
    <colHierarchyUsage hierarchyUsage="3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1" columnCount="3" cacheId="238943925"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1372.1999999999998</x15:v>
          </x15:c>
          <x15:c>
            <x15:v>800.27999999999986</x15:v>
          </x15:c>
          <x15:c>
            <x15:v>2172.48</x15:v>
          </x15:c>
        </x15:pivotRow>
        <x15:pivotRow count="3">
          <x15:c>
            <x15:v>2992.2</x15:v>
          </x15:c>
          <x15:c>
            <x15:v>2741.5866666666666</x15:v>
          </x15:c>
          <x15:c>
            <x15:v>5733.7866666666669</x15:v>
          </x15:c>
        </x15:pivotRow>
        <x15:pivotRow count="3">
          <x15:c>
            <x15:v>808.2</x15:v>
          </x15:c>
          <x15:c>
            <x15:v>1493.1066666666666</x15:v>
          </x15:c>
          <x15:c>
            <x15:v>2301.3066666666664</x15:v>
          </x15:c>
        </x15:pivotRow>
        <x15:pivotRow count="3">
          <x15:c>
            <x15:v>1393.8</x15:v>
          </x15:c>
          <x15:c>
            <x15:v>1912.5066666666667</x15:v>
          </x15:c>
          <x15:c>
            <x15:v>3306.3066666666668</x15:v>
          </x15:c>
        </x15:pivotRow>
        <x15:pivotRow count="3">
          <x15:c>
            <x15:v>744.6</x15:v>
          </x15:c>
          <x15:c>
            <x15:v>1288.08</x15:v>
          </x15:c>
          <x15:c>
            <x15:v>2032.6799999999996</x15:v>
          </x15:c>
        </x15:pivotRow>
        <x15:pivotRow count="3">
          <x15:c>
            <x15:v>719.4</x15:v>
          </x15:c>
          <x15:c>
            <x15:v>1406.8799999999999</x15:v>
          </x15:c>
          <x15:c>
            <x15:v>2126.2800000000002</x15:v>
          </x15:c>
        </x15:pivotRow>
        <x15:pivotRow count="3">
          <x15:c>
            <x15:v>1528.2</x15:v>
          </x15:c>
          <x15:c>
            <x15:v>2872.6533333333336</x15:v>
          </x15:c>
          <x15:c>
            <x15:v>4400.8533333333335</x15:v>
          </x15:c>
        </x15:pivotRow>
        <x15:pivotRow count="3">
          <x15:c>
            <x15:v>1114.8000000000002</x15:v>
          </x15:c>
          <x15:c>
            <x15:v>3235.5999999999995</x15:v>
          </x15:c>
          <x15:c>
            <x15:v>4350.3999999999996</x15:v>
          </x15:c>
        </x15:pivotRow>
        <x15:pivotRow count="3">
          <x15:c>
            <x15:v>861.6</x15:v>
          </x15:c>
          <x15:c>
            <x15:v>3552.2533333333336</x15:v>
          </x15:c>
          <x15:c>
            <x15:v>4413.8533333333335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510</x15:v>
          </x15:c>
          <x15:c>
            <x15:v>1185.7333333333336</x15:v>
          </x15:c>
          <x15:c>
            <x15:v>1695.7333333333333</x15:v>
          </x15:c>
        </x15:pivotRow>
        <x15:pivotRow count="3">
          <x15:c>
            <x15:v>634.20000000000005</x15:v>
          </x15:c>
          <x15:c>
            <x15:v>225</x15:v>
          </x15:c>
          <x15:c>
            <x15:v>859.2</x15:v>
          </x15:c>
        </x15:pivotRow>
        <x15:pivotRow count="3">
          <x15:c>
            <x15:v>1050</x15:v>
          </x15:c>
          <x15:c>
            <x15:v>250.66666666666666</x15:v>
          </x15:c>
          <x15:c>
            <x15:v>1300.6666666666667</x15:v>
          </x15:c>
        </x15:pivotRow>
        <x15:pivotRow count="3">
          <x15:c>
            <x15:v>1320.72</x15:v>
          </x15:c>
          <x15:c>
            <x15:v>232.30666666666664</x15:v>
          </x15:c>
          <x15:c>
            <x15:v>1553.0266666666666</x15:v>
          </x15:c>
        </x15:pivotRow>
        <x15:pivotRow count="3">
          <x15:c>
            <x15:v>3777.7200000000003</x15:v>
          </x15:c>
          <x15:c>
            <x15:v>755.4666666666667</x15:v>
          </x15:c>
          <x15:c>
            <x15:v>4533.1866666666665</x15:v>
          </x15:c>
        </x15:pivotRow>
        <x15:pivotRow count="3">
          <x15:c>
            <x15:v>4026.9600000000005</x15:v>
          </x15:c>
          <x15:c>
            <x15:v>344.52</x15:v>
          </x15:c>
          <x15:c>
            <x15:v>4371.4800000000005</x15:v>
          </x15:c>
        </x15:pivotRow>
        <x15:pivotRow count="3">
          <x15:c>
            <x15:v>736.2</x15:v>
          </x15:c>
          <x15:c>
            <x15:v>1126.8</x15:v>
          </x15:c>
          <x15:c>
            <x15:v>1863</x15:v>
          </x15:c>
        </x15:pivotRow>
        <x15:pivotRow count="3">
          <x15:c>
            <x15:v>1690.92</x15:v>
          </x15:c>
          <x15:c>
            <x15:v>718.76</x15:v>
          </x15:c>
          <x15:c>
            <x15:v>2409.6799999999998</x15:v>
          </x15:c>
        </x15:pivotRow>
        <x15:pivotRow count="3">
          <x15:c>
            <x15:v>1621.56</x15:v>
          </x15:c>
          <x15:c>
            <x15:v>1132.9333333333334</x15:v>
          </x15:c>
          <x15:c>
            <x15:v>2754.4933333333333</x15:v>
          </x15:c>
        </x15:pivotRow>
        <x15:pivotRow count="3">
          <x15:c>
            <x15:v>444.72</x15:v>
          </x15:c>
          <x15:c>
            <x15:v>846.81333333333339</x15:v>
          </x15:c>
          <x15:c>
            <x15:v>1291.5333333333333</x15:v>
          </x15:c>
        </x15:pivotRow>
        <x15:pivotRow count="3">
          <x15:c>
            <x15:v>582</x15:v>
          </x15:c>
          <x15:c>
            <x15:v>1382.1333333333334</x15:v>
          </x15:c>
          <x15:c>
            <x15:v>1964.1333333333334</x15:v>
          </x15:c>
        </x15:pivotRow>
        <x15:pivotRow count="3">
          <x15:c>
            <x15:v>621</x15:v>
          </x15:c>
          <x15:c>
            <x15:v>1289.32</x15:v>
          </x15:c>
          <x15:c>
            <x15:v>1910.32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606</x15:v>
          </x15:c>
          <x15:c>
            <x15:v>1116.1466666666665</x15:v>
          </x15:c>
          <x15:c>
            <x15:v>1722.1466666666665</x15:v>
          </x15:c>
        </x15:pivotRow>
        <x15:pivotRow count="3">
          <x15:c>
            <x15:v>532.20000000000005</x15:v>
          </x15:c>
          <x15:c>
            <x15:v>779.59999999999991</x15:v>
          </x15:c>
          <x15:c>
            <x15:v>1311.8</x15:v>
          </x15:c>
        </x15:pivotRow>
        <x15:pivotRow count="3">
          <x15:c>
            <x15:v>600.6</x15:v>
          </x15:c>
          <x15:c>
            <x15:v>747.4</x15:v>
          </x15:c>
          <x15:c>
            <x15:v>1348</x15:v>
          </x15:c>
        </x15:pivotRow>
        <x15:pivotRow count="3">
          <x15:c>
            <x15:v>2014.2</x15:v>
          </x15:c>
          <x15:c>
            <x15:v>595.52</x15:v>
          </x15:c>
          <x15:c>
            <x15:v>2609.7200000000003</x15:v>
          </x15:c>
        </x15:pivotRow>
        <x15:pivotRow count="3">
          <x15:c>
            <x15:v>2413.8000000000002</x15:v>
          </x15:c>
          <x15:c>
            <x15:v>567.01333333333332</x15:v>
          </x15:c>
          <x15:c>
            <x15:v>2980.8133333333335</x15:v>
          </x15:c>
        </x15:pivotRow>
        <x15:pivotRow count="3">
          <x15:c>
            <x15:v>3464.4</x15:v>
          </x15:c>
          <x15:c>
            <x15:v>925.31999999999994</x15:v>
          </x15:c>
          <x15:c>
            <x15:v>4389.72</x15:v>
          </x15:c>
        </x15:pivotRow>
        <x15:pivotRow count="3">
          <x15:c>
            <x15:v>1023</x15:v>
          </x15:c>
          <x15:c>
            <x15:v>815.16000000000008</x15:v>
          </x15:c>
          <x15:c>
            <x15:v>1838.16</x15:v>
          </x15:c>
        </x15:pivotRow>
        <x15:pivotRow count="3">
          <x15:c>
            <x15:v>818.4</x15:v>
          </x15:c>
          <x15:c>
            <x15:v>688.13333333333333</x15:v>
          </x15:c>
          <x15:c>
            <x15:v>1506.5333333333333</x15:v>
          </x15:c>
        </x15:pivotRow>
        <x15:pivotRow count="3">
          <x15:c>
            <x15:v>922.8</x15:v>
          </x15:c>
          <x15:c>
            <x15:v>873.14666666666665</x15:v>
          </x15:c>
          <x15:c>
            <x15:v>1795.9466666666669</x15:v>
          </x15:c>
        </x15:pivotRow>
        <x15:pivotRow count="3">
          <x15:c>
            <x15:v>850.2</x15:v>
          </x15:c>
          <x15:c>
            <x15:v>556.80000000000007</x15:v>
          </x15:c>
          <x15:c>
            <x15:v>1407</x15:v>
          </x15:c>
        </x15:pivotRow>
        <x15:pivotRow count="3">
          <x15:c>
            <x15:v>697.8</x15:v>
          </x15:c>
          <x15:c>
            <x15:v>745.73333333333335</x15:v>
          </x15:c>
          <x15:c>
            <x15:v>1443.5333333333333</x15:v>
          </x15:c>
        </x15:pivotRow>
        <x15:pivotRow count="3">
          <x15:c>
            <x15:v>582</x15:v>
          </x15:c>
          <x15:c>
            <x15:v>685.16</x15:v>
          </x15:c>
          <x15:c>
            <x15:v>1267.1600000000001</x15:v>
          </x15:c>
        </x15:pivotRow>
        <x15:pivotRow count="3">
          <x15:c t="bl">
            <x15:v/>
          </x15:c>
          <x15:c t="bl">
            <x15:v/>
          </x15:c>
          <x15:c t="bl">
            <x15:v/>
          </x15:c>
        </x15:pivotRow>
        <x15:pivotRow count="3">
          <x15:c>
            <x15:v>621.6</x15:v>
          </x15:c>
          <x15:c>
            <x15:v>732.41333333333341</x15:v>
          </x15:c>
          <x15:c>
            <x15:v>1354.0133333333333</x15:v>
          </x15:c>
        </x15:pivotRow>
        <x15:pivotRow count="3">
          <x15:c>
            <x15:v>704.4</x15:v>
          </x15:c>
          <x15:c>
            <x15:v>752.0533333333334</x15:v>
          </x15:c>
          <x15:c>
            <x15:v>1456.4533333333331</x15:v>
          </x15:c>
        </x15:pivotRow>
        <x15:pivotRow count="3">
          <x15:c>
            <x15:v>979.2</x15:v>
          </x15:c>
          <x15:c>
            <x15:v>962.01333333333332</x15:v>
          </x15:c>
          <x15:c>
            <x15:v>1941.2133333333334</x15:v>
          </x15:c>
        </x15:pivotRow>
        <x15:pivotRow count="3">
          <x15:c>
            <x15:v>45381.599999999999</x15:v>
          </x15:c>
          <x15:c>
            <x15:v>40335.013333333321</x15:v>
          </x15:c>
          <x15:c>
            <x15:v>85716.613333333327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bined!$A$1:$S$52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45B42-BC17-406C-AD0A-2B1B089AB78F}" name="PivotChartTable1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>
  <location ref="A1:D43" firstHeaderRow="1" firstDataRow="2" firstDataCol="1"/>
  <pivotFields count="5">
    <pivotField axis="axisRow" allDrilled="1" subtotalTop="0" showAll="0" dataSourceSort="1" defaultSubtotal="0" defaultAttributeDrillState="1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</pivotFields>
  <rowFields count="3">
    <field x="2"/>
    <field x="1"/>
    <field x="0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Liters" fld="4" baseField="0" baseItem="0"/>
  </dataFields>
  <chartFormats count="5">
    <chartFormat chart="0" format="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3">
    <rowHierarchyUsage hierarchyUsage="40"/>
    <rowHierarchyUsage hierarchyUsage="42"/>
    <rowHierarchyUsage hierarchyUsage="22"/>
  </rowHierarchiesUsage>
  <colHierarchiesUsage count="1">
    <colHierarchyUsage hierarchyUsage="3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1" columnCount="3" cacheId="1716270679"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1372.1999999999998</x15:v>
          </x15:c>
          <x15:c>
            <x15:v>800.27999999999986</x15:v>
          </x15:c>
          <x15:c>
            <x15:v>2172.48</x15:v>
          </x15:c>
        </x15:pivotRow>
        <x15:pivotRow count="3">
          <x15:c>
            <x15:v>2992.2</x15:v>
          </x15:c>
          <x15:c>
            <x15:v>2741.5866666666666</x15:v>
          </x15:c>
          <x15:c>
            <x15:v>5733.7866666666669</x15:v>
          </x15:c>
        </x15:pivotRow>
        <x15:pivotRow count="3">
          <x15:c>
            <x15:v>808.2</x15:v>
          </x15:c>
          <x15:c>
            <x15:v>1493.1066666666666</x15:v>
          </x15:c>
          <x15:c>
            <x15:v>2301.3066666666664</x15:v>
          </x15:c>
        </x15:pivotRow>
        <x15:pivotRow count="3">
          <x15:c>
            <x15:v>1393.8</x15:v>
          </x15:c>
          <x15:c>
            <x15:v>1912.5066666666667</x15:v>
          </x15:c>
          <x15:c>
            <x15:v>3306.3066666666668</x15:v>
          </x15:c>
        </x15:pivotRow>
        <x15:pivotRow count="3">
          <x15:c>
            <x15:v>744.6</x15:v>
          </x15:c>
          <x15:c>
            <x15:v>1288.08</x15:v>
          </x15:c>
          <x15:c>
            <x15:v>2032.6799999999996</x15:v>
          </x15:c>
        </x15:pivotRow>
        <x15:pivotRow count="3">
          <x15:c>
            <x15:v>719.4</x15:v>
          </x15:c>
          <x15:c>
            <x15:v>1406.8799999999999</x15:v>
          </x15:c>
          <x15:c>
            <x15:v>2126.2800000000002</x15:v>
          </x15:c>
        </x15:pivotRow>
        <x15:pivotRow count="3">
          <x15:c>
            <x15:v>1528.2</x15:v>
          </x15:c>
          <x15:c>
            <x15:v>2872.6533333333336</x15:v>
          </x15:c>
          <x15:c>
            <x15:v>4400.8533333333335</x15:v>
          </x15:c>
        </x15:pivotRow>
        <x15:pivotRow count="3">
          <x15:c>
            <x15:v>1114.8000000000002</x15:v>
          </x15:c>
          <x15:c>
            <x15:v>3235.5999999999995</x15:v>
          </x15:c>
          <x15:c>
            <x15:v>4350.3999999999996</x15:v>
          </x15:c>
        </x15:pivotRow>
        <x15:pivotRow count="3">
          <x15:c>
            <x15:v>861.6</x15:v>
          </x15:c>
          <x15:c>
            <x15:v>3552.2533333333336</x15:v>
          </x15:c>
          <x15:c>
            <x15:v>4413.8533333333335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510</x15:v>
          </x15:c>
          <x15:c>
            <x15:v>1185.7333333333336</x15:v>
          </x15:c>
          <x15:c>
            <x15:v>1695.7333333333333</x15:v>
          </x15:c>
        </x15:pivotRow>
        <x15:pivotRow count="3">
          <x15:c>
            <x15:v>634.20000000000005</x15:v>
          </x15:c>
          <x15:c>
            <x15:v>225</x15:v>
          </x15:c>
          <x15:c>
            <x15:v>859.2</x15:v>
          </x15:c>
        </x15:pivotRow>
        <x15:pivotRow count="3">
          <x15:c>
            <x15:v>1050</x15:v>
          </x15:c>
          <x15:c>
            <x15:v>250.66666666666666</x15:v>
          </x15:c>
          <x15:c>
            <x15:v>1300.6666666666667</x15:v>
          </x15:c>
        </x15:pivotRow>
        <x15:pivotRow count="3">
          <x15:c>
            <x15:v>1320.72</x15:v>
          </x15:c>
          <x15:c>
            <x15:v>232.30666666666664</x15:v>
          </x15:c>
          <x15:c>
            <x15:v>1553.0266666666666</x15:v>
          </x15:c>
        </x15:pivotRow>
        <x15:pivotRow count="3">
          <x15:c>
            <x15:v>3777.7200000000003</x15:v>
          </x15:c>
          <x15:c>
            <x15:v>755.4666666666667</x15:v>
          </x15:c>
          <x15:c>
            <x15:v>4533.1866666666665</x15:v>
          </x15:c>
        </x15:pivotRow>
        <x15:pivotRow count="3">
          <x15:c>
            <x15:v>4026.9600000000005</x15:v>
          </x15:c>
          <x15:c>
            <x15:v>344.52</x15:v>
          </x15:c>
          <x15:c>
            <x15:v>4371.4800000000005</x15:v>
          </x15:c>
        </x15:pivotRow>
        <x15:pivotRow count="3">
          <x15:c>
            <x15:v>736.2</x15:v>
          </x15:c>
          <x15:c>
            <x15:v>1126.8</x15:v>
          </x15:c>
          <x15:c>
            <x15:v>1863</x15:v>
          </x15:c>
        </x15:pivotRow>
        <x15:pivotRow count="3">
          <x15:c>
            <x15:v>1690.92</x15:v>
          </x15:c>
          <x15:c>
            <x15:v>718.76</x15:v>
          </x15:c>
          <x15:c>
            <x15:v>2409.6799999999998</x15:v>
          </x15:c>
        </x15:pivotRow>
        <x15:pivotRow count="3">
          <x15:c>
            <x15:v>1621.56</x15:v>
          </x15:c>
          <x15:c>
            <x15:v>1132.9333333333334</x15:v>
          </x15:c>
          <x15:c>
            <x15:v>2754.4933333333333</x15:v>
          </x15:c>
        </x15:pivotRow>
        <x15:pivotRow count="3">
          <x15:c>
            <x15:v>444.72</x15:v>
          </x15:c>
          <x15:c>
            <x15:v>846.81333333333339</x15:v>
          </x15:c>
          <x15:c>
            <x15:v>1291.5333333333333</x15:v>
          </x15:c>
        </x15:pivotRow>
        <x15:pivotRow count="3">
          <x15:c>
            <x15:v>582</x15:v>
          </x15:c>
          <x15:c>
            <x15:v>1382.1333333333334</x15:v>
          </x15:c>
          <x15:c>
            <x15:v>1964.1333333333334</x15:v>
          </x15:c>
        </x15:pivotRow>
        <x15:pivotRow count="3">
          <x15:c>
            <x15:v>621</x15:v>
          </x15:c>
          <x15:c>
            <x15:v>1289.32</x15:v>
          </x15:c>
          <x15:c>
            <x15:v>1910.32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606</x15:v>
          </x15:c>
          <x15:c>
            <x15:v>1116.1466666666665</x15:v>
          </x15:c>
          <x15:c>
            <x15:v>1722.1466666666665</x15:v>
          </x15:c>
        </x15:pivotRow>
        <x15:pivotRow count="3">
          <x15:c>
            <x15:v>532.20000000000005</x15:v>
          </x15:c>
          <x15:c>
            <x15:v>779.59999999999991</x15:v>
          </x15:c>
          <x15:c>
            <x15:v>1311.8</x15:v>
          </x15:c>
        </x15:pivotRow>
        <x15:pivotRow count="3">
          <x15:c>
            <x15:v>600.6</x15:v>
          </x15:c>
          <x15:c>
            <x15:v>747.4</x15:v>
          </x15:c>
          <x15:c>
            <x15:v>1348</x15:v>
          </x15:c>
        </x15:pivotRow>
        <x15:pivotRow count="3">
          <x15:c>
            <x15:v>2014.2</x15:v>
          </x15:c>
          <x15:c>
            <x15:v>595.52</x15:v>
          </x15:c>
          <x15:c>
            <x15:v>2609.7200000000003</x15:v>
          </x15:c>
        </x15:pivotRow>
        <x15:pivotRow count="3">
          <x15:c>
            <x15:v>2413.8000000000002</x15:v>
          </x15:c>
          <x15:c>
            <x15:v>567.01333333333332</x15:v>
          </x15:c>
          <x15:c>
            <x15:v>2980.8133333333335</x15:v>
          </x15:c>
        </x15:pivotRow>
        <x15:pivotRow count="3">
          <x15:c>
            <x15:v>3464.4</x15:v>
          </x15:c>
          <x15:c>
            <x15:v>925.31999999999994</x15:v>
          </x15:c>
          <x15:c>
            <x15:v>4389.72</x15:v>
          </x15:c>
        </x15:pivotRow>
        <x15:pivotRow count="3">
          <x15:c>
            <x15:v>1023</x15:v>
          </x15:c>
          <x15:c>
            <x15:v>815.16000000000008</x15:v>
          </x15:c>
          <x15:c>
            <x15:v>1838.16</x15:v>
          </x15:c>
        </x15:pivotRow>
        <x15:pivotRow count="3">
          <x15:c>
            <x15:v>818.4</x15:v>
          </x15:c>
          <x15:c>
            <x15:v>688.13333333333333</x15:v>
          </x15:c>
          <x15:c>
            <x15:v>1506.5333333333333</x15:v>
          </x15:c>
        </x15:pivotRow>
        <x15:pivotRow count="3">
          <x15:c>
            <x15:v>922.8</x15:v>
          </x15:c>
          <x15:c>
            <x15:v>873.14666666666665</x15:v>
          </x15:c>
          <x15:c>
            <x15:v>1795.9466666666669</x15:v>
          </x15:c>
        </x15:pivotRow>
        <x15:pivotRow count="3">
          <x15:c>
            <x15:v>850.2</x15:v>
          </x15:c>
          <x15:c>
            <x15:v>556.80000000000007</x15:v>
          </x15:c>
          <x15:c>
            <x15:v>1407</x15:v>
          </x15:c>
        </x15:pivotRow>
        <x15:pivotRow count="3">
          <x15:c>
            <x15:v>697.8</x15:v>
          </x15:c>
          <x15:c>
            <x15:v>745.73333333333335</x15:v>
          </x15:c>
          <x15:c>
            <x15:v>1443.5333333333333</x15:v>
          </x15:c>
        </x15:pivotRow>
        <x15:pivotRow count="3">
          <x15:c>
            <x15:v>582</x15:v>
          </x15:c>
          <x15:c>
            <x15:v>685.16</x15:v>
          </x15:c>
          <x15:c>
            <x15:v>1267.1600000000001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621.6</x15:v>
          </x15:c>
          <x15:c>
            <x15:v>732.41333333333341</x15:v>
          </x15:c>
          <x15:c>
            <x15:v>1354.0133333333333</x15:v>
          </x15:c>
        </x15:pivotRow>
        <x15:pivotRow count="3">
          <x15:c>
            <x15:v>704.4</x15:v>
          </x15:c>
          <x15:c>
            <x15:v>752.0533333333334</x15:v>
          </x15:c>
          <x15:c>
            <x15:v>1456.4533333333331</x15:v>
          </x15:c>
        </x15:pivotRow>
        <x15:pivotRow count="3">
          <x15:c>
            <x15:v>979.2</x15:v>
          </x15:c>
          <x15:c>
            <x15:v>962.01333333333332</x15:v>
          </x15:c>
          <x15:c>
            <x15:v>1941.2133333333334</x15:v>
          </x15:c>
        </x15:pivotRow>
        <x15:pivotRow count="3">
          <x15:c>
            <x15:v>45381.599999999999</x15:v>
          </x15:c>
          <x15:c>
            <x15:v>40335.013333333321</x15:v>
          </x15:c>
          <x15:c>
            <x15:v>85716.613333333327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bined!$A$1:$S$52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A8148-ED8A-425A-B9EB-22F5E6720179}" name="PivotChar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43" firstHeaderRow="1" firstDataRow="2" firstDataCol="1"/>
  <pivotFields count="5">
    <pivotField axis="axisRow" allDrilled="1" subtotalTop="0" showAll="0" dataSourceSort="1" defaultSubtotal="0" defaultAttributeDrillState="1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</pivotFields>
  <rowFields count="3">
    <field x="2"/>
    <field x="1"/>
    <field x="0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 Amount" fld="4" baseField="0" baseItem="0"/>
  </dataFields>
  <chartFormats count="5">
    <chartFormat chart="0" format="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3">
    <rowHierarchyUsage hierarchyUsage="18"/>
    <rowHierarchyUsage hierarchyUsage="20"/>
    <rowHierarchyUsage hierarchyUsage="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1" columnCount="3" cacheId="206599804"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203571.25</x15:v>
          </x15:c>
          <x15:c>
            <x15:v>476507.92</x15:v>
          </x15:c>
          <x15:c>
            <x15:v>680079.17</x15:v>
          </x15:c>
        </x15:pivotRow>
        <x15:pivotRow count="3">
          <x15:c>
            <x15:v>466507.54</x15:v>
          </x15:c>
          <x15:c>
            <x15:v>1681389.12</x15:v>
          </x15:c>
          <x15:c>
            <x15:v>2147896.66</x15:v>
          </x15:c>
        </x15:pivotRow>
        <x15:pivotRow count="3">
          <x15:c>
            <x15:v>121349.09</x15:v>
          </x15:c>
          <x15:c>
            <x15:v>926508.09</x15:v>
          </x15:c>
          <x15:c>
            <x15:v>1047857.18</x15:v>
          </x15:c>
        </x15:pivotRow>
        <x15:pivotRow count="3">
          <x15:c>
            <x15:v>214047.56</x15:v>
          </x15:c>
          <x15:c>
            <x15:v>1189524</x15:v>
          </x15:c>
          <x15:c>
            <x15:v>1403571.56</x15:v>
          </x15:c>
        </x15:pivotRow>
        <x15:pivotRow count="3">
          <x15:c>
            <x15:v>115714.21</x15:v>
          </x15:c>
          <x15:c>
            <x15:v>785238.15</x15:v>
          </x15:c>
          <x15:c>
            <x15:v>900952.36</x15:v>
          </x15:c>
        </x15:pivotRow>
        <x15:pivotRow count="3">
          <x15:c>
            <x15:v>112857.09</x15:v>
          </x15:c>
          <x15:c>
            <x15:v>859126.95</x15:v>
          </x15:c>
          <x15:c>
            <x15:v>971984.04</x15:v>
          </x15:c>
        </x15:pivotRow>
        <x15:pivotRow count="3">
          <x15:c>
            <x15:v>248174.6</x15:v>
          </x15:c>
          <x15:c>
            <x15:v>1917052.48</x15:v>
          </x15:c>
          <x15:c>
            <x15:v>2165227.08</x15:v>
          </x15:c>
        </x15:pivotRow>
        <x15:pivotRow count="3">
          <x15:c>
            <x15:v>178333.33</x15:v>
          </x15:c>
          <x15:c>
            <x15:v>2084099.71</x15:v>
          </x15:c>
          <x15:c>
            <x15:v>2262433.04</x15:v>
          </x15:c>
        </x15:pivotRow>
        <x15:pivotRow count="3">
          <x15:c>
            <x15:v>140793.57999999999</x15:v>
          </x15:c>
          <x15:c>
            <x15:v>2318479.4</x15:v>
          </x15:c>
          <x15:c>
            <x15:v>2459272.98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81904.72</x15:v>
          </x15:c>
          <x15:c>
            <x15:v>761964.38</x15:v>
          </x15:c>
          <x15:c>
            <x15:v>843869.1</x15:v>
          </x15:c>
        </x15:pivotRow>
        <x15:pivotRow count="3">
          <x15:c>
            <x15:v>99999.98</x15:v>
          </x15:c>
          <x15:c>
            <x15:v>152182.57</x15:v>
          </x15:c>
          <x15:c>
            <x15:v>252182.55</x15:v>
          </x15:c>
        </x15:pivotRow>
        <x15:pivotRow count="3">
          <x15:c>
            <x15:v>174761.83</x15:v>
          </x15:c>
          <x15:c>
            <x15:v>153412.71</x15:v>
          </x15:c>
          <x15:c>
            <x15:v>328174.53999999998</x15:v>
          </x15:c>
        </x15:pivotRow>
        <x15:pivotRow count="3">
          <x15:c>
            <x15:v>206507.93</x15:v>
          </x15:c>
          <x15:c>
            <x15:v>159850.54</x15:v>
          </x15:c>
          <x15:c>
            <x15:v>366358.47</x15:v>
          </x15:c>
        </x15:pivotRow>
        <x15:pivotRow count="3">
          <x15:c>
            <x15:v>598412.6</x15:v>
          </x15:c>
          <x15:c>
            <x15:v>489910.97</x15:v>
          </x15:c>
          <x15:c>
            <x15:v>1088323.57</x15:v>
          </x15:c>
        </x15:pivotRow>
        <x15:pivotRow count="3">
          <x15:c>
            <x15:v>632381.4</x15:v>
          </x15:c>
          <x15:c>
            <x15:v>219127.04000000001</x15:v>
          </x15:c>
          <x15:c>
            <x15:v>851508.44</x15:v>
          </x15:c>
        </x15:pivotRow>
        <x15:pivotRow count="3">
          <x15:c>
            <x15:v>121349.39</x15:v>
          </x15:c>
          <x15:c>
            <x15:v>748479.61</x15:v>
          </x15:c>
          <x15:c>
            <x15:v>869829</x15:v>
          </x15:c>
        </x15:pivotRow>
        <x15:pivotRow count="3">
          <x15:c>
            <x15:v>284841.55</x15:v>
          </x15:c>
          <x15:c>
            <x15:v>488323.6</x15:v>
          </x15:c>
          <x15:c>
            <x15:v>773165.15</x15:v>
          </x15:c>
        </x15:pivotRow>
        <x15:pivotRow count="3">
          <x15:c>
            <x15:v>268492.40999999997</x15:v>
          </x15:c>
          <x15:c>
            <x15:v>742747.72</x15:v>
          </x15:c>
          <x15:c>
            <x15:v>1011240.13</x15:v>
          </x15:c>
        </x15:pivotRow>
        <x15:pivotRow count="3">
          <x15:c>
            <x15:v>74047.7</x15:v>
          </x15:c>
          <x15:c>
            <x15:v>554047.78</x15:v>
          </x15:c>
          <x15:c>
            <x15:v>628095.48</x15:v>
          </x15:c>
        </x15:pivotRow>
        <x15:pivotRow count="3">
          <x15:c>
            <x15:v>99841.34</x15:v>
          </x15:c>
          <x15:c>
            <x15:v>897899.26</x15:v>
          </x15:c>
          <x15:c>
            <x15:v>997740.6</x15:v>
          </x15:c>
        </x15:pivotRow>
        <x15:pivotRow count="3">
          <x15:c>
            <x15:v>102619.13</x15:v>
          </x15:c>
          <x15:c>
            <x15:v>879458.27</x15:v>
          </x15:c>
          <x15:c>
            <x15:v>982077.4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100476.24</x15:v>
          </x15:c>
          <x15:c>
            <x15:v>733705.1</x15:v>
          </x15:c>
          <x15:c>
            <x15:v>834181.34</x15:v>
          </x15:c>
        </x15:pivotRow>
        <x15:pivotRow count="3">
          <x15:c>
            <x15:v>87222.36</x15:v>
          </x15:c>
          <x15:c>
            <x15:v>529938.96</x15:v>
          </x15:c>
          <x15:c>
            <x15:v>617161.31999999995</x15:v>
          </x15:c>
        </x15:pivotRow>
        <x15:pivotRow count="3">
          <x15:c>
            <x15:v>98333.48</x15:v>
          </x15:c>
          <x15:c>
            <x15:v>497488.97</x15:v>
          </x15:c>
          <x15:c>
            <x15:v>595822.44999999995</x15:v>
          </x15:c>
        </x15:pivotRow>
        <x15:pivotRow count="3">
          <x15:c>
            <x15:v>332778.21999999997</x15:v>
          </x15:c>
          <x15:c>
            <x15:v>437734.65</x15:v>
          </x15:c>
          <x15:c>
            <x15:v>770512.87</x15:v>
          </x15:c>
        </x15:pivotRow>
        <x15:pivotRow count="3">
          <x15:c>
            <x15:v>401746.27</x15:v>
          </x15:c>
          <x15:c>
            <x15:v>440238.82</x15:v>
          </x15:c>
          <x15:c>
            <x15:v>841985.09</x15:v>
          </x15:c>
        </x15:pivotRow>
        <x15:pivotRow count="3">
          <x15:c>
            <x15:v>562222.98</x15:v>
          </x15:c>
          <x15:c>
            <x15:v>657328.26</x15:v>
          </x15:c>
          <x15:c>
            <x15:v>1219551.24</x15:v>
          </x15:c>
        </x15:pivotRow>
        <x15:pivotRow count="3">
          <x15:c>
            <x15:v>173809.61</x15:v>
          </x15:c>
          <x15:c>
            <x15:v>558885.68999999994</x15:v>
          </x15:c>
          <x15:c>
            <x15:v>732695.3</x15:v>
          </x15:c>
        </x15:pivotRow>
        <x15:pivotRow count="3">
          <x15:c>
            <x15:v>129444.57</x15:v>
          </x15:c>
          <x15:c>
            <x15:v>478538.91</x15:v>
          </x15:c>
          <x15:c>
            <x15:v>607983.48</x15:v>
          </x15:c>
        </x15:pivotRow>
        <x15:pivotRow count="3">
          <x15:c>
            <x15:v>161507.91</x15:v>
          </x15:c>
          <x15:c>
            <x15:v>612677.59</x15:v>
          </x15:c>
          <x15:c>
            <x15:v>774185.5</x15:v>
          </x15:c>
        </x15:pivotRow>
        <x15:pivotRow count="3">
          <x15:c>
            <x15:v>151904.82</x15:v>
          </x15:c>
          <x15:c>
            <x15:v>377247.01</x15:v>
          </x15:c>
          <x15:c>
            <x15:v>529151.82999999996</x15:v>
          </x15:c>
        </x15:pivotRow>
        <x15:pivotRow count="3">
          <x15:c>
            <x15:v>122380.97</x15:v>
          </x15:c>
          <x15:c>
            <x15:v>538363.31000000006</x15:v>
          </x15:c>
          <x15:c>
            <x15:v>660744.28</x15:v>
          </x15:c>
        </x15:pivotRow>
        <x15:pivotRow count="3">
          <x15:c>
            <x15:v>104047.67999999999</x15:v>
          </x15:c>
          <x15:c>
            <x15:v>506856.63</x15:v>
          </x15:c>
          <x15:c>
            <x15:v>610904.31000000006</x15:v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113333.32</x15:v>
          </x15:c>
          <x15:c>
            <x15:v>509366.1</x15:v>
          </x15:c>
          <x15:c>
            <x15:v>622699.42000000004</x15:v>
          </x15:c>
        </x15:pivotRow>
        <x15:pivotRow count="3">
          <x15:c>
            <x15:v>113888.99</x15:v>
          </x15:c>
          <x15:c>
            <x15:v>522800.96</x15:v>
          </x15:c>
          <x15:c>
            <x15:v>636689.94999999995</x15:v>
          </x15:c>
        </x15:pivotRow>
        <x15:pivotRow count="3">
          <x15:c>
            <x15:v>161031.97</x15:v>
          </x15:c>
          <x15:c>
            <x15:v>700603.93</x15:v>
          </x15:c>
          <x15:c>
            <x15:v>861635.9</x15:v>
          </x15:c>
        </x15:pivotRow>
        <x15:pivotRow count="3">
          <x15:c>
            <x15:v>7360637.6200000001</x15:v>
          </x15:c>
          <x15:c>
            <x15:v>26587105.16</x15:v>
          </x15:c>
          <x15:c>
            <x15:v>33947742.780000001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Combined!$A$1:$R$5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C3277-2DC2-4B44-AEEA-50BB8D16757C}" name="PivotTable1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44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2">
    <field x="2"/>
    <field x="0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ters" fld="3" baseField="0" baseItem="0" numFmtId="2"/>
    <dataField name="Sum of Grand Total" fld="4" baseField="0" baseItem="0"/>
  </dataFields>
  <formats count="5">
    <format dxfId="7">
      <pivotArea type="topRight" dataOnly="0" labelOnly="1" outline="0" fieldPosition="0"/>
    </format>
    <format dxfId="6">
      <pivotArea grandCol="1" outline="0" collapsedLevelsAreSubtotals="1" fieldPosition="0"/>
    </format>
    <format dxfId="5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bined!$A$1:$R$5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6245-D6FA-4957-8CEA-4B42A12B0A4B}">
  <dimension ref="A1:N137"/>
  <sheetViews>
    <sheetView zoomScaleNormal="100" workbookViewId="0">
      <selection activeCell="D27" sqref="D27"/>
    </sheetView>
  </sheetViews>
  <sheetFormatPr defaultRowHeight="18.600000000000001" customHeight="1" x14ac:dyDescent="0.3"/>
  <cols>
    <col min="1" max="1" width="8" bestFit="1" customWidth="1"/>
    <col min="2" max="2" width="15.88671875" bestFit="1" customWidth="1"/>
    <col min="3" max="3" width="28.5546875" bestFit="1" customWidth="1"/>
    <col min="4" max="4" width="18.77734375" bestFit="1" customWidth="1"/>
    <col min="5" max="5" width="16" bestFit="1" customWidth="1"/>
    <col min="6" max="7" width="8" style="1" bestFit="1" customWidth="1"/>
    <col min="8" max="8" width="14.33203125" bestFit="1" customWidth="1"/>
    <col min="9" max="9" width="13.88671875" bestFit="1" customWidth="1"/>
    <col min="10" max="10" width="12.77734375" style="1" bestFit="1" customWidth="1"/>
    <col min="11" max="11" width="15.33203125" style="1" bestFit="1" customWidth="1"/>
    <col min="12" max="12" width="16.88671875" style="1" bestFit="1" customWidth="1"/>
    <col min="13" max="13" width="15.44140625" style="1" bestFit="1" customWidth="1"/>
    <col min="14" max="14" width="16.77734375" style="1" bestFit="1" customWidth="1"/>
  </cols>
  <sheetData>
    <row r="1" spans="1:14" ht="18.600000000000001" customHeight="1" x14ac:dyDescent="0.3">
      <c r="A1" s="4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/>
      <c r="N1"/>
    </row>
    <row r="2" spans="1:14" ht="18.600000000000001" customHeight="1" x14ac:dyDescent="0.3">
      <c r="A2" s="9">
        <v>1</v>
      </c>
      <c r="B2" s="19">
        <v>45026.484791666669</v>
      </c>
      <c r="C2" s="11" t="s">
        <v>397</v>
      </c>
      <c r="D2" s="12">
        <v>1005.62</v>
      </c>
      <c r="E2" s="12">
        <v>560930</v>
      </c>
      <c r="F2" s="11">
        <v>0</v>
      </c>
      <c r="G2" s="11">
        <v>0</v>
      </c>
      <c r="H2" s="12">
        <v>0</v>
      </c>
      <c r="I2" s="12">
        <v>0</v>
      </c>
      <c r="J2" s="12">
        <v>0</v>
      </c>
      <c r="K2" s="12">
        <v>0</v>
      </c>
      <c r="L2" s="13">
        <v>561935.62</v>
      </c>
      <c r="M2"/>
      <c r="N2"/>
    </row>
    <row r="3" spans="1:14" ht="18.600000000000001" customHeight="1" x14ac:dyDescent="0.3">
      <c r="A3" s="9">
        <v>2</v>
      </c>
      <c r="B3" s="19">
        <v>45026.48574074074</v>
      </c>
      <c r="C3" s="11" t="s">
        <v>398</v>
      </c>
      <c r="D3" s="12">
        <v>561935.62</v>
      </c>
      <c r="E3" s="12">
        <v>490000</v>
      </c>
      <c r="F3" s="11">
        <v>0</v>
      </c>
      <c r="G3" s="11">
        <v>0</v>
      </c>
      <c r="H3" s="12">
        <v>0</v>
      </c>
      <c r="I3" s="12">
        <v>0</v>
      </c>
      <c r="J3" s="12">
        <v>0</v>
      </c>
      <c r="K3" s="12">
        <v>0</v>
      </c>
      <c r="L3" s="13">
        <v>1051935.6200000001</v>
      </c>
      <c r="M3"/>
      <c r="N3"/>
    </row>
    <row r="4" spans="1:14" ht="18.600000000000001" customHeight="1" x14ac:dyDescent="0.3">
      <c r="A4" s="9">
        <v>3</v>
      </c>
      <c r="B4" s="19">
        <v>45026.939895833333</v>
      </c>
      <c r="C4" s="11" t="s">
        <v>399</v>
      </c>
      <c r="D4" s="12">
        <v>1051935.6200000001</v>
      </c>
      <c r="E4" s="12">
        <v>0</v>
      </c>
      <c r="F4" s="11">
        <v>679.8</v>
      </c>
      <c r="G4" s="11">
        <v>0</v>
      </c>
      <c r="H4" s="12">
        <v>117698.44</v>
      </c>
      <c r="I4" s="12">
        <v>41194.449999999997</v>
      </c>
      <c r="J4" s="12">
        <v>1589</v>
      </c>
      <c r="K4" s="12">
        <v>160481.89000000001</v>
      </c>
      <c r="L4" s="13">
        <v>891453.73</v>
      </c>
      <c r="M4"/>
      <c r="N4"/>
    </row>
    <row r="5" spans="1:14" ht="18.600000000000001" customHeight="1" x14ac:dyDescent="0.3">
      <c r="A5" s="9">
        <v>4</v>
      </c>
      <c r="B5" s="19">
        <v>45026.942465277774</v>
      </c>
      <c r="C5" s="11" t="s">
        <v>400</v>
      </c>
      <c r="D5" s="12">
        <v>891453.73</v>
      </c>
      <c r="E5" s="12">
        <v>0</v>
      </c>
      <c r="F5" s="11">
        <v>0</v>
      </c>
      <c r="G5" s="11">
        <v>319.89999999999998</v>
      </c>
      <c r="H5" s="12">
        <v>316040.53999999998</v>
      </c>
      <c r="I5" s="12">
        <v>110614.19</v>
      </c>
      <c r="J5" s="12">
        <v>4267</v>
      </c>
      <c r="K5" s="12">
        <v>430921.73</v>
      </c>
      <c r="L5" s="13">
        <v>460532</v>
      </c>
      <c r="M5"/>
      <c r="N5"/>
    </row>
    <row r="6" spans="1:14" ht="18.600000000000001" customHeight="1" x14ac:dyDescent="0.3">
      <c r="A6" s="9">
        <v>5</v>
      </c>
      <c r="B6" s="19">
        <v>45029.816342592596</v>
      </c>
      <c r="C6" s="11" t="s">
        <v>401</v>
      </c>
      <c r="D6" s="12">
        <v>460532</v>
      </c>
      <c r="E6" s="12">
        <v>0</v>
      </c>
      <c r="F6" s="11">
        <v>1334.4</v>
      </c>
      <c r="G6" s="11">
        <v>0</v>
      </c>
      <c r="H6" s="12">
        <v>215079.78</v>
      </c>
      <c r="I6" s="12">
        <v>75278.070000000007</v>
      </c>
      <c r="J6" s="12">
        <v>2904</v>
      </c>
      <c r="K6" s="12">
        <v>293261.84999999998</v>
      </c>
      <c r="L6" s="13">
        <v>167270.15</v>
      </c>
      <c r="M6"/>
      <c r="N6"/>
    </row>
    <row r="7" spans="1:14" ht="18.600000000000001" customHeight="1" x14ac:dyDescent="0.3">
      <c r="A7" s="9">
        <v>6</v>
      </c>
      <c r="B7" s="19">
        <v>45029.817129629628</v>
      </c>
      <c r="C7" s="11" t="s">
        <v>402</v>
      </c>
      <c r="D7" s="12">
        <v>167270.15</v>
      </c>
      <c r="E7" s="12">
        <v>0</v>
      </c>
      <c r="F7" s="11">
        <v>0</v>
      </c>
      <c r="G7" s="11">
        <v>126.74</v>
      </c>
      <c r="H7" s="12">
        <v>121694.11</v>
      </c>
      <c r="I7" s="12">
        <v>42592.94</v>
      </c>
      <c r="J7" s="12">
        <v>1643</v>
      </c>
      <c r="K7" s="12">
        <v>165930.04999999999</v>
      </c>
      <c r="L7" s="13">
        <v>1340.1</v>
      </c>
      <c r="M7"/>
      <c r="N7"/>
    </row>
    <row r="8" spans="1:14" ht="18.600000000000001" customHeight="1" x14ac:dyDescent="0.3">
      <c r="A8" s="9">
        <v>7</v>
      </c>
      <c r="B8" s="19">
        <v>45049.380162037036</v>
      </c>
      <c r="C8" s="11" t="s">
        <v>403</v>
      </c>
      <c r="D8" s="12">
        <v>1340.1</v>
      </c>
      <c r="E8" s="12">
        <v>370000</v>
      </c>
      <c r="F8" s="11">
        <v>0</v>
      </c>
      <c r="G8" s="11">
        <v>0</v>
      </c>
      <c r="H8" s="12">
        <v>0</v>
      </c>
      <c r="I8" s="12">
        <v>0</v>
      </c>
      <c r="J8" s="12">
        <v>0</v>
      </c>
      <c r="K8" s="12">
        <v>0</v>
      </c>
      <c r="L8" s="13">
        <v>371340.1</v>
      </c>
      <c r="M8"/>
      <c r="N8"/>
    </row>
    <row r="9" spans="1:14" ht="18.600000000000001" customHeight="1" x14ac:dyDescent="0.3">
      <c r="A9" s="9">
        <v>8</v>
      </c>
      <c r="B9" s="19">
        <v>45049.700300925928</v>
      </c>
      <c r="C9" s="11" t="s">
        <v>404</v>
      </c>
      <c r="D9" s="12">
        <v>371340.1</v>
      </c>
      <c r="E9" s="12">
        <v>0</v>
      </c>
      <c r="F9" s="11">
        <v>0</v>
      </c>
      <c r="G9" s="11">
        <v>132.16999999999999</v>
      </c>
      <c r="H9" s="12">
        <v>150056.89000000001</v>
      </c>
      <c r="I9" s="12">
        <v>52519.91</v>
      </c>
      <c r="J9" s="12">
        <v>2026</v>
      </c>
      <c r="K9" s="12">
        <v>204602.8</v>
      </c>
      <c r="L9" s="13">
        <v>166737.29999999999</v>
      </c>
      <c r="M9"/>
      <c r="N9"/>
    </row>
    <row r="10" spans="1:14" ht="18.600000000000001" customHeight="1" x14ac:dyDescent="0.3">
      <c r="A10" s="9">
        <v>9</v>
      </c>
      <c r="B10" s="19">
        <v>45049.701215277775</v>
      </c>
      <c r="C10" s="11" t="s">
        <v>405</v>
      </c>
      <c r="D10" s="12">
        <v>166737.29999999999</v>
      </c>
      <c r="E10" s="12">
        <v>0</v>
      </c>
      <c r="F10" s="11">
        <v>712.8</v>
      </c>
      <c r="G10" s="11">
        <v>0</v>
      </c>
      <c r="H10" s="12">
        <v>122222.24</v>
      </c>
      <c r="I10" s="12">
        <v>42777.78</v>
      </c>
      <c r="J10" s="12">
        <v>1650</v>
      </c>
      <c r="K10" s="12">
        <v>166650.01999999999</v>
      </c>
      <c r="L10" s="13">
        <v>87.28</v>
      </c>
      <c r="M10"/>
      <c r="N10"/>
    </row>
    <row r="11" spans="1:14" ht="18.600000000000001" customHeight="1" x14ac:dyDescent="0.3">
      <c r="A11" s="9">
        <v>10</v>
      </c>
      <c r="B11" s="19">
        <v>45056.492939814816</v>
      </c>
      <c r="C11" s="11" t="s">
        <v>406</v>
      </c>
      <c r="D11" s="12">
        <v>87.28</v>
      </c>
      <c r="E11" s="12">
        <v>130000</v>
      </c>
      <c r="F11" s="11">
        <v>0</v>
      </c>
      <c r="G11" s="11">
        <v>0</v>
      </c>
      <c r="H11" s="12">
        <v>0</v>
      </c>
      <c r="I11" s="12">
        <v>0</v>
      </c>
      <c r="J11" s="12">
        <v>0</v>
      </c>
      <c r="K11" s="12">
        <v>0</v>
      </c>
      <c r="L11" s="13">
        <v>130087.28</v>
      </c>
      <c r="M11"/>
      <c r="N11"/>
    </row>
    <row r="12" spans="1:14" ht="18.600000000000001" customHeight="1" x14ac:dyDescent="0.3">
      <c r="A12" s="9">
        <v>11</v>
      </c>
      <c r="B12" s="19">
        <v>45056.498101851852</v>
      </c>
      <c r="C12" s="11" t="s">
        <v>407</v>
      </c>
      <c r="D12" s="12">
        <v>130087.28</v>
      </c>
      <c r="E12" s="12">
        <v>38000</v>
      </c>
      <c r="F12" s="11">
        <v>0</v>
      </c>
      <c r="G12" s="11">
        <v>0</v>
      </c>
      <c r="H12" s="12">
        <v>0</v>
      </c>
      <c r="I12" s="12">
        <v>0</v>
      </c>
      <c r="J12" s="12">
        <v>0</v>
      </c>
      <c r="K12" s="12">
        <v>0</v>
      </c>
      <c r="L12" s="13">
        <v>168087.28</v>
      </c>
      <c r="M12"/>
      <c r="N12"/>
    </row>
    <row r="13" spans="1:14" ht="18.600000000000001" customHeight="1" x14ac:dyDescent="0.3">
      <c r="A13" s="9">
        <v>12</v>
      </c>
      <c r="B13" s="19">
        <v>45056.6640625</v>
      </c>
      <c r="C13" s="11" t="s">
        <v>408</v>
      </c>
      <c r="D13" s="12">
        <v>168087.28</v>
      </c>
      <c r="E13" s="12">
        <v>0</v>
      </c>
      <c r="F13" s="11">
        <v>0</v>
      </c>
      <c r="G13" s="11">
        <v>134.97999999999999</v>
      </c>
      <c r="H13" s="12">
        <v>123131.36</v>
      </c>
      <c r="I13" s="12">
        <v>43095.96</v>
      </c>
      <c r="J13" s="12">
        <v>1662</v>
      </c>
      <c r="K13" s="12">
        <v>167889.32</v>
      </c>
      <c r="L13" s="13">
        <v>197.96</v>
      </c>
      <c r="M13"/>
      <c r="N13"/>
    </row>
    <row r="14" spans="1:14" ht="18.600000000000001" customHeight="1" x14ac:dyDescent="0.3">
      <c r="A14" s="9">
        <v>13</v>
      </c>
      <c r="B14" s="19">
        <v>45058.479097222225</v>
      </c>
      <c r="C14" s="11" t="s">
        <v>409</v>
      </c>
      <c r="D14" s="12">
        <v>197.96</v>
      </c>
      <c r="E14" s="12">
        <v>155000</v>
      </c>
      <c r="F14" s="11">
        <v>0</v>
      </c>
      <c r="G14" s="11">
        <v>0</v>
      </c>
      <c r="H14" s="12">
        <v>0</v>
      </c>
      <c r="I14" s="12">
        <v>0</v>
      </c>
      <c r="J14" s="12">
        <v>0</v>
      </c>
      <c r="K14" s="12">
        <v>0</v>
      </c>
      <c r="L14" s="13">
        <v>155197.96</v>
      </c>
      <c r="M14"/>
      <c r="N14"/>
    </row>
    <row r="15" spans="1:14" ht="18.600000000000001" customHeight="1" x14ac:dyDescent="0.3">
      <c r="A15" s="9">
        <v>14</v>
      </c>
      <c r="B15" s="19">
        <v>45058.536157407405</v>
      </c>
      <c r="C15" s="11" t="s">
        <v>410</v>
      </c>
      <c r="D15" s="12">
        <v>155197.96</v>
      </c>
      <c r="E15" s="12">
        <v>0</v>
      </c>
      <c r="F15" s="11">
        <v>0</v>
      </c>
      <c r="G15" s="11">
        <v>105.73</v>
      </c>
      <c r="H15" s="12">
        <v>113796.58</v>
      </c>
      <c r="I15" s="12">
        <v>39828.800000000003</v>
      </c>
      <c r="J15" s="12">
        <v>1536</v>
      </c>
      <c r="K15" s="12">
        <v>155161.38</v>
      </c>
      <c r="L15" s="13">
        <v>36.58</v>
      </c>
      <c r="M15"/>
      <c r="N15"/>
    </row>
    <row r="16" spans="1:14" ht="18.600000000000001" customHeight="1" x14ac:dyDescent="0.3">
      <c r="A16" s="9">
        <v>15</v>
      </c>
      <c r="B16" s="19">
        <v>45062.743402777778</v>
      </c>
      <c r="C16" s="11" t="s">
        <v>411</v>
      </c>
      <c r="D16" s="12">
        <v>36.58</v>
      </c>
      <c r="E16" s="12">
        <v>160000</v>
      </c>
      <c r="F16" s="11">
        <v>0</v>
      </c>
      <c r="G16" s="11">
        <v>0</v>
      </c>
      <c r="H16" s="12">
        <v>0</v>
      </c>
      <c r="I16" s="12">
        <v>0</v>
      </c>
      <c r="J16" s="12">
        <v>0</v>
      </c>
      <c r="K16" s="12">
        <v>0</v>
      </c>
      <c r="L16" s="13">
        <v>160036.57999999999</v>
      </c>
      <c r="M16"/>
      <c r="N16"/>
    </row>
    <row r="17" spans="1:14" ht="18.600000000000001" customHeight="1" x14ac:dyDescent="0.3">
      <c r="A17" s="9">
        <v>16</v>
      </c>
      <c r="B17" s="19">
        <v>45063.542638888888</v>
      </c>
      <c r="C17" s="11" t="s">
        <v>412</v>
      </c>
      <c r="D17" s="12">
        <v>160036.57999999999</v>
      </c>
      <c r="E17" s="12">
        <v>0</v>
      </c>
      <c r="F17" s="11">
        <v>549</v>
      </c>
      <c r="G17" s="11">
        <v>0</v>
      </c>
      <c r="H17" s="12">
        <v>93888.85</v>
      </c>
      <c r="I17" s="12">
        <v>32861.1</v>
      </c>
      <c r="J17" s="12">
        <v>1268</v>
      </c>
      <c r="K17" s="12">
        <v>128017.95</v>
      </c>
      <c r="L17" s="13">
        <v>32018.63</v>
      </c>
      <c r="M17"/>
      <c r="N17"/>
    </row>
    <row r="18" spans="1:14" ht="18.600000000000001" customHeight="1" x14ac:dyDescent="0.3">
      <c r="A18" s="9">
        <v>17</v>
      </c>
      <c r="B18" s="19">
        <v>45064.498541666668</v>
      </c>
      <c r="C18" s="11" t="s">
        <v>413</v>
      </c>
      <c r="D18" s="12">
        <v>32018.63</v>
      </c>
      <c r="E18" s="12">
        <v>55000</v>
      </c>
      <c r="F18" s="11">
        <v>0</v>
      </c>
      <c r="G18" s="11">
        <v>0</v>
      </c>
      <c r="H18" s="12">
        <v>0</v>
      </c>
      <c r="I18" s="12">
        <v>0</v>
      </c>
      <c r="J18" s="12">
        <v>0</v>
      </c>
      <c r="K18" s="12">
        <v>0</v>
      </c>
      <c r="L18" s="13">
        <v>87018.63</v>
      </c>
      <c r="M18"/>
      <c r="N18"/>
    </row>
    <row r="19" spans="1:14" ht="18.600000000000001" customHeight="1" x14ac:dyDescent="0.3">
      <c r="A19" s="9">
        <v>18</v>
      </c>
      <c r="B19" s="19">
        <v>45066.463773148149</v>
      </c>
      <c r="C19" s="11" t="s">
        <v>414</v>
      </c>
      <c r="D19" s="12">
        <v>87018.63</v>
      </c>
      <c r="E19" s="12">
        <v>80000</v>
      </c>
      <c r="F19" s="11">
        <v>0</v>
      </c>
      <c r="G19" s="11">
        <v>0</v>
      </c>
      <c r="H19" s="12">
        <v>0</v>
      </c>
      <c r="I19" s="12">
        <v>0</v>
      </c>
      <c r="J19" s="12">
        <v>0</v>
      </c>
      <c r="K19" s="12">
        <v>0</v>
      </c>
      <c r="L19" s="13">
        <v>167018.63</v>
      </c>
      <c r="M19"/>
      <c r="N19"/>
    </row>
    <row r="20" spans="1:14" ht="18.600000000000001" customHeight="1" x14ac:dyDescent="0.3">
      <c r="A20" s="9">
        <v>19</v>
      </c>
      <c r="B20" s="19">
        <v>45066.945057870369</v>
      </c>
      <c r="C20" s="11" t="s">
        <v>415</v>
      </c>
      <c r="D20" s="12">
        <v>167018.63</v>
      </c>
      <c r="E20" s="12">
        <v>0</v>
      </c>
      <c r="F20" s="11">
        <v>754.2</v>
      </c>
      <c r="G20" s="11">
        <v>0</v>
      </c>
      <c r="H20" s="12">
        <v>119047.91</v>
      </c>
      <c r="I20" s="12">
        <v>41666.949999999997</v>
      </c>
      <c r="J20" s="12">
        <v>1607</v>
      </c>
      <c r="K20" s="12">
        <v>162321.85999999999</v>
      </c>
      <c r="L20" s="13">
        <v>4696.7700000000004</v>
      </c>
      <c r="M20"/>
      <c r="N20"/>
    </row>
    <row r="21" spans="1:14" ht="18.600000000000001" customHeight="1" x14ac:dyDescent="0.3">
      <c r="A21" s="9">
        <v>20</v>
      </c>
      <c r="B21" s="19">
        <v>45076.422754629632</v>
      </c>
      <c r="C21" s="11" t="s">
        <v>416</v>
      </c>
      <c r="D21" s="12">
        <v>4696.7700000000004</v>
      </c>
      <c r="E21" s="12">
        <v>160000</v>
      </c>
      <c r="F21" s="11">
        <v>0</v>
      </c>
      <c r="G21" s="11">
        <v>0</v>
      </c>
      <c r="H21" s="12">
        <v>0</v>
      </c>
      <c r="I21" s="12">
        <v>0</v>
      </c>
      <c r="J21" s="12">
        <v>0</v>
      </c>
      <c r="K21" s="12">
        <v>0</v>
      </c>
      <c r="L21" s="13">
        <v>164696.76999999999</v>
      </c>
      <c r="M21"/>
      <c r="N21"/>
    </row>
    <row r="22" spans="1:14" ht="18.600000000000001" customHeight="1" x14ac:dyDescent="0.3">
      <c r="A22" s="9">
        <v>21</v>
      </c>
      <c r="B22" s="19">
        <v>45076.703032407408</v>
      </c>
      <c r="C22" s="11" t="s">
        <v>417</v>
      </c>
      <c r="D22" s="12">
        <v>164696.76999999999</v>
      </c>
      <c r="E22" s="12">
        <v>0</v>
      </c>
      <c r="F22" s="11">
        <v>0</v>
      </c>
      <c r="G22" s="11">
        <v>52.38</v>
      </c>
      <c r="H22" s="12">
        <v>53253.99</v>
      </c>
      <c r="I22" s="12">
        <v>18638.900000000001</v>
      </c>
      <c r="J22" s="12">
        <v>719</v>
      </c>
      <c r="K22" s="12">
        <v>72611.89</v>
      </c>
      <c r="L22" s="13">
        <v>92084.88</v>
      </c>
      <c r="M22"/>
      <c r="N22"/>
    </row>
    <row r="23" spans="1:14" ht="18.600000000000001" customHeight="1" x14ac:dyDescent="0.3">
      <c r="A23" s="9">
        <v>22</v>
      </c>
      <c r="B23" s="19">
        <v>45076.703576388885</v>
      </c>
      <c r="C23" s="11" t="s">
        <v>418</v>
      </c>
      <c r="D23" s="12">
        <v>92084.88</v>
      </c>
      <c r="E23" s="12">
        <v>0</v>
      </c>
      <c r="F23" s="11">
        <v>397.8</v>
      </c>
      <c r="G23" s="11">
        <v>0</v>
      </c>
      <c r="H23" s="12">
        <v>66587.27</v>
      </c>
      <c r="I23" s="12">
        <v>23305.54</v>
      </c>
      <c r="J23" s="12">
        <v>899</v>
      </c>
      <c r="K23" s="12">
        <v>90791.81</v>
      </c>
      <c r="L23" s="13">
        <v>1293.07</v>
      </c>
      <c r="M23"/>
      <c r="N23"/>
    </row>
    <row r="24" spans="1:14" ht="18.600000000000001" customHeight="1" x14ac:dyDescent="0.3">
      <c r="A24" s="9">
        <v>23</v>
      </c>
      <c r="B24" s="19">
        <v>45079.468310185184</v>
      </c>
      <c r="C24" s="11" t="s">
        <v>419</v>
      </c>
      <c r="D24" s="12">
        <v>1293.07</v>
      </c>
      <c r="E24" s="12">
        <v>320000</v>
      </c>
      <c r="F24" s="11">
        <v>0</v>
      </c>
      <c r="G24" s="11">
        <v>0</v>
      </c>
      <c r="H24" s="12">
        <v>0</v>
      </c>
      <c r="I24" s="12">
        <v>0</v>
      </c>
      <c r="J24" s="12">
        <v>0</v>
      </c>
      <c r="K24" s="12">
        <v>0</v>
      </c>
      <c r="L24" s="13">
        <v>321293.07</v>
      </c>
      <c r="M24"/>
      <c r="N24"/>
    </row>
    <row r="25" spans="1:14" ht="18.600000000000001" customHeight="1" x14ac:dyDescent="0.3">
      <c r="A25" s="9">
        <v>24</v>
      </c>
      <c r="B25" s="19">
        <v>45079.530868055554</v>
      </c>
      <c r="C25" s="11" t="s">
        <v>420</v>
      </c>
      <c r="D25" s="12">
        <v>321293.07</v>
      </c>
      <c r="E25" s="12">
        <v>0</v>
      </c>
      <c r="F25" s="11">
        <v>418.8</v>
      </c>
      <c r="G25" s="11">
        <v>0</v>
      </c>
      <c r="H25" s="12">
        <v>71984.12</v>
      </c>
      <c r="I25" s="12">
        <v>25194.44</v>
      </c>
      <c r="J25" s="12">
        <v>972</v>
      </c>
      <c r="K25" s="12">
        <v>98150.56</v>
      </c>
      <c r="L25" s="13">
        <v>223142.51</v>
      </c>
      <c r="M25"/>
      <c r="N25"/>
    </row>
    <row r="26" spans="1:14" ht="18.600000000000001" customHeight="1" x14ac:dyDescent="0.3">
      <c r="A26" s="9">
        <v>25</v>
      </c>
      <c r="B26" s="19">
        <v>45079.531608796293</v>
      </c>
      <c r="C26" s="11" t="s">
        <v>421</v>
      </c>
      <c r="D26" s="12">
        <v>223142.51</v>
      </c>
      <c r="E26" s="12">
        <v>0</v>
      </c>
      <c r="F26" s="11">
        <v>0</v>
      </c>
      <c r="G26" s="11">
        <v>102.02</v>
      </c>
      <c r="H26" s="12">
        <v>99411.42</v>
      </c>
      <c r="I26" s="12">
        <v>34794</v>
      </c>
      <c r="J26" s="12">
        <v>1342</v>
      </c>
      <c r="K26" s="12">
        <v>135547.42000000001</v>
      </c>
      <c r="L26" s="13">
        <v>87595.09</v>
      </c>
      <c r="M26"/>
      <c r="N26"/>
    </row>
    <row r="27" spans="1:14" ht="18.600000000000001" customHeight="1" x14ac:dyDescent="0.3">
      <c r="A27" s="9">
        <v>26</v>
      </c>
      <c r="B27" s="19">
        <v>45083.819444444445</v>
      </c>
      <c r="C27" s="11" t="s">
        <v>422</v>
      </c>
      <c r="D27" s="12">
        <v>87595.09</v>
      </c>
      <c r="E27" s="12">
        <v>0</v>
      </c>
      <c r="F27" s="11">
        <v>383.4</v>
      </c>
      <c r="G27" s="11">
        <v>0</v>
      </c>
      <c r="H27" s="12">
        <v>63254.080000000002</v>
      </c>
      <c r="I27" s="12">
        <v>22139.02</v>
      </c>
      <c r="J27" s="12">
        <v>854</v>
      </c>
      <c r="K27" s="12">
        <v>86247.1</v>
      </c>
      <c r="L27" s="13">
        <v>1347.99</v>
      </c>
      <c r="M27"/>
      <c r="N27"/>
    </row>
    <row r="28" spans="1:14" ht="18.600000000000001" customHeight="1" x14ac:dyDescent="0.3">
      <c r="A28" s="9">
        <v>27</v>
      </c>
      <c r="B28" s="19">
        <v>45089.46056712963</v>
      </c>
      <c r="C28" s="11" t="s">
        <v>423</v>
      </c>
      <c r="D28" s="12">
        <v>1347.99</v>
      </c>
      <c r="E28" s="12">
        <v>150000</v>
      </c>
      <c r="F28" s="11">
        <v>0</v>
      </c>
      <c r="G28" s="11">
        <v>0</v>
      </c>
      <c r="H28" s="12">
        <v>0</v>
      </c>
      <c r="I28" s="12">
        <v>0</v>
      </c>
      <c r="J28" s="12">
        <v>0</v>
      </c>
      <c r="K28" s="12">
        <v>0</v>
      </c>
      <c r="L28" s="13">
        <v>151347.99</v>
      </c>
      <c r="M28"/>
      <c r="N28"/>
    </row>
    <row r="29" spans="1:14" ht="18.600000000000001" customHeight="1" x14ac:dyDescent="0.3">
      <c r="A29" s="9">
        <v>28</v>
      </c>
      <c r="B29" s="19">
        <v>45089.726180555554</v>
      </c>
      <c r="C29" s="11" t="s">
        <v>424</v>
      </c>
      <c r="D29" s="12">
        <v>151347.99</v>
      </c>
      <c r="E29" s="12">
        <v>0</v>
      </c>
      <c r="F29" s="11">
        <v>583.79999999999995</v>
      </c>
      <c r="G29" s="11">
        <v>0</v>
      </c>
      <c r="H29" s="12">
        <v>94920.71</v>
      </c>
      <c r="I29" s="12">
        <v>33222.26</v>
      </c>
      <c r="J29" s="12">
        <v>1281</v>
      </c>
      <c r="K29" s="12">
        <v>129423.97</v>
      </c>
      <c r="L29" s="13">
        <v>21924.02</v>
      </c>
      <c r="M29"/>
      <c r="N29"/>
    </row>
    <row r="30" spans="1:14" ht="18.600000000000001" customHeight="1" x14ac:dyDescent="0.3">
      <c r="A30" s="9">
        <v>29</v>
      </c>
      <c r="B30" s="19">
        <v>45094.381724537037</v>
      </c>
      <c r="C30" s="11" t="s">
        <v>425</v>
      </c>
      <c r="D30" s="12">
        <v>21924.02</v>
      </c>
      <c r="E30" s="12">
        <v>340000</v>
      </c>
      <c r="F30" s="11">
        <v>0</v>
      </c>
      <c r="G30" s="11">
        <v>0</v>
      </c>
      <c r="H30" s="12">
        <v>0</v>
      </c>
      <c r="I30" s="12">
        <v>0</v>
      </c>
      <c r="J30" s="12">
        <v>0</v>
      </c>
      <c r="K30" s="12">
        <v>0</v>
      </c>
      <c r="L30" s="13">
        <v>361924.02</v>
      </c>
      <c r="M30"/>
      <c r="N30"/>
    </row>
    <row r="31" spans="1:14" ht="18.600000000000001" customHeight="1" x14ac:dyDescent="0.3">
      <c r="A31" s="9">
        <v>30</v>
      </c>
      <c r="B31" s="19">
        <v>45094.522719907407</v>
      </c>
      <c r="C31" s="11" t="s">
        <v>426</v>
      </c>
      <c r="D31" s="12">
        <v>361924.02</v>
      </c>
      <c r="E31" s="12">
        <v>80000</v>
      </c>
      <c r="F31" s="11">
        <v>0</v>
      </c>
      <c r="G31" s="11">
        <v>0</v>
      </c>
      <c r="H31" s="12">
        <v>0</v>
      </c>
      <c r="I31" s="12">
        <v>0</v>
      </c>
      <c r="J31" s="12">
        <v>0</v>
      </c>
      <c r="K31" s="12">
        <v>0</v>
      </c>
      <c r="L31" s="13">
        <v>441924.02</v>
      </c>
      <c r="M31"/>
      <c r="N31"/>
    </row>
    <row r="32" spans="1:14" ht="18.600000000000001" customHeight="1" x14ac:dyDescent="0.3">
      <c r="A32" s="9">
        <v>31</v>
      </c>
      <c r="B32" s="19">
        <v>45094.952592592592</v>
      </c>
      <c r="C32" s="11" t="s">
        <v>427</v>
      </c>
      <c r="D32" s="12">
        <v>441924.02</v>
      </c>
      <c r="E32" s="12">
        <v>0</v>
      </c>
      <c r="F32" s="11">
        <v>0</v>
      </c>
      <c r="G32" s="11">
        <v>248.4</v>
      </c>
      <c r="H32" s="12">
        <v>215763.31</v>
      </c>
      <c r="I32" s="12">
        <v>75517.16</v>
      </c>
      <c r="J32" s="12">
        <v>2913</v>
      </c>
      <c r="K32" s="12">
        <v>294193.46999999997</v>
      </c>
      <c r="L32" s="13">
        <v>147730.54999999999</v>
      </c>
      <c r="M32"/>
      <c r="N32"/>
    </row>
    <row r="33" spans="1:14" ht="18.600000000000001" customHeight="1" x14ac:dyDescent="0.3">
      <c r="A33" s="9">
        <v>32</v>
      </c>
      <c r="B33" s="19">
        <v>45094.9528587963</v>
      </c>
      <c r="C33" s="11" t="s">
        <v>428</v>
      </c>
      <c r="D33" s="12">
        <v>147730.54999999999</v>
      </c>
      <c r="E33" s="12">
        <v>0</v>
      </c>
      <c r="F33" s="11">
        <v>336.6</v>
      </c>
      <c r="G33" s="11">
        <v>0</v>
      </c>
      <c r="H33" s="12">
        <v>62063.56</v>
      </c>
      <c r="I33" s="12">
        <v>21722.22</v>
      </c>
      <c r="J33" s="12">
        <v>838</v>
      </c>
      <c r="K33" s="12">
        <v>84623.78</v>
      </c>
      <c r="L33" s="13">
        <v>63106.77</v>
      </c>
      <c r="M33"/>
      <c r="N33"/>
    </row>
    <row r="34" spans="1:14" ht="18.600000000000001" customHeight="1" x14ac:dyDescent="0.3">
      <c r="A34" s="9">
        <v>33</v>
      </c>
      <c r="B34" s="19">
        <v>45096.432719907411</v>
      </c>
      <c r="C34" s="11" t="s">
        <v>429</v>
      </c>
      <c r="D34" s="12">
        <v>63106.77</v>
      </c>
      <c r="E34" s="12">
        <v>120000</v>
      </c>
      <c r="F34" s="11">
        <v>0</v>
      </c>
      <c r="G34" s="11">
        <v>0</v>
      </c>
      <c r="H34" s="12">
        <v>0</v>
      </c>
      <c r="I34" s="12">
        <v>0</v>
      </c>
      <c r="J34" s="12">
        <v>0</v>
      </c>
      <c r="K34" s="12">
        <v>0</v>
      </c>
      <c r="L34" s="13">
        <v>183106.77</v>
      </c>
      <c r="M34"/>
      <c r="N34"/>
    </row>
    <row r="35" spans="1:14" ht="18.600000000000001" customHeight="1" x14ac:dyDescent="0.3">
      <c r="A35" s="9">
        <v>34</v>
      </c>
      <c r="B35" s="19">
        <v>45096.902256944442</v>
      </c>
      <c r="C35" s="11" t="s">
        <v>430</v>
      </c>
      <c r="D35" s="12">
        <v>183106.77</v>
      </c>
      <c r="E35" s="12">
        <v>0</v>
      </c>
      <c r="F35" s="11">
        <v>475.8</v>
      </c>
      <c r="G35" s="11">
        <v>0</v>
      </c>
      <c r="H35" s="12">
        <v>73016</v>
      </c>
      <c r="I35" s="12">
        <v>25555.64</v>
      </c>
      <c r="J35" s="12">
        <v>986</v>
      </c>
      <c r="K35" s="12">
        <v>99557.64</v>
      </c>
      <c r="L35" s="13">
        <v>83549.13</v>
      </c>
      <c r="M35"/>
      <c r="N35"/>
    </row>
    <row r="36" spans="1:14" ht="18.600000000000001" customHeight="1" x14ac:dyDescent="0.3">
      <c r="A36" s="9">
        <v>35</v>
      </c>
      <c r="B36" s="19">
        <v>45099.461192129631</v>
      </c>
      <c r="C36" s="11" t="s">
        <v>431</v>
      </c>
      <c r="D36" s="12">
        <v>83549.13</v>
      </c>
      <c r="E36" s="12">
        <v>100000</v>
      </c>
      <c r="F36" s="11">
        <v>0</v>
      </c>
      <c r="G36" s="11">
        <v>0</v>
      </c>
      <c r="H36" s="12">
        <v>0</v>
      </c>
      <c r="I36" s="12">
        <v>0</v>
      </c>
      <c r="J36" s="12">
        <v>0</v>
      </c>
      <c r="K36" s="12">
        <v>0</v>
      </c>
      <c r="L36" s="13">
        <v>183549.13</v>
      </c>
      <c r="M36"/>
      <c r="N36"/>
    </row>
    <row r="37" spans="1:14" ht="18.600000000000001" customHeight="1" x14ac:dyDescent="0.3">
      <c r="A37" s="9">
        <v>36</v>
      </c>
      <c r="B37" s="19">
        <v>45099.718344907407</v>
      </c>
      <c r="C37" s="11" t="s">
        <v>432</v>
      </c>
      <c r="D37" s="12">
        <v>183549.13</v>
      </c>
      <c r="E37" s="12">
        <v>0</v>
      </c>
      <c r="F37" s="11">
        <v>774</v>
      </c>
      <c r="G37" s="11">
        <v>0</v>
      </c>
      <c r="H37" s="12">
        <v>120952.59</v>
      </c>
      <c r="I37" s="12">
        <v>42333.56</v>
      </c>
      <c r="J37" s="12">
        <v>1633</v>
      </c>
      <c r="K37" s="12">
        <v>164919.15</v>
      </c>
      <c r="L37" s="13">
        <v>18629.98</v>
      </c>
      <c r="M37"/>
      <c r="N37"/>
    </row>
    <row r="38" spans="1:14" ht="18.600000000000001" customHeight="1" x14ac:dyDescent="0.3">
      <c r="A38" s="9">
        <v>37</v>
      </c>
      <c r="B38" s="19">
        <v>45101.492766203701</v>
      </c>
      <c r="C38" s="11" t="s">
        <v>433</v>
      </c>
      <c r="D38" s="12">
        <v>18629.98</v>
      </c>
      <c r="E38" s="12">
        <v>202000</v>
      </c>
      <c r="F38" s="11">
        <v>0</v>
      </c>
      <c r="G38" s="11">
        <v>0</v>
      </c>
      <c r="H38" s="12">
        <v>0</v>
      </c>
      <c r="I38" s="12">
        <v>0</v>
      </c>
      <c r="J38" s="12">
        <v>0</v>
      </c>
      <c r="K38" s="12">
        <v>0</v>
      </c>
      <c r="L38" s="13">
        <v>220629.98</v>
      </c>
      <c r="M38"/>
      <c r="N38"/>
    </row>
    <row r="39" spans="1:14" ht="18.600000000000001" customHeight="1" x14ac:dyDescent="0.3">
      <c r="A39" s="9">
        <v>38</v>
      </c>
      <c r="B39" s="19">
        <v>45101.78056712963</v>
      </c>
      <c r="C39" s="11" t="s">
        <v>434</v>
      </c>
      <c r="D39" s="12">
        <v>220629.98</v>
      </c>
      <c r="E39" s="12">
        <v>0</v>
      </c>
      <c r="F39" s="11">
        <v>492</v>
      </c>
      <c r="G39" s="11">
        <v>0</v>
      </c>
      <c r="H39" s="12">
        <v>76031.92</v>
      </c>
      <c r="I39" s="12">
        <v>26611.24</v>
      </c>
      <c r="J39" s="12">
        <v>1026</v>
      </c>
      <c r="K39" s="12">
        <v>103669.16</v>
      </c>
      <c r="L39" s="13">
        <v>116960.82</v>
      </c>
      <c r="M39"/>
      <c r="N39"/>
    </row>
    <row r="40" spans="1:14" ht="18.600000000000001" customHeight="1" x14ac:dyDescent="0.3">
      <c r="A40" s="9">
        <v>39</v>
      </c>
      <c r="B40" s="19">
        <v>45101.781412037039</v>
      </c>
      <c r="C40" s="11" t="s">
        <v>435</v>
      </c>
      <c r="D40" s="12">
        <v>116960.82</v>
      </c>
      <c r="E40" s="12">
        <v>0</v>
      </c>
      <c r="F40" s="11">
        <v>0</v>
      </c>
      <c r="G40" s="11">
        <v>86.64</v>
      </c>
      <c r="H40" s="12">
        <v>85142.9</v>
      </c>
      <c r="I40" s="12">
        <v>29800.01</v>
      </c>
      <c r="J40" s="12">
        <v>1149</v>
      </c>
      <c r="K40" s="12">
        <v>116091.91</v>
      </c>
      <c r="L40" s="13">
        <v>868.91</v>
      </c>
      <c r="M40"/>
      <c r="N40"/>
    </row>
    <row r="41" spans="1:14" ht="18.600000000000001" customHeight="1" x14ac:dyDescent="0.3">
      <c r="A41" s="9">
        <v>40</v>
      </c>
      <c r="B41" s="19">
        <v>45106.466979166667</v>
      </c>
      <c r="C41" s="11" t="s">
        <v>436</v>
      </c>
      <c r="D41" s="12">
        <v>868.91</v>
      </c>
      <c r="E41" s="12">
        <v>350000</v>
      </c>
      <c r="F41" s="11">
        <v>0</v>
      </c>
      <c r="G41" s="11">
        <v>0</v>
      </c>
      <c r="H41" s="12">
        <v>0</v>
      </c>
      <c r="I41" s="12">
        <v>0</v>
      </c>
      <c r="J41" s="12">
        <v>0</v>
      </c>
      <c r="K41" s="12">
        <v>0</v>
      </c>
      <c r="L41" s="13">
        <v>350868.91</v>
      </c>
      <c r="M41"/>
      <c r="N41"/>
    </row>
    <row r="42" spans="1:14" ht="18.600000000000001" customHeight="1" x14ac:dyDescent="0.3">
      <c r="A42" s="9">
        <v>41</v>
      </c>
      <c r="B42" s="19">
        <v>45106.728449074071</v>
      </c>
      <c r="C42" s="11" t="s">
        <v>437</v>
      </c>
      <c r="D42" s="12">
        <v>350868.91</v>
      </c>
      <c r="E42" s="12">
        <v>0</v>
      </c>
      <c r="F42" s="11">
        <v>0</v>
      </c>
      <c r="G42" s="11">
        <v>256.93</v>
      </c>
      <c r="H42" s="12">
        <v>257010.63</v>
      </c>
      <c r="I42" s="12">
        <v>89953.72</v>
      </c>
      <c r="J42" s="12">
        <v>3470</v>
      </c>
      <c r="K42" s="12">
        <v>350434.35</v>
      </c>
      <c r="L42" s="13">
        <v>434.56</v>
      </c>
      <c r="M42"/>
      <c r="N42"/>
    </row>
    <row r="43" spans="1:14" ht="18.600000000000001" customHeight="1" x14ac:dyDescent="0.3">
      <c r="A43" s="9">
        <v>42</v>
      </c>
      <c r="B43" s="19">
        <v>45111.491631944446</v>
      </c>
      <c r="C43" s="11" t="s">
        <v>438</v>
      </c>
      <c r="D43" s="12">
        <v>434.56</v>
      </c>
      <c r="E43" s="12">
        <v>320000</v>
      </c>
      <c r="F43" s="11">
        <v>0</v>
      </c>
      <c r="G43" s="11">
        <v>0</v>
      </c>
      <c r="H43" s="12">
        <v>0</v>
      </c>
      <c r="I43" s="12">
        <v>0</v>
      </c>
      <c r="J43" s="12">
        <v>0</v>
      </c>
      <c r="K43" s="12">
        <v>0</v>
      </c>
      <c r="L43" s="13">
        <v>320434.56</v>
      </c>
      <c r="M43"/>
      <c r="N43"/>
    </row>
    <row r="44" spans="1:14" ht="18.600000000000001" customHeight="1" x14ac:dyDescent="0.3">
      <c r="A44" s="9">
        <v>43</v>
      </c>
      <c r="B44" s="19">
        <v>45111.735046296293</v>
      </c>
      <c r="C44" s="11" t="s">
        <v>439</v>
      </c>
      <c r="D44" s="12">
        <v>320434.56</v>
      </c>
      <c r="E44" s="12">
        <v>0</v>
      </c>
      <c r="F44" s="11">
        <v>0</v>
      </c>
      <c r="G44" s="11">
        <v>106.38</v>
      </c>
      <c r="H44" s="12">
        <v>101269.85</v>
      </c>
      <c r="I44" s="12">
        <v>35444.449999999997</v>
      </c>
      <c r="J44" s="12">
        <v>1367</v>
      </c>
      <c r="K44" s="12">
        <v>138081.29999999999</v>
      </c>
      <c r="L44" s="13">
        <v>182353.26</v>
      </c>
      <c r="M44"/>
      <c r="N44"/>
    </row>
    <row r="45" spans="1:14" ht="18.600000000000001" customHeight="1" x14ac:dyDescent="0.3">
      <c r="A45" s="9">
        <v>44</v>
      </c>
      <c r="B45" s="19">
        <v>45111.736504629633</v>
      </c>
      <c r="C45" s="11" t="s">
        <v>440</v>
      </c>
      <c r="D45" s="12">
        <v>182353.26</v>
      </c>
      <c r="E45" s="12">
        <v>0</v>
      </c>
      <c r="F45" s="11">
        <v>791.4</v>
      </c>
      <c r="G45" s="11">
        <v>0</v>
      </c>
      <c r="H45" s="12">
        <v>133492.13</v>
      </c>
      <c r="I45" s="12">
        <v>46722.18</v>
      </c>
      <c r="J45" s="12">
        <v>1802</v>
      </c>
      <c r="K45" s="12">
        <v>182016.31</v>
      </c>
      <c r="L45" s="13">
        <v>336.95</v>
      </c>
      <c r="M45"/>
      <c r="N45"/>
    </row>
    <row r="46" spans="1:14" ht="18.600000000000001" customHeight="1" x14ac:dyDescent="0.3">
      <c r="A46" s="9">
        <v>45</v>
      </c>
      <c r="B46" s="19">
        <v>45120.497824074075</v>
      </c>
      <c r="C46" s="11" t="s">
        <v>441</v>
      </c>
      <c r="D46" s="12">
        <v>336.95</v>
      </c>
      <c r="E46" s="12">
        <v>275000</v>
      </c>
      <c r="F46" s="11">
        <v>0</v>
      </c>
      <c r="G46" s="11">
        <v>0</v>
      </c>
      <c r="H46" s="12">
        <v>0</v>
      </c>
      <c r="I46" s="12">
        <v>0</v>
      </c>
      <c r="J46" s="12">
        <v>0</v>
      </c>
      <c r="K46" s="12">
        <v>0</v>
      </c>
      <c r="L46" s="13">
        <v>275336.95</v>
      </c>
      <c r="M46"/>
      <c r="N46"/>
    </row>
    <row r="47" spans="1:14" ht="18.600000000000001" customHeight="1" x14ac:dyDescent="0.3">
      <c r="A47" s="9">
        <v>46</v>
      </c>
      <c r="B47" s="19">
        <v>45121.354618055557</v>
      </c>
      <c r="C47" s="11" t="s">
        <v>442</v>
      </c>
      <c r="D47" s="12">
        <v>275336.95</v>
      </c>
      <c r="E47" s="12">
        <v>74000</v>
      </c>
      <c r="F47" s="11">
        <v>0</v>
      </c>
      <c r="G47" s="11">
        <v>0</v>
      </c>
      <c r="H47" s="12">
        <v>0</v>
      </c>
      <c r="I47" s="12">
        <v>0</v>
      </c>
      <c r="J47" s="12">
        <v>0</v>
      </c>
      <c r="K47" s="12">
        <v>0</v>
      </c>
      <c r="L47" s="13">
        <v>349336.95</v>
      </c>
      <c r="M47"/>
      <c r="N47"/>
    </row>
    <row r="48" spans="1:14" ht="18.600000000000001" customHeight="1" x14ac:dyDescent="0.3">
      <c r="A48" s="9">
        <v>47</v>
      </c>
      <c r="B48" s="19">
        <v>45121.500694444447</v>
      </c>
      <c r="C48" s="11" t="s">
        <v>443</v>
      </c>
      <c r="D48" s="12">
        <v>349336.95</v>
      </c>
      <c r="E48" s="12">
        <v>0</v>
      </c>
      <c r="F48" s="11">
        <v>231.6</v>
      </c>
      <c r="G48" s="11">
        <v>0</v>
      </c>
      <c r="H48" s="12">
        <v>40317.480000000003</v>
      </c>
      <c r="I48" s="12">
        <v>14111.1</v>
      </c>
      <c r="J48" s="12">
        <v>544</v>
      </c>
      <c r="K48" s="12">
        <v>54972.58</v>
      </c>
      <c r="L48" s="13">
        <v>294364.37</v>
      </c>
      <c r="M48"/>
      <c r="N48"/>
    </row>
    <row r="49" spans="1:14" ht="18.600000000000001" customHeight="1" x14ac:dyDescent="0.3">
      <c r="A49" s="9">
        <v>48</v>
      </c>
      <c r="B49" s="19">
        <v>45121.501967592594</v>
      </c>
      <c r="C49" s="11" t="s">
        <v>444</v>
      </c>
      <c r="D49" s="12">
        <v>294364.37</v>
      </c>
      <c r="E49" s="12">
        <v>0</v>
      </c>
      <c r="F49" s="11">
        <v>0</v>
      </c>
      <c r="G49" s="11">
        <v>245.74</v>
      </c>
      <c r="H49" s="12">
        <v>215251.77</v>
      </c>
      <c r="I49" s="12">
        <v>75338.12</v>
      </c>
      <c r="J49" s="12">
        <v>2906</v>
      </c>
      <c r="K49" s="12">
        <v>293495.89</v>
      </c>
      <c r="L49" s="13">
        <v>868.48</v>
      </c>
      <c r="M49"/>
      <c r="N49"/>
    </row>
    <row r="50" spans="1:14" ht="18.600000000000001" customHeight="1" x14ac:dyDescent="0.3">
      <c r="A50" s="9">
        <v>49</v>
      </c>
      <c r="B50" s="19">
        <v>45134.455370370371</v>
      </c>
      <c r="C50" s="11" t="s">
        <v>445</v>
      </c>
      <c r="D50" s="12">
        <v>868.48</v>
      </c>
      <c r="E50" s="12">
        <v>330000</v>
      </c>
      <c r="F50" s="11">
        <v>0</v>
      </c>
      <c r="G50" s="11">
        <v>0</v>
      </c>
      <c r="H50" s="12">
        <v>0</v>
      </c>
      <c r="I50" s="12">
        <v>0</v>
      </c>
      <c r="J50" s="12">
        <v>0</v>
      </c>
      <c r="K50" s="12">
        <v>0</v>
      </c>
      <c r="L50" s="13">
        <v>330868.47999999998</v>
      </c>
      <c r="M50"/>
      <c r="N50"/>
    </row>
    <row r="51" spans="1:14" ht="18.600000000000001" customHeight="1" x14ac:dyDescent="0.3">
      <c r="A51" s="9">
        <v>50</v>
      </c>
      <c r="B51" s="19">
        <v>45134.735300925924</v>
      </c>
      <c r="C51" s="11" t="s">
        <v>446</v>
      </c>
      <c r="D51" s="12">
        <v>330868.47999999998</v>
      </c>
      <c r="E51" s="12">
        <v>0</v>
      </c>
      <c r="F51" s="11">
        <v>0</v>
      </c>
      <c r="G51" s="11">
        <v>259.25</v>
      </c>
      <c r="H51" s="12">
        <v>242364.07</v>
      </c>
      <c r="I51" s="12">
        <v>84827.43</v>
      </c>
      <c r="J51" s="12">
        <v>3272</v>
      </c>
      <c r="K51" s="12">
        <v>330463.5</v>
      </c>
      <c r="L51" s="13">
        <v>404.98</v>
      </c>
      <c r="M51"/>
      <c r="N51"/>
    </row>
    <row r="52" spans="1:14" ht="18.600000000000001" customHeight="1" x14ac:dyDescent="0.3">
      <c r="A52" s="9">
        <v>51</v>
      </c>
      <c r="B52" s="19">
        <v>45145.460868055554</v>
      </c>
      <c r="C52" s="11" t="s">
        <v>447</v>
      </c>
      <c r="D52" s="12">
        <v>404.98</v>
      </c>
      <c r="E52" s="12">
        <v>230000</v>
      </c>
      <c r="F52" s="11">
        <v>0</v>
      </c>
      <c r="G52" s="11">
        <v>0</v>
      </c>
      <c r="H52" s="12">
        <v>0</v>
      </c>
      <c r="I52" s="12">
        <v>0</v>
      </c>
      <c r="J52" s="12">
        <v>0</v>
      </c>
      <c r="K52" s="12">
        <v>0</v>
      </c>
      <c r="L52" s="13">
        <v>230404.98</v>
      </c>
      <c r="M52"/>
      <c r="N52"/>
    </row>
    <row r="53" spans="1:14" ht="18.600000000000001" customHeight="1" x14ac:dyDescent="0.3">
      <c r="A53" s="9">
        <v>52</v>
      </c>
      <c r="B53" s="19">
        <v>45145.687939814816</v>
      </c>
      <c r="C53" s="11" t="s">
        <v>448</v>
      </c>
      <c r="D53" s="12">
        <v>230404.98</v>
      </c>
      <c r="E53" s="12">
        <v>0</v>
      </c>
      <c r="F53" s="11">
        <v>0</v>
      </c>
      <c r="G53" s="11">
        <v>108.13</v>
      </c>
      <c r="H53" s="12">
        <v>104284.44</v>
      </c>
      <c r="I53" s="12">
        <v>36499.550000000003</v>
      </c>
      <c r="J53" s="12">
        <v>1408</v>
      </c>
      <c r="K53" s="12">
        <v>142191.99</v>
      </c>
      <c r="L53" s="13">
        <v>88212.99</v>
      </c>
      <c r="M53"/>
      <c r="N53"/>
    </row>
    <row r="54" spans="1:14" ht="18.600000000000001" customHeight="1" x14ac:dyDescent="0.3">
      <c r="A54" s="9">
        <v>53</v>
      </c>
      <c r="B54" s="19">
        <v>45145.688622685186</v>
      </c>
      <c r="C54" s="11" t="s">
        <v>449</v>
      </c>
      <c r="D54" s="12">
        <v>88212.99</v>
      </c>
      <c r="E54" s="12">
        <v>0</v>
      </c>
      <c r="F54" s="11">
        <v>417</v>
      </c>
      <c r="G54" s="11">
        <v>0</v>
      </c>
      <c r="H54" s="12">
        <v>64603.29</v>
      </c>
      <c r="I54" s="12">
        <v>22611.15</v>
      </c>
      <c r="J54" s="12">
        <v>872</v>
      </c>
      <c r="K54" s="12">
        <v>88086.44</v>
      </c>
      <c r="L54" s="13">
        <v>126.55</v>
      </c>
      <c r="M54"/>
      <c r="N54"/>
    </row>
    <row r="55" spans="1:14" ht="18.600000000000001" customHeight="1" x14ac:dyDescent="0.3">
      <c r="A55" s="9">
        <v>54</v>
      </c>
      <c r="B55" s="19">
        <v>45155.457777777781</v>
      </c>
      <c r="C55" s="11" t="s">
        <v>450</v>
      </c>
      <c r="D55" s="12">
        <v>126.55</v>
      </c>
      <c r="E55" s="12">
        <v>345000</v>
      </c>
      <c r="F55" s="11">
        <v>0</v>
      </c>
      <c r="G55" s="11">
        <v>0</v>
      </c>
      <c r="H55" s="12">
        <v>0</v>
      </c>
      <c r="I55" s="12">
        <v>0</v>
      </c>
      <c r="J55" s="12">
        <v>0</v>
      </c>
      <c r="K55" s="12">
        <v>0</v>
      </c>
      <c r="L55" s="13">
        <v>345126.55</v>
      </c>
      <c r="M55"/>
      <c r="N55"/>
    </row>
    <row r="56" spans="1:14" ht="18.600000000000001" customHeight="1" x14ac:dyDescent="0.3">
      <c r="A56" s="9">
        <v>55</v>
      </c>
      <c r="B56" s="19">
        <v>45155.733483796299</v>
      </c>
      <c r="C56" s="11" t="s">
        <v>451</v>
      </c>
      <c r="D56" s="12">
        <v>345126.55</v>
      </c>
      <c r="E56" s="12">
        <v>0</v>
      </c>
      <c r="F56" s="11">
        <v>0</v>
      </c>
      <c r="G56" s="11">
        <v>268.10000000000002</v>
      </c>
      <c r="H56" s="12">
        <v>228424.1</v>
      </c>
      <c r="I56" s="12">
        <v>79948.350000000006</v>
      </c>
      <c r="J56" s="12">
        <v>3084</v>
      </c>
      <c r="K56" s="12">
        <v>311456.45</v>
      </c>
      <c r="L56" s="13">
        <v>33670.1</v>
      </c>
      <c r="M56"/>
      <c r="N56"/>
    </row>
    <row r="57" spans="1:14" ht="18.600000000000001" customHeight="1" x14ac:dyDescent="0.3">
      <c r="A57" s="9">
        <v>56</v>
      </c>
      <c r="B57" s="19">
        <v>45162.377881944441</v>
      </c>
      <c r="C57" s="11" t="s">
        <v>452</v>
      </c>
      <c r="D57" s="12">
        <v>33670.1</v>
      </c>
      <c r="E57" s="12">
        <v>255000</v>
      </c>
      <c r="F57" s="11">
        <v>0</v>
      </c>
      <c r="G57" s="11">
        <v>0</v>
      </c>
      <c r="H57" s="12">
        <v>0</v>
      </c>
      <c r="I57" s="12">
        <v>0</v>
      </c>
      <c r="J57" s="12">
        <v>0</v>
      </c>
      <c r="K57" s="12">
        <v>0</v>
      </c>
      <c r="L57" s="13">
        <v>288670.09999999998</v>
      </c>
      <c r="M57"/>
      <c r="N57"/>
    </row>
    <row r="58" spans="1:14" ht="18.600000000000001" customHeight="1" x14ac:dyDescent="0.3">
      <c r="A58" s="9">
        <v>57</v>
      </c>
      <c r="B58" s="19">
        <v>45162.545231481483</v>
      </c>
      <c r="C58" s="11" t="s">
        <v>453</v>
      </c>
      <c r="D58" s="12">
        <v>288670.09999999998</v>
      </c>
      <c r="E58" s="12">
        <v>0</v>
      </c>
      <c r="F58" s="11">
        <v>401.4</v>
      </c>
      <c r="G58" s="11">
        <v>0</v>
      </c>
      <c r="H58" s="12">
        <v>64841.279999999999</v>
      </c>
      <c r="I58" s="12">
        <v>22694.45</v>
      </c>
      <c r="J58" s="12">
        <v>875</v>
      </c>
      <c r="K58" s="12">
        <v>88410.73</v>
      </c>
      <c r="L58" s="13">
        <v>200259.37</v>
      </c>
      <c r="M58"/>
      <c r="N58"/>
    </row>
    <row r="59" spans="1:14" ht="18.600000000000001" customHeight="1" x14ac:dyDescent="0.3">
      <c r="A59" s="9">
        <v>58</v>
      </c>
      <c r="B59" s="19">
        <v>45162.546180555553</v>
      </c>
      <c r="C59" s="11" t="s">
        <v>454</v>
      </c>
      <c r="D59" s="12">
        <v>200259.37</v>
      </c>
      <c r="E59" s="12">
        <v>0</v>
      </c>
      <c r="F59" s="11">
        <v>0</v>
      </c>
      <c r="G59" s="11">
        <v>139.87</v>
      </c>
      <c r="H59" s="12">
        <v>145830.37</v>
      </c>
      <c r="I59" s="12">
        <v>51040.63</v>
      </c>
      <c r="J59" s="12">
        <v>1969</v>
      </c>
      <c r="K59" s="12">
        <v>198840</v>
      </c>
      <c r="L59" s="13">
        <v>1419.37</v>
      </c>
      <c r="M59"/>
      <c r="N59"/>
    </row>
    <row r="60" spans="1:14" ht="18.600000000000001" customHeight="1" x14ac:dyDescent="0.3">
      <c r="A60" s="9">
        <v>59</v>
      </c>
      <c r="B60" s="19">
        <v>45170.374884259261</v>
      </c>
      <c r="C60" s="11" t="s">
        <v>455</v>
      </c>
      <c r="D60" s="12">
        <v>1419.37</v>
      </c>
      <c r="E60" s="12">
        <v>300000</v>
      </c>
      <c r="F60" s="11">
        <v>0</v>
      </c>
      <c r="G60" s="11">
        <v>0</v>
      </c>
      <c r="H60" s="12">
        <v>0</v>
      </c>
      <c r="I60" s="12">
        <v>0</v>
      </c>
      <c r="J60" s="12">
        <v>0</v>
      </c>
      <c r="K60" s="12">
        <v>0</v>
      </c>
      <c r="L60" s="13">
        <v>301419.37</v>
      </c>
      <c r="M60"/>
      <c r="N60"/>
    </row>
    <row r="61" spans="1:14" ht="18.600000000000001" customHeight="1" x14ac:dyDescent="0.3">
      <c r="A61" s="9">
        <v>60</v>
      </c>
      <c r="B61" s="19">
        <v>45170.682847222219</v>
      </c>
      <c r="C61" s="11" t="s">
        <v>456</v>
      </c>
      <c r="D61" s="12">
        <v>301419.37</v>
      </c>
      <c r="E61" s="12">
        <v>0</v>
      </c>
      <c r="F61" s="11">
        <v>0</v>
      </c>
      <c r="G61" s="11">
        <v>214.4</v>
      </c>
      <c r="H61" s="12">
        <v>205162.19</v>
      </c>
      <c r="I61" s="12">
        <v>71806.77</v>
      </c>
      <c r="J61" s="12">
        <v>2770</v>
      </c>
      <c r="K61" s="12">
        <v>279738.96000000002</v>
      </c>
      <c r="L61" s="13">
        <v>21680.41</v>
      </c>
      <c r="M61"/>
      <c r="N61"/>
    </row>
    <row r="62" spans="1:14" ht="18.600000000000001" customHeight="1" x14ac:dyDescent="0.3">
      <c r="A62" s="9">
        <v>61</v>
      </c>
      <c r="B62" s="19">
        <v>45180.295497685183</v>
      </c>
      <c r="C62" s="11" t="s">
        <v>457</v>
      </c>
      <c r="D62" s="12">
        <v>21680.41</v>
      </c>
      <c r="E62" s="12">
        <v>310000</v>
      </c>
      <c r="F62" s="11">
        <v>0</v>
      </c>
      <c r="G62" s="11">
        <v>0</v>
      </c>
      <c r="H62" s="12">
        <v>0</v>
      </c>
      <c r="I62" s="12">
        <v>0</v>
      </c>
      <c r="J62" s="12">
        <v>0</v>
      </c>
      <c r="K62" s="12">
        <v>0</v>
      </c>
      <c r="L62" s="13">
        <v>331680.40999999997</v>
      </c>
      <c r="M62"/>
      <c r="N62"/>
    </row>
    <row r="63" spans="1:14" ht="18.600000000000001" customHeight="1" x14ac:dyDescent="0.3">
      <c r="A63" s="9">
        <v>62</v>
      </c>
      <c r="B63" s="19">
        <v>45180.637673611112</v>
      </c>
      <c r="C63" s="11" t="s">
        <v>458</v>
      </c>
      <c r="D63" s="12">
        <v>331680.40999999997</v>
      </c>
      <c r="E63" s="12">
        <v>0</v>
      </c>
      <c r="F63" s="11">
        <v>435.6</v>
      </c>
      <c r="G63" s="11">
        <v>0</v>
      </c>
      <c r="H63" s="12">
        <v>76031.73</v>
      </c>
      <c r="I63" s="12">
        <v>26611.11</v>
      </c>
      <c r="J63" s="12">
        <v>1026</v>
      </c>
      <c r="K63" s="12">
        <v>103668.84</v>
      </c>
      <c r="L63" s="13">
        <v>228011.57</v>
      </c>
      <c r="M63"/>
      <c r="N63"/>
    </row>
    <row r="64" spans="1:14" ht="18.600000000000001" customHeight="1" x14ac:dyDescent="0.3">
      <c r="A64" s="9">
        <v>63</v>
      </c>
      <c r="B64" s="19">
        <v>45180.638680555552</v>
      </c>
      <c r="C64" s="11" t="s">
        <v>459</v>
      </c>
      <c r="D64" s="12">
        <v>228011.57</v>
      </c>
      <c r="E64" s="12">
        <v>0</v>
      </c>
      <c r="F64" s="11">
        <v>0</v>
      </c>
      <c r="G64" s="11">
        <v>112.55</v>
      </c>
      <c r="H64" s="12">
        <v>115925.6</v>
      </c>
      <c r="I64" s="12">
        <v>40573.96</v>
      </c>
      <c r="J64" s="12">
        <v>1565</v>
      </c>
      <c r="K64" s="12">
        <v>158064.56</v>
      </c>
      <c r="L64" s="13">
        <v>69947.009999999995</v>
      </c>
      <c r="M64"/>
      <c r="N64"/>
    </row>
    <row r="65" spans="1:14" ht="18.600000000000001" customHeight="1" x14ac:dyDescent="0.3">
      <c r="A65" s="9">
        <v>64</v>
      </c>
      <c r="B65" s="19">
        <v>45185.491944444446</v>
      </c>
      <c r="C65" s="11" t="s">
        <v>460</v>
      </c>
      <c r="D65" s="12">
        <v>69947.009999999995</v>
      </c>
      <c r="E65" s="12">
        <v>0</v>
      </c>
      <c r="F65" s="11">
        <v>0</v>
      </c>
      <c r="G65" s="11">
        <v>75.25</v>
      </c>
      <c r="H65" s="12">
        <v>50276.24</v>
      </c>
      <c r="I65" s="12">
        <v>17596.68</v>
      </c>
      <c r="J65" s="12">
        <v>679</v>
      </c>
      <c r="K65" s="12">
        <v>68551.92</v>
      </c>
      <c r="L65" s="13">
        <v>1395.09</v>
      </c>
      <c r="M65"/>
      <c r="N65"/>
    </row>
    <row r="66" spans="1:14" ht="18.600000000000001" customHeight="1" x14ac:dyDescent="0.3">
      <c r="A66" s="9">
        <v>65</v>
      </c>
      <c r="B66" s="19">
        <v>45186.927453703705</v>
      </c>
      <c r="C66" s="11" t="s">
        <v>461</v>
      </c>
      <c r="D66" s="12">
        <v>1395.09</v>
      </c>
      <c r="E66" s="12">
        <v>150000</v>
      </c>
      <c r="F66" s="11">
        <v>0</v>
      </c>
      <c r="G66" s="11">
        <v>0</v>
      </c>
      <c r="H66" s="12">
        <v>0</v>
      </c>
      <c r="I66" s="12">
        <v>0</v>
      </c>
      <c r="J66" s="12">
        <v>0</v>
      </c>
      <c r="K66" s="12">
        <v>0</v>
      </c>
      <c r="L66" s="13">
        <v>151395.09</v>
      </c>
      <c r="M66"/>
      <c r="N66"/>
    </row>
    <row r="67" spans="1:14" ht="18.600000000000001" customHeight="1" x14ac:dyDescent="0.3">
      <c r="A67" s="9">
        <v>66</v>
      </c>
      <c r="B67" s="19">
        <v>45187.451168981483</v>
      </c>
      <c r="C67" s="11" t="s">
        <v>462</v>
      </c>
      <c r="D67" s="12">
        <v>151395.09</v>
      </c>
      <c r="E67" s="12">
        <v>0</v>
      </c>
      <c r="F67" s="11">
        <v>0</v>
      </c>
      <c r="G67" s="11">
        <v>107.62</v>
      </c>
      <c r="H67" s="12">
        <v>110288.39</v>
      </c>
      <c r="I67" s="12">
        <v>38600.93</v>
      </c>
      <c r="J67" s="12">
        <v>1489</v>
      </c>
      <c r="K67" s="12">
        <v>150378.32</v>
      </c>
      <c r="L67" s="13">
        <v>1016.77</v>
      </c>
      <c r="M67"/>
      <c r="N67"/>
    </row>
    <row r="68" spans="1:14" ht="18.600000000000001" customHeight="1" x14ac:dyDescent="0.3">
      <c r="A68" s="9">
        <v>67</v>
      </c>
      <c r="B68" s="19">
        <v>45197.289826388886</v>
      </c>
      <c r="C68" s="11" t="s">
        <v>463</v>
      </c>
      <c r="D68" s="12">
        <v>1016.77</v>
      </c>
      <c r="E68" s="12">
        <v>270000</v>
      </c>
      <c r="F68" s="11">
        <v>0</v>
      </c>
      <c r="G68" s="11">
        <v>0</v>
      </c>
      <c r="H68" s="12">
        <v>0</v>
      </c>
      <c r="I68" s="12">
        <v>0</v>
      </c>
      <c r="J68" s="12">
        <v>0</v>
      </c>
      <c r="K68" s="12">
        <v>0</v>
      </c>
      <c r="L68" s="13">
        <v>271016.77</v>
      </c>
      <c r="M68"/>
      <c r="N68"/>
    </row>
    <row r="69" spans="1:14" ht="18.600000000000001" customHeight="1" x14ac:dyDescent="0.3">
      <c r="A69" s="9">
        <v>68</v>
      </c>
      <c r="B69" s="19">
        <v>45197.384768518517</v>
      </c>
      <c r="C69" s="11" t="s">
        <v>464</v>
      </c>
      <c r="D69" s="12">
        <v>271016.77</v>
      </c>
      <c r="E69" s="12">
        <v>25000</v>
      </c>
      <c r="F69" s="11">
        <v>0</v>
      </c>
      <c r="G69" s="11">
        <v>0</v>
      </c>
      <c r="H69" s="12">
        <v>0</v>
      </c>
      <c r="I69" s="12">
        <v>0</v>
      </c>
      <c r="J69" s="12">
        <v>0</v>
      </c>
      <c r="K69" s="12">
        <v>0</v>
      </c>
      <c r="L69" s="13">
        <v>296016.77</v>
      </c>
      <c r="M69"/>
      <c r="N69"/>
    </row>
    <row r="70" spans="1:14" ht="18.600000000000001" customHeight="1" x14ac:dyDescent="0.3">
      <c r="A70" s="9">
        <v>69</v>
      </c>
      <c r="B70" s="19">
        <v>45197.550787037035</v>
      </c>
      <c r="C70" s="11" t="s">
        <v>465</v>
      </c>
      <c r="D70" s="12">
        <v>296016.77</v>
      </c>
      <c r="E70" s="12">
        <v>0</v>
      </c>
      <c r="F70" s="11">
        <v>0</v>
      </c>
      <c r="G70" s="11">
        <v>145.04</v>
      </c>
      <c r="H70" s="12">
        <v>131025.17</v>
      </c>
      <c r="I70" s="12">
        <v>45858.81</v>
      </c>
      <c r="J70" s="12">
        <v>1769</v>
      </c>
      <c r="K70" s="12">
        <v>178652.98</v>
      </c>
      <c r="L70" s="13">
        <v>117363.79</v>
      </c>
      <c r="M70"/>
      <c r="N70"/>
    </row>
    <row r="71" spans="1:14" ht="18.600000000000001" customHeight="1" x14ac:dyDescent="0.3">
      <c r="A71" s="9">
        <v>70</v>
      </c>
      <c r="B71" s="19">
        <v>45197.551134259258</v>
      </c>
      <c r="C71" s="11" t="s">
        <v>466</v>
      </c>
      <c r="D71" s="12">
        <v>117363.79</v>
      </c>
      <c r="E71" s="12">
        <v>0</v>
      </c>
      <c r="F71" s="11">
        <v>487.2</v>
      </c>
      <c r="G71" s="11">
        <v>0</v>
      </c>
      <c r="H71" s="12">
        <v>85476.18</v>
      </c>
      <c r="I71" s="12">
        <v>29916.66</v>
      </c>
      <c r="J71" s="12">
        <v>1154</v>
      </c>
      <c r="K71" s="12">
        <v>116546.84</v>
      </c>
      <c r="L71" s="13">
        <v>816.95</v>
      </c>
      <c r="M71"/>
      <c r="N71"/>
    </row>
    <row r="72" spans="1:14" ht="18.600000000000001" customHeight="1" x14ac:dyDescent="0.3">
      <c r="A72" s="9">
        <v>71</v>
      </c>
      <c r="B72" s="19">
        <v>45208.375578703701</v>
      </c>
      <c r="C72" s="11" t="s">
        <v>467</v>
      </c>
      <c r="D72" s="12">
        <v>816.95</v>
      </c>
      <c r="E72" s="12">
        <v>250000</v>
      </c>
      <c r="F72" s="11">
        <v>0</v>
      </c>
      <c r="G72" s="11">
        <v>0</v>
      </c>
      <c r="H72" s="12">
        <v>0</v>
      </c>
      <c r="I72" s="12">
        <v>0</v>
      </c>
      <c r="J72" s="12">
        <v>0</v>
      </c>
      <c r="K72" s="12">
        <v>0</v>
      </c>
      <c r="L72" s="13">
        <v>250816.95</v>
      </c>
      <c r="M72"/>
      <c r="N72"/>
    </row>
    <row r="73" spans="1:14" ht="18.600000000000001" customHeight="1" x14ac:dyDescent="0.3">
      <c r="A73" s="9">
        <v>72</v>
      </c>
      <c r="B73" s="19">
        <v>45208.545995370368</v>
      </c>
      <c r="C73" s="11" t="s">
        <v>468</v>
      </c>
      <c r="D73" s="12">
        <v>250816.95</v>
      </c>
      <c r="E73" s="12">
        <v>0</v>
      </c>
      <c r="F73" s="11">
        <v>0</v>
      </c>
      <c r="G73" s="11">
        <v>205.07</v>
      </c>
      <c r="H73" s="12">
        <v>182440.58</v>
      </c>
      <c r="I73" s="12">
        <v>63854.2</v>
      </c>
      <c r="J73" s="12">
        <v>2463</v>
      </c>
      <c r="K73" s="12">
        <v>248757.78</v>
      </c>
      <c r="L73" s="13">
        <v>2059.17</v>
      </c>
      <c r="M73"/>
      <c r="N73"/>
    </row>
    <row r="74" spans="1:14" ht="18.600000000000001" customHeight="1" x14ac:dyDescent="0.3">
      <c r="A74" s="9">
        <v>73</v>
      </c>
      <c r="B74" s="19">
        <v>45216.36341435185</v>
      </c>
      <c r="C74" s="11" t="s">
        <v>469</v>
      </c>
      <c r="D74" s="12">
        <v>2059.17</v>
      </c>
      <c r="E74" s="12">
        <v>195000</v>
      </c>
      <c r="F74" s="11">
        <v>0</v>
      </c>
      <c r="G74" s="11">
        <v>0</v>
      </c>
      <c r="H74" s="12">
        <v>0</v>
      </c>
      <c r="I74" s="12">
        <v>0</v>
      </c>
      <c r="J74" s="12">
        <v>0</v>
      </c>
      <c r="K74" s="12">
        <v>0</v>
      </c>
      <c r="L74" s="13">
        <v>197059.17</v>
      </c>
      <c r="M74"/>
      <c r="N74"/>
    </row>
    <row r="75" spans="1:14" ht="18.600000000000001" customHeight="1" x14ac:dyDescent="0.3">
      <c r="A75" s="9">
        <v>74</v>
      </c>
      <c r="B75" s="19">
        <v>45216.559386574074</v>
      </c>
      <c r="C75" s="11" t="s">
        <v>470</v>
      </c>
      <c r="D75" s="12">
        <v>197059.17</v>
      </c>
      <c r="E75" s="12">
        <v>0</v>
      </c>
      <c r="F75" s="11">
        <v>0</v>
      </c>
      <c r="G75" s="11">
        <v>83.67</v>
      </c>
      <c r="H75" s="12">
        <v>69850.649999999994</v>
      </c>
      <c r="I75" s="12">
        <v>24447.74</v>
      </c>
      <c r="J75" s="12">
        <v>943</v>
      </c>
      <c r="K75" s="12">
        <v>95241.39</v>
      </c>
      <c r="L75" s="13">
        <v>101817.78</v>
      </c>
      <c r="M75"/>
      <c r="N75"/>
    </row>
    <row r="76" spans="1:14" ht="18.600000000000001" customHeight="1" x14ac:dyDescent="0.3">
      <c r="A76" s="9">
        <v>75</v>
      </c>
      <c r="B76" s="19">
        <v>45216.602708333332</v>
      </c>
      <c r="C76" s="11" t="s">
        <v>471</v>
      </c>
      <c r="D76" s="12">
        <v>101817.78</v>
      </c>
      <c r="E76" s="12">
        <v>0</v>
      </c>
      <c r="F76" s="11">
        <v>411</v>
      </c>
      <c r="G76" s="11">
        <v>0</v>
      </c>
      <c r="H76" s="12">
        <v>74285.740000000005</v>
      </c>
      <c r="I76" s="12">
        <v>26000.01</v>
      </c>
      <c r="J76" s="12">
        <v>1003</v>
      </c>
      <c r="K76" s="12">
        <v>101288.75</v>
      </c>
      <c r="L76" s="13">
        <v>529.03</v>
      </c>
      <c r="M76"/>
      <c r="N76"/>
    </row>
    <row r="77" spans="1:14" ht="18.600000000000001" customHeight="1" x14ac:dyDescent="0.3">
      <c r="A77" s="9">
        <v>76</v>
      </c>
      <c r="B77" s="19">
        <v>45225.376273148147</v>
      </c>
      <c r="C77" s="11" t="s">
        <v>472</v>
      </c>
      <c r="D77" s="12">
        <v>529.03</v>
      </c>
      <c r="E77" s="12">
        <v>280000</v>
      </c>
      <c r="F77" s="11">
        <v>0</v>
      </c>
      <c r="G77" s="11">
        <v>0</v>
      </c>
      <c r="H77" s="12">
        <v>0</v>
      </c>
      <c r="I77" s="12">
        <v>0</v>
      </c>
      <c r="J77" s="12">
        <v>0</v>
      </c>
      <c r="K77" s="12">
        <v>0</v>
      </c>
      <c r="L77" s="13">
        <v>280529.03000000003</v>
      </c>
      <c r="M77"/>
      <c r="N77"/>
    </row>
    <row r="78" spans="1:14" ht="18.600000000000001" customHeight="1" x14ac:dyDescent="0.3">
      <c r="A78" s="9">
        <v>77</v>
      </c>
      <c r="B78" s="19">
        <v>45225.635567129626</v>
      </c>
      <c r="C78" s="11" t="s">
        <v>473</v>
      </c>
      <c r="D78" s="12">
        <v>280529.03000000003</v>
      </c>
      <c r="E78" s="12">
        <v>0</v>
      </c>
      <c r="F78" s="11">
        <v>0</v>
      </c>
      <c r="G78" s="11">
        <v>128.86000000000001</v>
      </c>
      <c r="H78" s="12">
        <v>124955.78</v>
      </c>
      <c r="I78" s="12">
        <v>43734.52</v>
      </c>
      <c r="J78" s="12">
        <v>1687</v>
      </c>
      <c r="K78" s="12">
        <v>170377.3</v>
      </c>
      <c r="L78" s="13">
        <v>110151.73</v>
      </c>
      <c r="M78"/>
      <c r="N78"/>
    </row>
    <row r="79" spans="1:14" ht="18.600000000000001" customHeight="1" x14ac:dyDescent="0.3">
      <c r="A79" s="9">
        <v>78</v>
      </c>
      <c r="B79" s="19">
        <v>45225.636180555557</v>
      </c>
      <c r="C79" s="11" t="s">
        <v>474</v>
      </c>
      <c r="D79" s="12">
        <v>110151.73</v>
      </c>
      <c r="E79" s="12">
        <v>0</v>
      </c>
      <c r="F79" s="11">
        <v>439.2</v>
      </c>
      <c r="G79" s="11">
        <v>0</v>
      </c>
      <c r="H79" s="12">
        <v>77619.08</v>
      </c>
      <c r="I79" s="12">
        <v>27166.68</v>
      </c>
      <c r="J79" s="12">
        <v>1048</v>
      </c>
      <c r="K79" s="12">
        <v>105833.76</v>
      </c>
      <c r="L79" s="13">
        <v>4317.97</v>
      </c>
      <c r="M79"/>
      <c r="N79"/>
    </row>
    <row r="80" spans="1:14" ht="18.600000000000001" customHeight="1" x14ac:dyDescent="0.3">
      <c r="A80" s="9">
        <v>79</v>
      </c>
      <c r="B80" s="19">
        <v>45239.447534722225</v>
      </c>
      <c r="C80" s="11" t="s">
        <v>475</v>
      </c>
      <c r="D80" s="12">
        <v>4317.97</v>
      </c>
      <c r="E80" s="12">
        <v>330000</v>
      </c>
      <c r="F80" s="11">
        <v>0</v>
      </c>
      <c r="G80" s="11">
        <v>0</v>
      </c>
      <c r="H80" s="12">
        <v>0</v>
      </c>
      <c r="I80" s="12">
        <v>0</v>
      </c>
      <c r="J80" s="12">
        <v>0</v>
      </c>
      <c r="K80" s="12">
        <v>0</v>
      </c>
      <c r="L80" s="13">
        <v>334317.96999999997</v>
      </c>
      <c r="M80"/>
      <c r="N80"/>
    </row>
    <row r="81" spans="1:14" ht="18.600000000000001" customHeight="1" x14ac:dyDescent="0.3">
      <c r="A81" s="9">
        <v>80</v>
      </c>
      <c r="B81" s="19">
        <v>45239.498495370368</v>
      </c>
      <c r="C81" s="11" t="s">
        <v>476</v>
      </c>
      <c r="D81" s="12">
        <v>334317.96999999997</v>
      </c>
      <c r="E81" s="12">
        <v>0</v>
      </c>
      <c r="F81" s="11">
        <v>0</v>
      </c>
      <c r="G81" s="11">
        <v>222.5</v>
      </c>
      <c r="H81" s="12">
        <v>209658.42</v>
      </c>
      <c r="I81" s="12">
        <v>73380.44</v>
      </c>
      <c r="J81" s="12">
        <v>2830</v>
      </c>
      <c r="K81" s="12">
        <v>285868.86</v>
      </c>
      <c r="L81" s="13">
        <v>48449.11</v>
      </c>
      <c r="M81"/>
      <c r="N81"/>
    </row>
    <row r="82" spans="1:14" ht="18.600000000000001" customHeight="1" x14ac:dyDescent="0.3">
      <c r="A82" s="9">
        <v>81</v>
      </c>
      <c r="B82" s="19">
        <v>45244.335034722222</v>
      </c>
      <c r="C82" s="11" t="s">
        <v>477</v>
      </c>
      <c r="D82" s="12">
        <v>48449.11</v>
      </c>
      <c r="E82" s="12">
        <v>150000</v>
      </c>
      <c r="F82" s="11">
        <v>0</v>
      </c>
      <c r="G82" s="11">
        <v>0</v>
      </c>
      <c r="H82" s="12">
        <v>0</v>
      </c>
      <c r="I82" s="12">
        <v>0</v>
      </c>
      <c r="J82" s="12">
        <v>0</v>
      </c>
      <c r="K82" s="12">
        <v>0</v>
      </c>
      <c r="L82" s="13">
        <v>198449.11</v>
      </c>
      <c r="M82"/>
      <c r="N82"/>
    </row>
    <row r="83" spans="1:14" ht="18.600000000000001" customHeight="1" x14ac:dyDescent="0.3">
      <c r="A83" s="9">
        <v>82</v>
      </c>
      <c r="B83" s="19">
        <v>45244.343993055554</v>
      </c>
      <c r="C83" s="11" t="s">
        <v>478</v>
      </c>
      <c r="D83" s="12">
        <v>198449.11</v>
      </c>
      <c r="E83" s="12">
        <v>10000</v>
      </c>
      <c r="F83" s="11">
        <v>0</v>
      </c>
      <c r="G83" s="11">
        <v>0</v>
      </c>
      <c r="H83" s="12">
        <v>0</v>
      </c>
      <c r="I83" s="12">
        <v>0</v>
      </c>
      <c r="J83" s="12">
        <v>0</v>
      </c>
      <c r="K83" s="12">
        <v>0</v>
      </c>
      <c r="L83" s="13">
        <v>208449.11</v>
      </c>
      <c r="M83"/>
      <c r="N83"/>
    </row>
    <row r="84" spans="1:14" ht="18.600000000000001" customHeight="1" x14ac:dyDescent="0.3">
      <c r="A84" s="9">
        <v>83</v>
      </c>
      <c r="B84" s="19">
        <v>45244.631099537037</v>
      </c>
      <c r="C84" s="11" t="s">
        <v>479</v>
      </c>
      <c r="D84" s="12">
        <v>208449.11</v>
      </c>
      <c r="E84" s="12">
        <v>0</v>
      </c>
      <c r="F84" s="11">
        <v>0</v>
      </c>
      <c r="G84" s="11">
        <v>95.41</v>
      </c>
      <c r="H84" s="12">
        <v>98911.52</v>
      </c>
      <c r="I84" s="12">
        <v>34619.03</v>
      </c>
      <c r="J84" s="12">
        <v>1335</v>
      </c>
      <c r="K84" s="12">
        <v>134865.54999999999</v>
      </c>
      <c r="L84" s="13">
        <v>73583.56</v>
      </c>
      <c r="M84"/>
      <c r="N84"/>
    </row>
    <row r="85" spans="1:14" ht="18.600000000000001" customHeight="1" x14ac:dyDescent="0.3">
      <c r="A85" s="9">
        <v>84</v>
      </c>
      <c r="B85" s="19">
        <v>45244.631620370368</v>
      </c>
      <c r="C85" s="11" t="s">
        <v>480</v>
      </c>
      <c r="D85" s="12">
        <v>73583.56</v>
      </c>
      <c r="E85" s="12">
        <v>0</v>
      </c>
      <c r="F85" s="11">
        <v>301.2</v>
      </c>
      <c r="G85" s="11">
        <v>0</v>
      </c>
      <c r="H85" s="12">
        <v>53650.79</v>
      </c>
      <c r="I85" s="12">
        <v>18777.78</v>
      </c>
      <c r="J85" s="12">
        <v>724</v>
      </c>
      <c r="K85" s="12">
        <v>73152.570000000007</v>
      </c>
      <c r="L85" s="13">
        <v>430.99</v>
      </c>
      <c r="M85"/>
      <c r="N85"/>
    </row>
    <row r="86" spans="1:14" ht="18.600000000000001" customHeight="1" x14ac:dyDescent="0.3">
      <c r="A86" s="9">
        <v>85</v>
      </c>
      <c r="B86" s="19">
        <v>45250.373124999998</v>
      </c>
      <c r="C86" s="11" t="s">
        <v>481</v>
      </c>
      <c r="D86" s="12">
        <v>430.99</v>
      </c>
      <c r="E86" s="12">
        <v>195000</v>
      </c>
      <c r="F86" s="11">
        <v>0</v>
      </c>
      <c r="G86" s="11">
        <v>0</v>
      </c>
      <c r="H86" s="12">
        <v>0</v>
      </c>
      <c r="I86" s="12">
        <v>0</v>
      </c>
      <c r="J86" s="12">
        <v>0</v>
      </c>
      <c r="K86" s="12">
        <v>0</v>
      </c>
      <c r="L86" s="13">
        <v>195430.99</v>
      </c>
      <c r="M86"/>
      <c r="N86"/>
    </row>
    <row r="87" spans="1:14" ht="18.600000000000001" customHeight="1" x14ac:dyDescent="0.3">
      <c r="A87" s="9">
        <v>86</v>
      </c>
      <c r="B87" s="19">
        <v>45250.480995370373</v>
      </c>
      <c r="C87" s="11" t="s">
        <v>482</v>
      </c>
      <c r="D87" s="12">
        <v>195430.99</v>
      </c>
      <c r="E87" s="12">
        <v>0</v>
      </c>
      <c r="F87" s="11">
        <v>0</v>
      </c>
      <c r="G87" s="11">
        <v>74.78</v>
      </c>
      <c r="H87" s="12">
        <v>76009.279999999999</v>
      </c>
      <c r="I87" s="12">
        <v>26603.25</v>
      </c>
      <c r="J87" s="12">
        <v>1026</v>
      </c>
      <c r="K87" s="12">
        <v>103638.53</v>
      </c>
      <c r="L87" s="13">
        <v>91792.46</v>
      </c>
      <c r="M87"/>
      <c r="N87"/>
    </row>
    <row r="88" spans="1:14" ht="18.600000000000001" customHeight="1" x14ac:dyDescent="0.3">
      <c r="A88" s="9">
        <v>87</v>
      </c>
      <c r="B88" s="19">
        <v>45250.481539351851</v>
      </c>
      <c r="C88" s="11" t="s">
        <v>483</v>
      </c>
      <c r="D88" s="12">
        <v>91792.46</v>
      </c>
      <c r="E88" s="12">
        <v>0</v>
      </c>
      <c r="F88" s="11">
        <v>189</v>
      </c>
      <c r="G88" s="11">
        <v>0</v>
      </c>
      <c r="H88" s="12">
        <v>31746.05</v>
      </c>
      <c r="I88" s="12">
        <v>11111.12</v>
      </c>
      <c r="J88" s="12">
        <v>429</v>
      </c>
      <c r="K88" s="12">
        <v>43286.17</v>
      </c>
      <c r="L88" s="13">
        <v>48506.29</v>
      </c>
      <c r="M88"/>
      <c r="N88"/>
    </row>
    <row r="89" spans="1:14" ht="18.600000000000001" customHeight="1" x14ac:dyDescent="0.3">
      <c r="A89" s="9">
        <v>88</v>
      </c>
      <c r="B89" s="19">
        <v>45258.411354166667</v>
      </c>
      <c r="C89" s="11" t="s">
        <v>484</v>
      </c>
      <c r="D89" s="12">
        <v>48506.29</v>
      </c>
      <c r="E89" s="12">
        <v>255000</v>
      </c>
      <c r="F89" s="11">
        <v>0</v>
      </c>
      <c r="G89" s="11">
        <v>0</v>
      </c>
      <c r="H89" s="12">
        <v>0</v>
      </c>
      <c r="I89" s="12">
        <v>0</v>
      </c>
      <c r="J89" s="12">
        <v>0</v>
      </c>
      <c r="K89" s="12">
        <v>0</v>
      </c>
      <c r="L89" s="13">
        <v>303506.28999999998</v>
      </c>
      <c r="M89"/>
      <c r="N89"/>
    </row>
    <row r="90" spans="1:14" ht="18.600000000000001" customHeight="1" x14ac:dyDescent="0.3">
      <c r="A90" s="9">
        <v>89</v>
      </c>
      <c r="B90" s="19">
        <v>45258.659780092596</v>
      </c>
      <c r="C90" s="11" t="s">
        <v>485</v>
      </c>
      <c r="D90" s="12">
        <v>303506.28999999998</v>
      </c>
      <c r="E90" s="12">
        <v>0</v>
      </c>
      <c r="F90" s="11">
        <v>207.6</v>
      </c>
      <c r="G90" s="11">
        <v>0</v>
      </c>
      <c r="H90" s="12">
        <v>36984.129999999997</v>
      </c>
      <c r="I90" s="12">
        <v>12944.45</v>
      </c>
      <c r="J90" s="12">
        <v>499</v>
      </c>
      <c r="K90" s="12">
        <v>50427.58</v>
      </c>
      <c r="L90" s="13">
        <v>253078.71</v>
      </c>
      <c r="M90"/>
      <c r="N90"/>
    </row>
    <row r="91" spans="1:14" ht="18.600000000000001" customHeight="1" x14ac:dyDescent="0.3">
      <c r="A91" s="9">
        <v>90</v>
      </c>
      <c r="B91" s="19">
        <v>45258.660578703704</v>
      </c>
      <c r="C91" s="11" t="s">
        <v>486</v>
      </c>
      <c r="D91" s="12">
        <v>253078.71</v>
      </c>
      <c r="E91" s="12">
        <v>0</v>
      </c>
      <c r="F91" s="11">
        <v>0</v>
      </c>
      <c r="G91" s="11">
        <v>166.61</v>
      </c>
      <c r="H91" s="12">
        <v>153784.09</v>
      </c>
      <c r="I91" s="12">
        <v>53824.43</v>
      </c>
      <c r="J91" s="12">
        <v>2076</v>
      </c>
      <c r="K91" s="12">
        <v>209684.52</v>
      </c>
      <c r="L91" s="13">
        <v>43394.19</v>
      </c>
      <c r="M91"/>
      <c r="N91"/>
    </row>
    <row r="92" spans="1:14" ht="18.600000000000001" customHeight="1" x14ac:dyDescent="0.3">
      <c r="A92" s="9">
        <v>91</v>
      </c>
      <c r="B92" s="19">
        <v>45268.470856481479</v>
      </c>
      <c r="C92" s="11" t="s">
        <v>487</v>
      </c>
      <c r="D92" s="12">
        <v>43394.19</v>
      </c>
      <c r="E92" s="12">
        <v>200000</v>
      </c>
      <c r="F92" s="11">
        <v>0</v>
      </c>
      <c r="G92" s="11">
        <v>0</v>
      </c>
      <c r="H92" s="12">
        <v>0</v>
      </c>
      <c r="I92" s="12">
        <v>0</v>
      </c>
      <c r="J92" s="12">
        <v>0</v>
      </c>
      <c r="K92" s="12">
        <v>0</v>
      </c>
      <c r="L92" s="13">
        <v>243394.19</v>
      </c>
      <c r="M92"/>
      <c r="N92"/>
    </row>
    <row r="93" spans="1:14" ht="18.600000000000001" customHeight="1" x14ac:dyDescent="0.3">
      <c r="A93" s="9">
        <v>92</v>
      </c>
      <c r="B93" s="19">
        <v>45268.635810185187</v>
      </c>
      <c r="C93" s="11" t="s">
        <v>488</v>
      </c>
      <c r="D93" s="12">
        <v>243394.19</v>
      </c>
      <c r="E93" s="12">
        <v>0</v>
      </c>
      <c r="F93" s="11">
        <v>0</v>
      </c>
      <c r="G93" s="11">
        <v>151.74</v>
      </c>
      <c r="H93" s="12">
        <v>141428.63</v>
      </c>
      <c r="I93" s="12">
        <v>49500.02</v>
      </c>
      <c r="J93" s="12">
        <v>1909</v>
      </c>
      <c r="K93" s="12">
        <v>192837.65</v>
      </c>
      <c r="L93" s="13">
        <v>50556.54</v>
      </c>
      <c r="M93"/>
      <c r="N93"/>
    </row>
    <row r="94" spans="1:14" ht="18.600000000000001" customHeight="1" x14ac:dyDescent="0.3">
      <c r="A94" s="9">
        <v>93</v>
      </c>
      <c r="B94" s="19">
        <v>45271.392430555556</v>
      </c>
      <c r="C94" s="11" t="s">
        <v>489</v>
      </c>
      <c r="D94" s="12">
        <v>50556.54</v>
      </c>
      <c r="E94" s="12">
        <v>140000</v>
      </c>
      <c r="F94" s="11">
        <v>0</v>
      </c>
      <c r="G94" s="11">
        <v>0</v>
      </c>
      <c r="H94" s="12">
        <v>0</v>
      </c>
      <c r="I94" s="12">
        <v>0</v>
      </c>
      <c r="J94" s="12">
        <v>0</v>
      </c>
      <c r="K94" s="12">
        <v>0</v>
      </c>
      <c r="L94" s="13">
        <v>190556.54</v>
      </c>
      <c r="M94"/>
      <c r="N94"/>
    </row>
    <row r="95" spans="1:14" ht="18.600000000000001" customHeight="1" x14ac:dyDescent="0.3">
      <c r="A95" s="9">
        <v>94</v>
      </c>
      <c r="B95" s="19">
        <v>45271.606400462966</v>
      </c>
      <c r="C95" s="11" t="s">
        <v>490</v>
      </c>
      <c r="D95" s="12">
        <v>190556.54</v>
      </c>
      <c r="E95" s="12">
        <v>0</v>
      </c>
      <c r="F95" s="11">
        <v>187.8</v>
      </c>
      <c r="G95" s="11">
        <v>0</v>
      </c>
      <c r="H95" s="12">
        <v>38174.629999999997</v>
      </c>
      <c r="I95" s="12">
        <v>13361.12</v>
      </c>
      <c r="J95" s="12">
        <v>515</v>
      </c>
      <c r="K95" s="12">
        <v>52050.75</v>
      </c>
      <c r="L95" s="13">
        <v>138505.79</v>
      </c>
      <c r="M95"/>
      <c r="N95"/>
    </row>
    <row r="96" spans="1:14" ht="18.600000000000001" customHeight="1" x14ac:dyDescent="0.3">
      <c r="A96" s="9">
        <v>95</v>
      </c>
      <c r="B96" s="19">
        <v>45271.60696759259</v>
      </c>
      <c r="C96" s="11" t="s">
        <v>491</v>
      </c>
      <c r="D96" s="12">
        <v>138505.79</v>
      </c>
      <c r="E96" s="12">
        <v>0</v>
      </c>
      <c r="F96" s="11">
        <v>0</v>
      </c>
      <c r="G96" s="11">
        <v>96.26</v>
      </c>
      <c r="H96" s="12">
        <v>96527.83</v>
      </c>
      <c r="I96" s="12">
        <v>33784.720000000001</v>
      </c>
      <c r="J96" s="12">
        <v>1303</v>
      </c>
      <c r="K96" s="12">
        <v>131615.54999999999</v>
      </c>
      <c r="L96" s="13">
        <v>6890.24</v>
      </c>
      <c r="M96"/>
      <c r="N96"/>
    </row>
    <row r="97" spans="1:14" ht="18.600000000000001" customHeight="1" x14ac:dyDescent="0.3">
      <c r="A97" s="9">
        <v>96</v>
      </c>
      <c r="B97" s="19">
        <v>45275.492731481485</v>
      </c>
      <c r="C97" s="11" t="s">
        <v>492</v>
      </c>
      <c r="D97" s="12">
        <v>6890.24</v>
      </c>
      <c r="E97" s="12">
        <v>170000</v>
      </c>
      <c r="F97" s="11">
        <v>0</v>
      </c>
      <c r="G97" s="11">
        <v>0</v>
      </c>
      <c r="H97" s="12">
        <v>0</v>
      </c>
      <c r="I97" s="12">
        <v>0</v>
      </c>
      <c r="J97" s="12">
        <v>0</v>
      </c>
      <c r="K97" s="12">
        <v>0</v>
      </c>
      <c r="L97" s="13">
        <v>176890.23999999999</v>
      </c>
      <c r="M97"/>
      <c r="N97"/>
    </row>
    <row r="98" spans="1:14" ht="18.600000000000001" customHeight="1" x14ac:dyDescent="0.3">
      <c r="A98" s="9">
        <v>97</v>
      </c>
      <c r="B98" s="19">
        <v>45275.629560185182</v>
      </c>
      <c r="C98" s="11" t="s">
        <v>493</v>
      </c>
      <c r="D98" s="12">
        <v>176890.23999999999</v>
      </c>
      <c r="E98" s="12">
        <v>0</v>
      </c>
      <c r="F98" s="11">
        <v>0</v>
      </c>
      <c r="G98" s="11">
        <v>122.6</v>
      </c>
      <c r="H98" s="12">
        <v>128829.54</v>
      </c>
      <c r="I98" s="12">
        <v>45090.33</v>
      </c>
      <c r="J98" s="12">
        <v>1739</v>
      </c>
      <c r="K98" s="12">
        <v>175658.87</v>
      </c>
      <c r="L98" s="13">
        <v>1231.3699999999999</v>
      </c>
      <c r="M98"/>
      <c r="N98"/>
    </row>
    <row r="99" spans="1:14" ht="18.600000000000001" customHeight="1" x14ac:dyDescent="0.3">
      <c r="A99" s="9">
        <v>98</v>
      </c>
      <c r="B99" s="19">
        <v>45289.49523148148</v>
      </c>
      <c r="C99" s="11" t="s">
        <v>494</v>
      </c>
      <c r="D99" s="12">
        <v>1231.3699999999999</v>
      </c>
      <c r="E99" s="12">
        <v>100000</v>
      </c>
      <c r="F99" s="11">
        <v>0</v>
      </c>
      <c r="G99" s="11">
        <v>0</v>
      </c>
      <c r="H99" s="12">
        <v>0</v>
      </c>
      <c r="I99" s="12">
        <v>0</v>
      </c>
      <c r="J99" s="12">
        <v>0</v>
      </c>
      <c r="K99" s="12">
        <v>0</v>
      </c>
      <c r="L99" s="13">
        <v>101231.37</v>
      </c>
      <c r="M99"/>
      <c r="N99"/>
    </row>
    <row r="100" spans="1:14" ht="18.600000000000001" customHeight="1" x14ac:dyDescent="0.3">
      <c r="A100" s="9">
        <v>99</v>
      </c>
      <c r="B100" s="19">
        <v>45289.587372685186</v>
      </c>
      <c r="C100" s="11" t="s">
        <v>495</v>
      </c>
      <c r="D100" s="12">
        <v>101231.37</v>
      </c>
      <c r="E100" s="12">
        <v>100000</v>
      </c>
      <c r="F100" s="11">
        <v>0</v>
      </c>
      <c r="G100" s="11">
        <v>0</v>
      </c>
      <c r="H100" s="12">
        <v>0</v>
      </c>
      <c r="I100" s="12">
        <v>0</v>
      </c>
      <c r="J100" s="12">
        <v>0</v>
      </c>
      <c r="K100" s="12">
        <v>0</v>
      </c>
      <c r="L100" s="13">
        <v>201231.37</v>
      </c>
      <c r="M100"/>
      <c r="N100"/>
    </row>
    <row r="101" spans="1:14" ht="18.600000000000001" customHeight="1" x14ac:dyDescent="0.3">
      <c r="A101" s="9">
        <v>100</v>
      </c>
      <c r="B101" s="19">
        <v>45289.589050925926</v>
      </c>
      <c r="C101" s="11" t="s">
        <v>496</v>
      </c>
      <c r="D101" s="12">
        <v>201231.37</v>
      </c>
      <c r="E101" s="12">
        <v>80000</v>
      </c>
      <c r="F101" s="11">
        <v>0</v>
      </c>
      <c r="G101" s="11">
        <v>0</v>
      </c>
      <c r="H101" s="12">
        <v>0</v>
      </c>
      <c r="I101" s="12">
        <v>0</v>
      </c>
      <c r="J101" s="12">
        <v>0</v>
      </c>
      <c r="K101" s="12">
        <v>0</v>
      </c>
      <c r="L101" s="13">
        <v>281231.37</v>
      </c>
      <c r="M101"/>
      <c r="N101"/>
    </row>
    <row r="102" spans="1:14" ht="18.600000000000001" customHeight="1" x14ac:dyDescent="0.3">
      <c r="A102" s="9">
        <v>101</v>
      </c>
      <c r="B102" s="19">
        <v>45289.706979166665</v>
      </c>
      <c r="C102" s="11" t="s">
        <v>497</v>
      </c>
      <c r="D102" s="12">
        <v>281231.37</v>
      </c>
      <c r="E102" s="12">
        <v>0</v>
      </c>
      <c r="F102" s="11">
        <v>394.2</v>
      </c>
      <c r="G102" s="11">
        <v>0</v>
      </c>
      <c r="H102" s="12">
        <v>65873.05</v>
      </c>
      <c r="I102" s="12">
        <v>23055.55</v>
      </c>
      <c r="J102" s="12">
        <v>889</v>
      </c>
      <c r="K102" s="12">
        <v>89817.600000000006</v>
      </c>
      <c r="L102" s="13">
        <v>191413.77</v>
      </c>
      <c r="M102"/>
      <c r="N102"/>
    </row>
    <row r="103" spans="1:14" ht="18.600000000000001" customHeight="1" x14ac:dyDescent="0.3">
      <c r="A103" s="9">
        <v>102</v>
      </c>
      <c r="B103" s="19">
        <v>45289.708275462966</v>
      </c>
      <c r="C103" s="11" t="s">
        <v>498</v>
      </c>
      <c r="D103" s="12">
        <v>191413.77</v>
      </c>
      <c r="E103" s="12">
        <v>0</v>
      </c>
      <c r="F103" s="11">
        <v>0</v>
      </c>
      <c r="G103" s="11">
        <v>143.27000000000001</v>
      </c>
      <c r="H103" s="12">
        <v>140070.63</v>
      </c>
      <c r="I103" s="12">
        <v>49024.69</v>
      </c>
      <c r="J103" s="12">
        <v>1891</v>
      </c>
      <c r="K103" s="12">
        <v>190986.32</v>
      </c>
      <c r="L103" s="13">
        <v>427.45</v>
      </c>
      <c r="M103"/>
      <c r="N103"/>
    </row>
    <row r="104" spans="1:14" ht="18.600000000000001" customHeight="1" x14ac:dyDescent="0.3">
      <c r="A104" s="9">
        <v>103</v>
      </c>
      <c r="B104" s="19">
        <v>45293.483576388891</v>
      </c>
      <c r="C104" s="11" t="s">
        <v>499</v>
      </c>
      <c r="D104" s="12">
        <v>427.45</v>
      </c>
      <c r="E104" s="12">
        <v>220000</v>
      </c>
      <c r="F104" s="11">
        <v>0</v>
      </c>
      <c r="G104" s="11">
        <v>0</v>
      </c>
      <c r="H104" s="12">
        <v>0</v>
      </c>
      <c r="I104" s="12">
        <v>0</v>
      </c>
      <c r="J104" s="12">
        <v>0</v>
      </c>
      <c r="K104" s="12">
        <v>0</v>
      </c>
      <c r="L104" s="13">
        <v>220427.45</v>
      </c>
      <c r="M104"/>
      <c r="N104"/>
    </row>
    <row r="105" spans="1:14" ht="18.600000000000001" customHeight="1" x14ac:dyDescent="0.3">
      <c r="A105" s="9">
        <v>104</v>
      </c>
      <c r="B105" s="19">
        <v>45293.504016203704</v>
      </c>
      <c r="C105" s="11" t="s">
        <v>500</v>
      </c>
      <c r="D105" s="12">
        <v>220427.45</v>
      </c>
      <c r="E105" s="12">
        <v>1000</v>
      </c>
      <c r="F105" s="11">
        <v>0</v>
      </c>
      <c r="G105" s="11">
        <v>0</v>
      </c>
      <c r="H105" s="12">
        <v>0</v>
      </c>
      <c r="I105" s="12">
        <v>0</v>
      </c>
      <c r="J105" s="12">
        <v>0</v>
      </c>
      <c r="K105" s="12">
        <v>0</v>
      </c>
      <c r="L105" s="13">
        <v>221427.45</v>
      </c>
      <c r="M105"/>
      <c r="N105"/>
    </row>
    <row r="106" spans="1:14" ht="18.600000000000001" customHeight="1" x14ac:dyDescent="0.3">
      <c r="A106" s="9">
        <v>105</v>
      </c>
      <c r="B106" s="19">
        <v>45293.658321759256</v>
      </c>
      <c r="C106" s="11" t="s">
        <v>501</v>
      </c>
      <c r="D106" s="12">
        <v>221427.45</v>
      </c>
      <c r="E106" s="12">
        <v>0</v>
      </c>
      <c r="F106" s="11">
        <v>0</v>
      </c>
      <c r="G106" s="11">
        <v>174.53</v>
      </c>
      <c r="H106" s="12">
        <v>161666.73000000001</v>
      </c>
      <c r="I106" s="12">
        <v>56583.34</v>
      </c>
      <c r="J106" s="12">
        <v>2183</v>
      </c>
      <c r="K106" s="12">
        <v>220433.07</v>
      </c>
      <c r="L106" s="13">
        <v>994.38</v>
      </c>
      <c r="M106"/>
      <c r="N106"/>
    </row>
    <row r="107" spans="1:14" ht="18.600000000000001" customHeight="1" x14ac:dyDescent="0.3">
      <c r="A107" s="9">
        <v>106</v>
      </c>
      <c r="B107" s="19">
        <v>45303.406585648147</v>
      </c>
      <c r="C107" s="11" t="s">
        <v>502</v>
      </c>
      <c r="D107" s="12">
        <v>994.38</v>
      </c>
      <c r="E107" s="12">
        <v>190000</v>
      </c>
      <c r="F107" s="11">
        <v>0</v>
      </c>
      <c r="G107" s="11">
        <v>0</v>
      </c>
      <c r="H107" s="12">
        <v>0</v>
      </c>
      <c r="I107" s="12">
        <v>0</v>
      </c>
      <c r="J107" s="12">
        <v>0</v>
      </c>
      <c r="K107" s="12">
        <v>0</v>
      </c>
      <c r="L107" s="13">
        <v>190994.38</v>
      </c>
      <c r="M107"/>
      <c r="N107"/>
    </row>
    <row r="108" spans="1:14" ht="18.600000000000001" customHeight="1" x14ac:dyDescent="0.3">
      <c r="A108" s="9">
        <v>107</v>
      </c>
      <c r="B108" s="19">
        <v>45303.734861111108</v>
      </c>
      <c r="C108" s="11" t="s">
        <v>503</v>
      </c>
      <c r="D108" s="12">
        <v>190994.38</v>
      </c>
      <c r="E108" s="12">
        <v>0</v>
      </c>
      <c r="F108" s="11">
        <v>249.6</v>
      </c>
      <c r="G108" s="11">
        <v>0</v>
      </c>
      <c r="H108" s="12">
        <v>43095.27</v>
      </c>
      <c r="I108" s="12">
        <v>15083.34</v>
      </c>
      <c r="J108" s="12">
        <v>582</v>
      </c>
      <c r="K108" s="12">
        <v>58760.61</v>
      </c>
      <c r="L108" s="13">
        <v>132233.76999999999</v>
      </c>
      <c r="M108"/>
      <c r="N108"/>
    </row>
    <row r="109" spans="1:14" ht="18.600000000000001" customHeight="1" x14ac:dyDescent="0.3">
      <c r="A109" s="9">
        <v>108</v>
      </c>
      <c r="B109" s="19">
        <v>45303.747534722221</v>
      </c>
      <c r="C109" s="11" t="s">
        <v>504</v>
      </c>
      <c r="D109" s="12">
        <v>132233.76999999999</v>
      </c>
      <c r="E109" s="12">
        <v>0</v>
      </c>
      <c r="F109" s="11">
        <v>0</v>
      </c>
      <c r="G109" s="11">
        <v>97.22</v>
      </c>
      <c r="H109" s="12">
        <v>94350.06</v>
      </c>
      <c r="I109" s="12">
        <v>33022.53</v>
      </c>
      <c r="J109" s="12">
        <v>1274</v>
      </c>
      <c r="K109" s="12">
        <v>128646.59</v>
      </c>
      <c r="L109" s="13">
        <v>3587.18</v>
      </c>
      <c r="M109"/>
      <c r="N109"/>
    </row>
    <row r="110" spans="1:14" ht="18.600000000000001" customHeight="1" x14ac:dyDescent="0.3">
      <c r="A110" s="9">
        <v>109</v>
      </c>
      <c r="B110" s="19">
        <v>45307.479594907411</v>
      </c>
      <c r="C110" s="11" t="s">
        <v>505</v>
      </c>
      <c r="D110" s="12">
        <v>3587.18</v>
      </c>
      <c r="E110" s="12">
        <v>240000</v>
      </c>
      <c r="F110" s="11">
        <v>0</v>
      </c>
      <c r="G110" s="11">
        <v>0</v>
      </c>
      <c r="H110" s="12">
        <v>0</v>
      </c>
      <c r="I110" s="12">
        <v>0</v>
      </c>
      <c r="J110" s="12">
        <v>0</v>
      </c>
      <c r="K110" s="12">
        <v>0</v>
      </c>
      <c r="L110" s="13">
        <v>243587.18</v>
      </c>
      <c r="M110"/>
      <c r="N110"/>
    </row>
    <row r="111" spans="1:14" ht="18.600000000000001" customHeight="1" x14ac:dyDescent="0.3">
      <c r="A111" s="9">
        <v>110</v>
      </c>
      <c r="B111" s="19">
        <v>45307.850393518522</v>
      </c>
      <c r="C111" s="11" t="s">
        <v>506</v>
      </c>
      <c r="D111" s="12">
        <v>243587.18</v>
      </c>
      <c r="E111" s="12">
        <v>0</v>
      </c>
      <c r="F111" s="11">
        <v>0</v>
      </c>
      <c r="G111" s="11">
        <v>198.45</v>
      </c>
      <c r="H111" s="12">
        <v>178015.95</v>
      </c>
      <c r="I111" s="12">
        <v>62305.58</v>
      </c>
      <c r="J111" s="12">
        <v>2403</v>
      </c>
      <c r="K111" s="12">
        <v>242724.53</v>
      </c>
      <c r="L111" s="13">
        <v>862.65</v>
      </c>
      <c r="M111"/>
      <c r="N111"/>
    </row>
    <row r="112" spans="1:14" ht="18.600000000000001" customHeight="1" x14ac:dyDescent="0.3">
      <c r="A112" s="9">
        <v>111</v>
      </c>
      <c r="B112" s="19">
        <v>45316.382835648146</v>
      </c>
      <c r="C112" s="11" t="s">
        <v>507</v>
      </c>
      <c r="D112" s="12">
        <v>862.65</v>
      </c>
      <c r="E112" s="12">
        <v>200000</v>
      </c>
      <c r="F112" s="11">
        <v>0</v>
      </c>
      <c r="G112" s="11">
        <v>0</v>
      </c>
      <c r="H112" s="12">
        <v>0</v>
      </c>
      <c r="I112" s="12">
        <v>0</v>
      </c>
      <c r="J112" s="12">
        <v>0</v>
      </c>
      <c r="K112" s="12">
        <v>0</v>
      </c>
      <c r="L112" s="13">
        <v>200862.65</v>
      </c>
      <c r="M112"/>
      <c r="N112"/>
    </row>
    <row r="113" spans="1:14" ht="18.600000000000001" customHeight="1" x14ac:dyDescent="0.3">
      <c r="A113" s="9">
        <v>112</v>
      </c>
      <c r="B113" s="19">
        <v>45316.624085648145</v>
      </c>
      <c r="C113" s="11" t="s">
        <v>508</v>
      </c>
      <c r="D113" s="12">
        <v>200862.65</v>
      </c>
      <c r="E113" s="12">
        <v>0</v>
      </c>
      <c r="F113" s="11">
        <v>0</v>
      </c>
      <c r="G113" s="11">
        <v>79.11</v>
      </c>
      <c r="H113" s="12">
        <v>75333.36</v>
      </c>
      <c r="I113" s="12">
        <v>26366.68</v>
      </c>
      <c r="J113" s="12">
        <v>1017</v>
      </c>
      <c r="K113" s="12">
        <v>102717.04</v>
      </c>
      <c r="L113" s="13">
        <v>98145.61</v>
      </c>
      <c r="M113"/>
      <c r="N113"/>
    </row>
    <row r="114" spans="1:14" ht="18.600000000000001" customHeight="1" x14ac:dyDescent="0.3">
      <c r="A114" s="9">
        <v>113</v>
      </c>
      <c r="B114" s="19">
        <v>45316.624409722222</v>
      </c>
      <c r="C114" s="11" t="s">
        <v>509</v>
      </c>
      <c r="D114" s="12">
        <v>98145.61</v>
      </c>
      <c r="E114" s="12">
        <v>0</v>
      </c>
      <c r="F114" s="11">
        <v>372</v>
      </c>
      <c r="G114" s="11">
        <v>0</v>
      </c>
      <c r="H114" s="12">
        <v>70238.05</v>
      </c>
      <c r="I114" s="12">
        <v>24583.32</v>
      </c>
      <c r="J114" s="12">
        <v>948</v>
      </c>
      <c r="K114" s="12">
        <v>95769.37</v>
      </c>
      <c r="L114" s="13">
        <v>2376.2399999999998</v>
      </c>
      <c r="M114"/>
      <c r="N114"/>
    </row>
    <row r="115" spans="1:14" ht="18.600000000000001" customHeight="1" x14ac:dyDescent="0.3">
      <c r="A115" s="9">
        <v>114</v>
      </c>
      <c r="B115" s="19">
        <v>45325.362870370373</v>
      </c>
      <c r="C115" s="11" t="s">
        <v>510</v>
      </c>
      <c r="D115" s="12">
        <v>2376.2399999999998</v>
      </c>
      <c r="E115" s="12">
        <v>260000</v>
      </c>
      <c r="F115" s="11">
        <v>0</v>
      </c>
      <c r="G115" s="11">
        <v>0</v>
      </c>
      <c r="H115" s="12">
        <v>0</v>
      </c>
      <c r="I115" s="12">
        <v>0</v>
      </c>
      <c r="J115" s="12">
        <v>0</v>
      </c>
      <c r="K115" s="12">
        <v>0</v>
      </c>
      <c r="L115" s="13">
        <v>262376.24</v>
      </c>
      <c r="M115"/>
      <c r="N115"/>
    </row>
    <row r="116" spans="1:14" ht="18.600000000000001" customHeight="1" x14ac:dyDescent="0.3">
      <c r="A116" s="9">
        <v>115</v>
      </c>
      <c r="B116" s="19">
        <v>45325.665254629632</v>
      </c>
      <c r="C116" s="11" t="s">
        <v>511</v>
      </c>
      <c r="D116" s="12">
        <v>262376.24</v>
      </c>
      <c r="E116" s="12">
        <v>0</v>
      </c>
      <c r="F116" s="11">
        <v>0</v>
      </c>
      <c r="G116" s="11">
        <v>209.48</v>
      </c>
      <c r="H116" s="12">
        <v>191543</v>
      </c>
      <c r="I116" s="12">
        <v>67040.05</v>
      </c>
      <c r="J116" s="12">
        <v>2586</v>
      </c>
      <c r="K116" s="12">
        <v>261169.05</v>
      </c>
      <c r="L116" s="13">
        <v>1207.19</v>
      </c>
      <c r="M116"/>
      <c r="N116"/>
    </row>
    <row r="117" spans="1:14" ht="18.600000000000001" customHeight="1" x14ac:dyDescent="0.3">
      <c r="A117" s="9">
        <v>116</v>
      </c>
      <c r="B117" s="19">
        <v>45331.498298611114</v>
      </c>
      <c r="C117" s="11" t="s">
        <v>512</v>
      </c>
      <c r="D117" s="12">
        <v>1207.19</v>
      </c>
      <c r="E117" s="12">
        <v>185000</v>
      </c>
      <c r="F117" s="11">
        <v>0</v>
      </c>
      <c r="G117" s="11">
        <v>0</v>
      </c>
      <c r="H117" s="12">
        <v>0</v>
      </c>
      <c r="I117" s="12">
        <v>0</v>
      </c>
      <c r="J117" s="12">
        <v>0</v>
      </c>
      <c r="K117" s="12">
        <v>0</v>
      </c>
      <c r="L117" s="13">
        <v>186207.19</v>
      </c>
      <c r="M117"/>
      <c r="N117"/>
    </row>
    <row r="118" spans="1:14" ht="18.600000000000001" customHeight="1" x14ac:dyDescent="0.3">
      <c r="A118" s="9">
        <v>117</v>
      </c>
      <c r="B118" s="19">
        <v>45331.695717592593</v>
      </c>
      <c r="C118" s="11" t="s">
        <v>513</v>
      </c>
      <c r="D118" s="12">
        <v>186207.19</v>
      </c>
      <c r="E118" s="12">
        <v>0</v>
      </c>
      <c r="F118" s="11">
        <v>441</v>
      </c>
      <c r="G118" s="11">
        <v>0</v>
      </c>
      <c r="H118" s="12">
        <v>69523.89</v>
      </c>
      <c r="I118" s="12">
        <v>24333.360000000001</v>
      </c>
      <c r="J118" s="12">
        <v>939</v>
      </c>
      <c r="K118" s="12">
        <v>94796.25</v>
      </c>
      <c r="L118" s="13">
        <v>91410.94</v>
      </c>
      <c r="M118"/>
      <c r="N118"/>
    </row>
    <row r="119" spans="1:14" ht="18.600000000000001" customHeight="1" x14ac:dyDescent="0.3">
      <c r="A119" s="9">
        <v>118</v>
      </c>
      <c r="B119" s="19">
        <v>45331.696562500001</v>
      </c>
      <c r="C119" s="11" t="s">
        <v>514</v>
      </c>
      <c r="D119" s="12">
        <v>91410.94</v>
      </c>
      <c r="E119" s="12">
        <v>0</v>
      </c>
      <c r="F119" s="11">
        <v>0</v>
      </c>
      <c r="G119" s="11">
        <v>72.63</v>
      </c>
      <c r="H119" s="12">
        <v>66111.149999999994</v>
      </c>
      <c r="I119" s="12">
        <v>23138.9</v>
      </c>
      <c r="J119" s="12">
        <v>893</v>
      </c>
      <c r="K119" s="12">
        <v>90143.05</v>
      </c>
      <c r="L119" s="13">
        <v>1267.8900000000001</v>
      </c>
      <c r="M119"/>
      <c r="N119"/>
    </row>
    <row r="120" spans="1:14" ht="18.600000000000001" customHeight="1" x14ac:dyDescent="0.3">
      <c r="A120" s="9">
        <v>119</v>
      </c>
      <c r="B120" s="19">
        <v>45341.456817129627</v>
      </c>
      <c r="C120" s="11" t="s">
        <v>515</v>
      </c>
      <c r="D120" s="12">
        <v>1267.8900000000001</v>
      </c>
      <c r="E120" s="12">
        <v>320000</v>
      </c>
      <c r="F120" s="11">
        <v>0</v>
      </c>
      <c r="G120" s="11">
        <v>0</v>
      </c>
      <c r="H120" s="12">
        <v>0</v>
      </c>
      <c r="I120" s="12">
        <v>0</v>
      </c>
      <c r="J120" s="12">
        <v>0</v>
      </c>
      <c r="K120" s="12">
        <v>0</v>
      </c>
      <c r="L120" s="13">
        <v>321267.89</v>
      </c>
      <c r="M120"/>
      <c r="N120"/>
    </row>
    <row r="121" spans="1:14" ht="18.600000000000001" customHeight="1" x14ac:dyDescent="0.3">
      <c r="A121" s="9">
        <v>120</v>
      </c>
      <c r="B121" s="19">
        <v>45341.501747685186</v>
      </c>
      <c r="C121" s="11" t="s">
        <v>516</v>
      </c>
      <c r="D121" s="12">
        <v>321267.89</v>
      </c>
      <c r="E121" s="12">
        <v>0</v>
      </c>
      <c r="F121" s="11">
        <v>263.39999999999998</v>
      </c>
      <c r="G121" s="11">
        <v>0</v>
      </c>
      <c r="H121" s="12">
        <v>44365.1</v>
      </c>
      <c r="I121" s="12">
        <v>15527.79</v>
      </c>
      <c r="J121" s="12">
        <v>599</v>
      </c>
      <c r="K121" s="12">
        <v>60491.89</v>
      </c>
      <c r="L121" s="13">
        <v>260776</v>
      </c>
      <c r="M121"/>
      <c r="N121"/>
    </row>
    <row r="122" spans="1:14" ht="18.600000000000001" customHeight="1" x14ac:dyDescent="0.3">
      <c r="A122" s="9">
        <v>121</v>
      </c>
      <c r="B122" s="19">
        <v>45341.547291666669</v>
      </c>
      <c r="C122" s="11" t="s">
        <v>517</v>
      </c>
      <c r="D122" s="12">
        <v>260776</v>
      </c>
      <c r="E122" s="12">
        <v>0</v>
      </c>
      <c r="F122" s="11">
        <v>0</v>
      </c>
      <c r="G122" s="11">
        <v>194.31</v>
      </c>
      <c r="H122" s="12">
        <v>176993.34</v>
      </c>
      <c r="I122" s="12">
        <v>61947.67</v>
      </c>
      <c r="J122" s="12">
        <v>2389</v>
      </c>
      <c r="K122" s="12">
        <v>241330.01</v>
      </c>
      <c r="L122" s="13">
        <v>19445.990000000002</v>
      </c>
      <c r="M122"/>
      <c r="N122"/>
    </row>
    <row r="123" spans="1:14" ht="18.600000000000001" customHeight="1" x14ac:dyDescent="0.3">
      <c r="A123" s="9">
        <v>122</v>
      </c>
      <c r="B123" s="19">
        <v>45351.497291666667</v>
      </c>
      <c r="C123" s="11" t="s">
        <v>518</v>
      </c>
      <c r="D123" s="12">
        <v>19445.990000000002</v>
      </c>
      <c r="E123" s="12">
        <v>100000</v>
      </c>
      <c r="F123" s="11">
        <v>0</v>
      </c>
      <c r="G123" s="11">
        <v>0</v>
      </c>
      <c r="H123" s="12">
        <v>0</v>
      </c>
      <c r="I123" s="12">
        <v>0</v>
      </c>
      <c r="J123" s="12">
        <v>0</v>
      </c>
      <c r="K123" s="12">
        <v>0</v>
      </c>
      <c r="L123" s="13">
        <v>119445.99</v>
      </c>
      <c r="M123"/>
      <c r="N123"/>
    </row>
    <row r="124" spans="1:14" ht="18.600000000000001" customHeight="1" x14ac:dyDescent="0.3">
      <c r="A124" s="9">
        <v>123</v>
      </c>
      <c r="B124" s="19">
        <v>45351.509166666663</v>
      </c>
      <c r="C124" s="11" t="s">
        <v>519</v>
      </c>
      <c r="D124" s="12">
        <v>119445.99</v>
      </c>
      <c r="E124" s="12">
        <v>1000</v>
      </c>
      <c r="F124" s="11">
        <v>0</v>
      </c>
      <c r="G124" s="11">
        <v>0</v>
      </c>
      <c r="H124" s="12">
        <v>0</v>
      </c>
      <c r="I124" s="12">
        <v>0</v>
      </c>
      <c r="J124" s="12">
        <v>0</v>
      </c>
      <c r="K124" s="12">
        <v>0</v>
      </c>
      <c r="L124" s="13">
        <v>120445.99</v>
      </c>
      <c r="M124"/>
      <c r="N124"/>
    </row>
    <row r="125" spans="1:14" ht="18.600000000000001" customHeight="1" x14ac:dyDescent="0.3">
      <c r="A125" s="9">
        <v>124</v>
      </c>
      <c r="B125" s="19">
        <v>45351.627881944441</v>
      </c>
      <c r="C125" s="11" t="s">
        <v>520</v>
      </c>
      <c r="D125" s="12">
        <v>120445.99</v>
      </c>
      <c r="E125" s="12">
        <v>0</v>
      </c>
      <c r="F125" s="11">
        <v>0</v>
      </c>
      <c r="G125" s="11">
        <v>87.62</v>
      </c>
      <c r="H125" s="12">
        <v>88153.47</v>
      </c>
      <c r="I125" s="12">
        <v>30853.71</v>
      </c>
      <c r="J125" s="12">
        <v>1190</v>
      </c>
      <c r="K125" s="12">
        <v>120197.18</v>
      </c>
      <c r="L125" s="13">
        <v>248.81</v>
      </c>
      <c r="M125"/>
      <c r="N125"/>
    </row>
    <row r="126" spans="1:14" ht="18.600000000000001" customHeight="1" x14ac:dyDescent="0.3">
      <c r="A126" s="9">
        <v>125</v>
      </c>
      <c r="B126" s="19">
        <v>45358.482997685183</v>
      </c>
      <c r="C126" s="11" t="s">
        <v>521</v>
      </c>
      <c r="D126" s="12">
        <v>248.81</v>
      </c>
      <c r="E126" s="12">
        <v>260000</v>
      </c>
      <c r="F126" s="11">
        <v>0</v>
      </c>
      <c r="G126" s="11">
        <v>0</v>
      </c>
      <c r="H126" s="12">
        <v>0</v>
      </c>
      <c r="I126" s="12">
        <v>0</v>
      </c>
      <c r="J126" s="12">
        <v>0</v>
      </c>
      <c r="K126" s="12">
        <v>0</v>
      </c>
      <c r="L126" s="13">
        <v>260248.81</v>
      </c>
      <c r="M126"/>
      <c r="N126"/>
    </row>
    <row r="127" spans="1:14" ht="18.600000000000001" customHeight="1" x14ac:dyDescent="0.3">
      <c r="A127" s="9">
        <v>126</v>
      </c>
      <c r="B127" s="19">
        <v>45358.695879629631</v>
      </c>
      <c r="C127" s="11" t="s">
        <v>522</v>
      </c>
      <c r="D127" s="12">
        <v>260248.81</v>
      </c>
      <c r="E127" s="12">
        <v>0</v>
      </c>
      <c r="F127" s="11">
        <v>0</v>
      </c>
      <c r="G127" s="11">
        <v>193.63</v>
      </c>
      <c r="H127" s="12">
        <v>190765.93</v>
      </c>
      <c r="I127" s="12">
        <v>66768.08</v>
      </c>
      <c r="J127" s="12">
        <v>2575</v>
      </c>
      <c r="K127" s="12">
        <v>260109.01</v>
      </c>
      <c r="L127" s="13">
        <v>139.80000000000001</v>
      </c>
      <c r="M127"/>
      <c r="N127"/>
    </row>
    <row r="128" spans="1:14" ht="18.600000000000001" customHeight="1" x14ac:dyDescent="0.3">
      <c r="A128" s="9">
        <v>127</v>
      </c>
      <c r="B128" s="19">
        <v>45361.919317129628</v>
      </c>
      <c r="C128" s="11" t="s">
        <v>523</v>
      </c>
      <c r="D128" s="12">
        <v>139.80000000000001</v>
      </c>
      <c r="E128" s="12">
        <v>180000</v>
      </c>
      <c r="F128" s="11">
        <v>0</v>
      </c>
      <c r="G128" s="11">
        <v>0</v>
      </c>
      <c r="H128" s="12">
        <v>0</v>
      </c>
      <c r="I128" s="12">
        <v>0</v>
      </c>
      <c r="J128" s="12">
        <v>0</v>
      </c>
      <c r="K128" s="12">
        <v>0</v>
      </c>
      <c r="L128" s="13">
        <v>180139.8</v>
      </c>
      <c r="M128"/>
      <c r="N128"/>
    </row>
    <row r="129" spans="1:14" ht="18.600000000000001" customHeight="1" x14ac:dyDescent="0.3">
      <c r="A129" s="9">
        <v>128</v>
      </c>
      <c r="B129" s="19">
        <v>45362.359259259261</v>
      </c>
      <c r="C129" s="11" t="s">
        <v>524</v>
      </c>
      <c r="D129" s="12">
        <v>180139.8</v>
      </c>
      <c r="E129" s="12">
        <v>40000</v>
      </c>
      <c r="F129" s="11">
        <v>0</v>
      </c>
      <c r="G129" s="11">
        <v>0</v>
      </c>
      <c r="H129" s="12">
        <v>0</v>
      </c>
      <c r="I129" s="12">
        <v>0</v>
      </c>
      <c r="J129" s="12">
        <v>0</v>
      </c>
      <c r="K129" s="12">
        <v>0</v>
      </c>
      <c r="L129" s="13">
        <v>220139.8</v>
      </c>
      <c r="M129"/>
      <c r="N129"/>
    </row>
    <row r="130" spans="1:14" ht="18.600000000000001" customHeight="1" x14ac:dyDescent="0.3">
      <c r="A130" s="9">
        <v>129</v>
      </c>
      <c r="B130" s="19">
        <v>45362.637708333335</v>
      </c>
      <c r="C130" s="11" t="s">
        <v>525</v>
      </c>
      <c r="D130" s="12">
        <v>220139.8</v>
      </c>
      <c r="E130" s="12">
        <v>0</v>
      </c>
      <c r="F130" s="11">
        <v>979.2</v>
      </c>
      <c r="G130" s="11">
        <v>0</v>
      </c>
      <c r="H130" s="12">
        <v>161031.97</v>
      </c>
      <c r="I130" s="12">
        <v>56361.19</v>
      </c>
      <c r="J130" s="12">
        <v>2174</v>
      </c>
      <c r="K130" s="12">
        <v>219567.16</v>
      </c>
      <c r="L130" s="13">
        <v>572.64</v>
      </c>
      <c r="M130"/>
      <c r="N130"/>
    </row>
    <row r="131" spans="1:14" ht="18.600000000000001" customHeight="1" x14ac:dyDescent="0.3">
      <c r="A131" s="9">
        <v>130</v>
      </c>
      <c r="B131" s="19">
        <v>45364.502916666665</v>
      </c>
      <c r="C131" s="11" t="s">
        <v>526</v>
      </c>
      <c r="D131" s="12">
        <v>572.64</v>
      </c>
      <c r="E131" s="12">
        <v>185000</v>
      </c>
      <c r="F131" s="11">
        <v>0</v>
      </c>
      <c r="G131" s="11">
        <v>0</v>
      </c>
      <c r="H131" s="12">
        <v>0</v>
      </c>
      <c r="I131" s="12">
        <v>0</v>
      </c>
      <c r="J131" s="12">
        <v>0</v>
      </c>
      <c r="K131" s="12">
        <v>0</v>
      </c>
      <c r="L131" s="13">
        <v>185572.64</v>
      </c>
      <c r="M131"/>
      <c r="N131"/>
    </row>
    <row r="132" spans="1:14" ht="18.600000000000001" customHeight="1" x14ac:dyDescent="0.3">
      <c r="A132" s="9">
        <v>131</v>
      </c>
      <c r="B132" s="19">
        <v>45364.723483796297</v>
      </c>
      <c r="C132" s="11" t="s">
        <v>527</v>
      </c>
      <c r="D132" s="12">
        <v>185572.64</v>
      </c>
      <c r="E132" s="12">
        <v>0</v>
      </c>
      <c r="F132" s="11">
        <v>0</v>
      </c>
      <c r="G132" s="11">
        <v>151.76</v>
      </c>
      <c r="H132" s="12">
        <v>135914.07</v>
      </c>
      <c r="I132" s="12">
        <v>47569.919999999998</v>
      </c>
      <c r="J132" s="12">
        <v>1835</v>
      </c>
      <c r="K132" s="12">
        <v>185318.99</v>
      </c>
      <c r="L132" s="13">
        <v>253.65</v>
      </c>
      <c r="M132"/>
      <c r="N132"/>
    </row>
    <row r="133" spans="1:14" ht="18.600000000000001" customHeight="1" x14ac:dyDescent="0.3">
      <c r="A133" s="9">
        <v>132</v>
      </c>
      <c r="B133" s="19">
        <v>45374.357604166667</v>
      </c>
      <c r="C133" s="11" t="s">
        <v>528</v>
      </c>
      <c r="D133" s="12">
        <v>253.65</v>
      </c>
      <c r="E133" s="12">
        <v>240000</v>
      </c>
      <c r="F133" s="11">
        <v>0</v>
      </c>
      <c r="G133" s="11">
        <v>0</v>
      </c>
      <c r="H133" s="12">
        <v>0</v>
      </c>
      <c r="I133" s="12">
        <v>0</v>
      </c>
      <c r="J133" s="12">
        <v>0</v>
      </c>
      <c r="K133" s="12">
        <v>0</v>
      </c>
      <c r="L133" s="13">
        <v>240253.65</v>
      </c>
      <c r="M133"/>
      <c r="N133"/>
    </row>
    <row r="134" spans="1:14" ht="18.600000000000001" customHeight="1" x14ac:dyDescent="0.3">
      <c r="A134" s="9">
        <v>133</v>
      </c>
      <c r="B134" s="19">
        <v>45374.609375</v>
      </c>
      <c r="C134" s="11" t="s">
        <v>529</v>
      </c>
      <c r="D134" s="12">
        <v>240253.65</v>
      </c>
      <c r="E134" s="12">
        <v>0</v>
      </c>
      <c r="F134" s="11">
        <v>0</v>
      </c>
      <c r="G134" s="11">
        <v>183.75</v>
      </c>
      <c r="H134" s="12">
        <v>174571.5</v>
      </c>
      <c r="I134" s="12">
        <v>61100.03</v>
      </c>
      <c r="J134" s="12">
        <v>2357</v>
      </c>
      <c r="K134" s="12">
        <v>238028.53</v>
      </c>
      <c r="L134" s="13">
        <v>2225.12</v>
      </c>
      <c r="M134"/>
      <c r="N134"/>
    </row>
    <row r="135" spans="1:14" ht="18.600000000000001" customHeight="1" x14ac:dyDescent="0.3">
      <c r="A135" s="9">
        <v>134</v>
      </c>
      <c r="B135" s="19">
        <v>45380.459097222221</v>
      </c>
      <c r="C135" s="11" t="s">
        <v>530</v>
      </c>
      <c r="D135" s="12">
        <v>2225.12</v>
      </c>
      <c r="E135" s="12">
        <v>270000</v>
      </c>
      <c r="F135" s="11">
        <v>0</v>
      </c>
      <c r="G135" s="11">
        <v>0</v>
      </c>
      <c r="H135" s="12">
        <v>0</v>
      </c>
      <c r="I135" s="12">
        <v>0</v>
      </c>
      <c r="J135" s="12">
        <v>0</v>
      </c>
      <c r="K135" s="12">
        <v>0</v>
      </c>
      <c r="L135" s="13">
        <v>272225.12</v>
      </c>
      <c r="M135"/>
      <c r="N135"/>
    </row>
    <row r="136" spans="1:14" ht="18.600000000000001" customHeight="1" x14ac:dyDescent="0.3">
      <c r="A136" s="9">
        <v>135</v>
      </c>
      <c r="B136" s="19">
        <v>45380.712430555555</v>
      </c>
      <c r="C136" s="11" t="s">
        <v>531</v>
      </c>
      <c r="D136" s="12">
        <v>272225.12</v>
      </c>
      <c r="E136" s="12">
        <v>0</v>
      </c>
      <c r="F136" s="11">
        <v>0</v>
      </c>
      <c r="G136" s="11">
        <v>192.37</v>
      </c>
      <c r="H136" s="12">
        <v>199352.43</v>
      </c>
      <c r="I136" s="12">
        <v>69773.350000000006</v>
      </c>
      <c r="J136" s="12">
        <v>2691</v>
      </c>
      <c r="K136" s="12">
        <v>271816.78000000003</v>
      </c>
      <c r="L136" s="13">
        <v>408.34</v>
      </c>
      <c r="M136"/>
      <c r="N136"/>
    </row>
    <row r="137" spans="1:14" ht="18.600000000000001" customHeight="1" thickBot="1" x14ac:dyDescent="0.35">
      <c r="A137" s="14">
        <v>136</v>
      </c>
      <c r="B137" s="20"/>
      <c r="C137" s="16"/>
      <c r="D137" s="17"/>
      <c r="E137" s="17">
        <v>12091930</v>
      </c>
      <c r="F137" s="16">
        <v>15091.8</v>
      </c>
      <c r="G137" s="16">
        <v>6673.85</v>
      </c>
      <c r="H137" s="17">
        <v>8868739.1699999999</v>
      </c>
      <c r="I137" s="17">
        <v>3104059.11</v>
      </c>
      <c r="J137" s="17">
        <v>119729</v>
      </c>
      <c r="K137" s="17">
        <v>12092527.279999999</v>
      </c>
      <c r="L137" s="18"/>
      <c r="M137"/>
      <c r="N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C99E-2BF2-49D4-8595-3447EBB5F5DD}">
  <dimension ref="A1:N133"/>
  <sheetViews>
    <sheetView showGridLines="0" zoomScale="85" zoomScaleNormal="85" workbookViewId="0">
      <selection activeCell="A2" sqref="A2"/>
    </sheetView>
  </sheetViews>
  <sheetFormatPr defaultRowHeight="19.2" customHeight="1" x14ac:dyDescent="0.3"/>
  <cols>
    <col min="1" max="1" width="8" bestFit="1" customWidth="1"/>
    <col min="2" max="2" width="16" bestFit="1" customWidth="1"/>
    <col min="3" max="3" width="29.109375" bestFit="1" customWidth="1"/>
    <col min="4" max="4" width="18.77734375" bestFit="1" customWidth="1"/>
    <col min="5" max="5" width="16" bestFit="1" customWidth="1"/>
    <col min="6" max="7" width="8.33203125" style="1" bestFit="1" customWidth="1"/>
    <col min="8" max="9" width="14.5546875" bestFit="1" customWidth="1"/>
    <col min="10" max="10" width="13.33203125" style="1" bestFit="1" customWidth="1"/>
    <col min="11" max="11" width="16" style="1" bestFit="1" customWidth="1"/>
    <col min="12" max="12" width="16.88671875" style="1" bestFit="1" customWidth="1"/>
    <col min="13" max="13" width="16.5546875" style="1" bestFit="1" customWidth="1"/>
    <col min="14" max="14" width="16.77734375" style="1" bestFit="1" customWidth="1"/>
  </cols>
  <sheetData>
    <row r="1" spans="1:14" ht="19.2" customHeight="1" x14ac:dyDescent="0.3">
      <c r="A1" s="4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/>
      <c r="N1"/>
    </row>
    <row r="2" spans="1:14" ht="19.2" customHeight="1" x14ac:dyDescent="0.3">
      <c r="A2" s="9">
        <v>1</v>
      </c>
      <c r="B2" s="19">
        <v>44674.400069444448</v>
      </c>
      <c r="C2" s="11" t="s">
        <v>266</v>
      </c>
      <c r="D2" s="12">
        <v>620.58000000000004</v>
      </c>
      <c r="E2" s="12">
        <v>200000</v>
      </c>
      <c r="F2" s="11">
        <v>0</v>
      </c>
      <c r="G2" s="11">
        <v>0</v>
      </c>
      <c r="H2" s="12">
        <v>0</v>
      </c>
      <c r="I2" s="12">
        <v>0</v>
      </c>
      <c r="J2" s="12">
        <v>0</v>
      </c>
      <c r="K2" s="12">
        <v>0</v>
      </c>
      <c r="L2" s="13">
        <v>200620.58</v>
      </c>
      <c r="M2"/>
      <c r="N2"/>
    </row>
    <row r="3" spans="1:14" ht="19.2" customHeight="1" x14ac:dyDescent="0.3">
      <c r="A3" s="9">
        <v>2</v>
      </c>
      <c r="B3" s="19">
        <v>44676.257245370369</v>
      </c>
      <c r="C3" s="11" t="s">
        <v>267</v>
      </c>
      <c r="D3" s="12">
        <v>200620.58</v>
      </c>
      <c r="E3" s="12">
        <v>300000</v>
      </c>
      <c r="F3" s="11">
        <v>0</v>
      </c>
      <c r="G3" s="11">
        <v>0</v>
      </c>
      <c r="H3" s="12">
        <v>0</v>
      </c>
      <c r="I3" s="12">
        <v>0</v>
      </c>
      <c r="J3" s="12">
        <v>0</v>
      </c>
      <c r="K3" s="12">
        <v>0</v>
      </c>
      <c r="L3" s="13">
        <v>500620.58</v>
      </c>
      <c r="M3"/>
      <c r="N3"/>
    </row>
    <row r="4" spans="1:14" ht="19.2" customHeight="1" x14ac:dyDescent="0.3">
      <c r="A4" s="9">
        <v>3</v>
      </c>
      <c r="B4" s="19">
        <v>44676.884548611109</v>
      </c>
      <c r="C4" s="11" t="s">
        <v>268</v>
      </c>
      <c r="D4" s="12">
        <v>500620.58</v>
      </c>
      <c r="E4" s="12">
        <v>0</v>
      </c>
      <c r="F4" s="11">
        <v>1320.72</v>
      </c>
      <c r="G4" s="11">
        <v>0</v>
      </c>
      <c r="H4" s="12">
        <v>206507.93</v>
      </c>
      <c r="I4" s="12">
        <v>72277.86</v>
      </c>
      <c r="J4" s="12">
        <v>2788</v>
      </c>
      <c r="K4" s="12">
        <v>281573.78999999998</v>
      </c>
      <c r="L4" s="13">
        <v>219046.79</v>
      </c>
      <c r="M4"/>
      <c r="N4"/>
    </row>
    <row r="5" spans="1:14" ht="19.2" customHeight="1" x14ac:dyDescent="0.3">
      <c r="A5" s="9">
        <v>4</v>
      </c>
      <c r="B5" s="19">
        <v>44676.885509259257</v>
      </c>
      <c r="C5" s="11" t="s">
        <v>269</v>
      </c>
      <c r="D5" s="12">
        <v>219046.79</v>
      </c>
      <c r="E5" s="12">
        <v>0</v>
      </c>
      <c r="F5" s="11">
        <v>0</v>
      </c>
      <c r="G5" s="11">
        <v>174.23</v>
      </c>
      <c r="H5" s="12">
        <v>159850.54</v>
      </c>
      <c r="I5" s="12">
        <v>55947.69</v>
      </c>
      <c r="J5" s="12">
        <v>2158</v>
      </c>
      <c r="K5" s="12">
        <v>217956.23</v>
      </c>
      <c r="L5" s="13">
        <v>1090.56</v>
      </c>
      <c r="M5"/>
      <c r="N5"/>
    </row>
    <row r="6" spans="1:14" ht="19.2" customHeight="1" x14ac:dyDescent="0.3">
      <c r="A6" s="9">
        <v>5</v>
      </c>
      <c r="B6" s="19">
        <v>44683.46230324074</v>
      </c>
      <c r="C6" s="11" t="s">
        <v>270</v>
      </c>
      <c r="D6" s="12">
        <v>1090.56</v>
      </c>
      <c r="E6" s="12">
        <v>430000</v>
      </c>
      <c r="F6" s="11">
        <v>0</v>
      </c>
      <c r="G6" s="11">
        <v>0</v>
      </c>
      <c r="H6" s="12">
        <v>0</v>
      </c>
      <c r="I6" s="12">
        <v>0</v>
      </c>
      <c r="J6" s="12">
        <v>0</v>
      </c>
      <c r="K6" s="12">
        <v>0</v>
      </c>
      <c r="L6" s="13">
        <v>431090.56</v>
      </c>
      <c r="M6"/>
      <c r="N6"/>
    </row>
    <row r="7" spans="1:14" ht="19.2" customHeight="1" x14ac:dyDescent="0.3">
      <c r="A7" s="9">
        <v>6</v>
      </c>
      <c r="B7" s="19">
        <v>44685.525266203702</v>
      </c>
      <c r="C7" s="11" t="s">
        <v>271</v>
      </c>
      <c r="D7" s="12">
        <v>431090.56</v>
      </c>
      <c r="E7" s="12">
        <v>0</v>
      </c>
      <c r="F7" s="11">
        <v>0</v>
      </c>
      <c r="G7" s="11">
        <v>105.19</v>
      </c>
      <c r="H7" s="12">
        <v>96200.6</v>
      </c>
      <c r="I7" s="12">
        <v>33670.21</v>
      </c>
      <c r="J7" s="12">
        <v>1299</v>
      </c>
      <c r="K7" s="12">
        <v>131169.81</v>
      </c>
      <c r="L7" s="13">
        <v>299920.75</v>
      </c>
      <c r="M7"/>
      <c r="N7"/>
    </row>
    <row r="8" spans="1:14" ht="19.2" customHeight="1" x14ac:dyDescent="0.3">
      <c r="A8" s="9">
        <v>7</v>
      </c>
      <c r="B8" s="19">
        <v>44685.525717592594</v>
      </c>
      <c r="C8" s="11" t="s">
        <v>272</v>
      </c>
      <c r="D8" s="12">
        <v>299920.75</v>
      </c>
      <c r="E8" s="12">
        <v>0</v>
      </c>
      <c r="F8" s="11">
        <v>1362.6</v>
      </c>
      <c r="G8" s="11">
        <v>0</v>
      </c>
      <c r="H8" s="12">
        <v>219603.03</v>
      </c>
      <c r="I8" s="12">
        <v>76861</v>
      </c>
      <c r="J8" s="12">
        <v>2965</v>
      </c>
      <c r="K8" s="12">
        <v>299429.03000000003</v>
      </c>
      <c r="L8" s="13">
        <v>491.72</v>
      </c>
      <c r="M8"/>
      <c r="N8"/>
    </row>
    <row r="9" spans="1:14" ht="19.2" customHeight="1" x14ac:dyDescent="0.3">
      <c r="A9" s="9">
        <v>8</v>
      </c>
      <c r="B9" s="19">
        <v>44690.430324074077</v>
      </c>
      <c r="C9" s="11" t="s">
        <v>273</v>
      </c>
      <c r="D9" s="12">
        <v>491.72</v>
      </c>
      <c r="E9" s="12">
        <v>300000</v>
      </c>
      <c r="F9" s="11">
        <v>0</v>
      </c>
      <c r="G9" s="11">
        <v>0</v>
      </c>
      <c r="H9" s="12">
        <v>0</v>
      </c>
      <c r="I9" s="12">
        <v>0</v>
      </c>
      <c r="J9" s="12">
        <v>0</v>
      </c>
      <c r="K9" s="12">
        <v>0</v>
      </c>
      <c r="L9" s="13">
        <v>300491.71999999997</v>
      </c>
      <c r="M9"/>
      <c r="N9"/>
    </row>
    <row r="10" spans="1:14" ht="19.2" customHeight="1" x14ac:dyDescent="0.3">
      <c r="A10" s="9">
        <v>9</v>
      </c>
      <c r="B10" s="19">
        <v>44690.504849537036</v>
      </c>
      <c r="C10" s="11" t="s">
        <v>274</v>
      </c>
      <c r="D10" s="12">
        <v>300491.71999999997</v>
      </c>
      <c r="E10" s="12">
        <v>0</v>
      </c>
      <c r="F10" s="11">
        <v>0</v>
      </c>
      <c r="G10" s="11">
        <v>260.29000000000002</v>
      </c>
      <c r="H10" s="12">
        <v>220119.08</v>
      </c>
      <c r="I10" s="12">
        <v>77041.679999999993</v>
      </c>
      <c r="J10" s="12">
        <v>2972</v>
      </c>
      <c r="K10" s="12">
        <v>300132.76</v>
      </c>
      <c r="L10" s="13">
        <v>358.96</v>
      </c>
      <c r="M10"/>
      <c r="N10"/>
    </row>
    <row r="11" spans="1:14" ht="19.2" customHeight="1" x14ac:dyDescent="0.3">
      <c r="A11" s="9">
        <v>10</v>
      </c>
      <c r="B11" s="19">
        <v>44697.418402777781</v>
      </c>
      <c r="C11" s="11" t="s">
        <v>275</v>
      </c>
      <c r="D11" s="12">
        <v>358.96</v>
      </c>
      <c r="E11" s="12">
        <v>180000</v>
      </c>
      <c r="F11" s="11">
        <v>0</v>
      </c>
      <c r="G11" s="11">
        <v>0</v>
      </c>
      <c r="H11" s="12">
        <v>0</v>
      </c>
      <c r="I11" s="12">
        <v>0</v>
      </c>
      <c r="J11" s="12">
        <v>0</v>
      </c>
      <c r="K11" s="12">
        <v>0</v>
      </c>
      <c r="L11" s="13">
        <v>180358.96</v>
      </c>
      <c r="M11"/>
      <c r="N11"/>
    </row>
    <row r="12" spans="1:14" ht="19.2" customHeight="1" x14ac:dyDescent="0.3">
      <c r="A12" s="9">
        <v>11</v>
      </c>
      <c r="B12" s="19">
        <v>44697.716238425928</v>
      </c>
      <c r="C12" s="11" t="s">
        <v>276</v>
      </c>
      <c r="D12" s="12">
        <v>180358.96</v>
      </c>
      <c r="E12" s="12">
        <v>0</v>
      </c>
      <c r="F12" s="11">
        <v>789</v>
      </c>
      <c r="G12" s="11">
        <v>0</v>
      </c>
      <c r="H12" s="12">
        <v>131746.09</v>
      </c>
      <c r="I12" s="12">
        <v>46111.05</v>
      </c>
      <c r="J12" s="12">
        <v>1779</v>
      </c>
      <c r="K12" s="12">
        <v>179636.14</v>
      </c>
      <c r="L12" s="13">
        <v>722.82</v>
      </c>
      <c r="M12"/>
      <c r="N12"/>
    </row>
    <row r="13" spans="1:14" ht="19.2" customHeight="1" x14ac:dyDescent="0.3">
      <c r="A13" s="9">
        <v>12</v>
      </c>
      <c r="B13" s="19">
        <v>44701.282800925925</v>
      </c>
      <c r="C13" s="11" t="s">
        <v>277</v>
      </c>
      <c r="D13" s="12">
        <v>722.82</v>
      </c>
      <c r="E13" s="12">
        <v>190000</v>
      </c>
      <c r="F13" s="11">
        <v>0</v>
      </c>
      <c r="G13" s="11">
        <v>0</v>
      </c>
      <c r="H13" s="12">
        <v>0</v>
      </c>
      <c r="I13" s="12">
        <v>0</v>
      </c>
      <c r="J13" s="12">
        <v>0</v>
      </c>
      <c r="K13" s="12">
        <v>0</v>
      </c>
      <c r="L13" s="13">
        <v>190722.82</v>
      </c>
      <c r="M13"/>
      <c r="N13"/>
    </row>
    <row r="14" spans="1:14" ht="19.2" customHeight="1" x14ac:dyDescent="0.3">
      <c r="A14" s="9">
        <v>13</v>
      </c>
      <c r="B14" s="19">
        <v>44701.516111111108</v>
      </c>
      <c r="C14" s="11" t="s">
        <v>278</v>
      </c>
      <c r="D14" s="12">
        <v>190722.82</v>
      </c>
      <c r="E14" s="12">
        <v>0</v>
      </c>
      <c r="F14" s="11">
        <v>543.6</v>
      </c>
      <c r="G14" s="11">
        <v>0</v>
      </c>
      <c r="H14" s="12">
        <v>80952.41</v>
      </c>
      <c r="I14" s="12">
        <v>28333.439999999999</v>
      </c>
      <c r="J14" s="12">
        <v>1093</v>
      </c>
      <c r="K14" s="12">
        <v>110378.85</v>
      </c>
      <c r="L14" s="13">
        <v>80343.97</v>
      </c>
      <c r="M14"/>
      <c r="N14"/>
    </row>
    <row r="15" spans="1:14" ht="19.2" customHeight="1" x14ac:dyDescent="0.3">
      <c r="A15" s="9">
        <v>14</v>
      </c>
      <c r="B15" s="19">
        <v>44704.433182870373</v>
      </c>
      <c r="C15" s="11" t="s">
        <v>279</v>
      </c>
      <c r="D15" s="12">
        <v>80343.97</v>
      </c>
      <c r="E15" s="12">
        <v>190000</v>
      </c>
      <c r="F15" s="11">
        <v>0</v>
      </c>
      <c r="G15" s="11">
        <v>0</v>
      </c>
      <c r="H15" s="12">
        <v>0</v>
      </c>
      <c r="I15" s="12">
        <v>0</v>
      </c>
      <c r="J15" s="12">
        <v>0</v>
      </c>
      <c r="K15" s="12">
        <v>0</v>
      </c>
      <c r="L15" s="13">
        <v>270343.96999999997</v>
      </c>
      <c r="M15"/>
      <c r="N15"/>
    </row>
    <row r="16" spans="1:14" ht="19.2" customHeight="1" x14ac:dyDescent="0.3">
      <c r="A16" s="9">
        <v>15</v>
      </c>
      <c r="B16" s="19">
        <v>44704.535497685189</v>
      </c>
      <c r="C16" s="11" t="s">
        <v>280</v>
      </c>
      <c r="D16" s="12">
        <v>270343.96999999997</v>
      </c>
      <c r="E16" s="12">
        <v>0</v>
      </c>
      <c r="F16" s="11">
        <v>160.80000000000001</v>
      </c>
      <c r="G16" s="11">
        <v>0</v>
      </c>
      <c r="H16" s="12">
        <v>24285.69</v>
      </c>
      <c r="I16" s="12">
        <v>8500</v>
      </c>
      <c r="J16" s="12">
        <v>328</v>
      </c>
      <c r="K16" s="12">
        <v>33113.69</v>
      </c>
      <c r="L16" s="13">
        <v>237230.28</v>
      </c>
      <c r="M16"/>
      <c r="N16"/>
    </row>
    <row r="17" spans="1:14" ht="19.2" customHeight="1" x14ac:dyDescent="0.3">
      <c r="A17" s="9">
        <v>16</v>
      </c>
      <c r="B17" s="19">
        <v>44704.717766203707</v>
      </c>
      <c r="C17" s="11" t="s">
        <v>281</v>
      </c>
      <c r="D17" s="12">
        <v>237230.28</v>
      </c>
      <c r="E17" s="12">
        <v>0</v>
      </c>
      <c r="F17" s="11">
        <v>0</v>
      </c>
      <c r="G17" s="11">
        <v>201.12</v>
      </c>
      <c r="H17" s="12">
        <v>173591.29</v>
      </c>
      <c r="I17" s="12">
        <v>60756.95</v>
      </c>
      <c r="J17" s="12">
        <v>2343</v>
      </c>
      <c r="K17" s="12">
        <v>236691.24</v>
      </c>
      <c r="L17" s="13">
        <v>539.04</v>
      </c>
      <c r="M17"/>
      <c r="N17"/>
    </row>
    <row r="18" spans="1:14" ht="19.2" customHeight="1" x14ac:dyDescent="0.3">
      <c r="A18" s="9">
        <v>17</v>
      </c>
      <c r="B18" s="19">
        <v>44712.454155092593</v>
      </c>
      <c r="C18" s="11" t="s">
        <v>282</v>
      </c>
      <c r="D18" s="12">
        <v>539.04</v>
      </c>
      <c r="E18" s="12">
        <v>200000</v>
      </c>
      <c r="F18" s="11">
        <v>0</v>
      </c>
      <c r="G18" s="11">
        <v>0</v>
      </c>
      <c r="H18" s="12">
        <v>0</v>
      </c>
      <c r="I18" s="12">
        <v>0</v>
      </c>
      <c r="J18" s="12">
        <v>0</v>
      </c>
      <c r="K18" s="12">
        <v>0</v>
      </c>
      <c r="L18" s="13">
        <v>200539.04</v>
      </c>
      <c r="M18"/>
      <c r="N18"/>
    </row>
    <row r="19" spans="1:14" ht="19.2" customHeight="1" x14ac:dyDescent="0.3">
      <c r="A19" s="9">
        <v>18</v>
      </c>
      <c r="B19" s="19">
        <v>44712.522627314815</v>
      </c>
      <c r="C19" s="11" t="s">
        <v>283</v>
      </c>
      <c r="D19" s="12">
        <v>200539.04</v>
      </c>
      <c r="E19" s="12">
        <v>0</v>
      </c>
      <c r="F19" s="11">
        <v>921.72</v>
      </c>
      <c r="G19" s="11">
        <v>0</v>
      </c>
      <c r="H19" s="12">
        <v>141825.38</v>
      </c>
      <c r="I19" s="12">
        <v>49638.91</v>
      </c>
      <c r="J19" s="12">
        <v>1915</v>
      </c>
      <c r="K19" s="12">
        <v>193379.29</v>
      </c>
      <c r="L19" s="13">
        <v>7159.75</v>
      </c>
      <c r="M19"/>
      <c r="N19"/>
    </row>
    <row r="20" spans="1:14" ht="19.2" customHeight="1" x14ac:dyDescent="0.3">
      <c r="A20" s="9">
        <v>19</v>
      </c>
      <c r="B20" s="19">
        <v>44716.416307870371</v>
      </c>
      <c r="C20" s="11" t="s">
        <v>284</v>
      </c>
      <c r="D20" s="12">
        <v>7159.75</v>
      </c>
      <c r="E20" s="12">
        <v>250000</v>
      </c>
      <c r="F20" s="11">
        <v>0</v>
      </c>
      <c r="G20" s="11">
        <v>0</v>
      </c>
      <c r="H20" s="12">
        <v>0</v>
      </c>
      <c r="I20" s="12">
        <v>0</v>
      </c>
      <c r="J20" s="12">
        <v>0</v>
      </c>
      <c r="K20" s="12">
        <v>0</v>
      </c>
      <c r="L20" s="13">
        <v>257159.75</v>
      </c>
      <c r="M20"/>
      <c r="N20"/>
    </row>
    <row r="21" spans="1:14" ht="19.2" customHeight="1" x14ac:dyDescent="0.3">
      <c r="A21" s="9">
        <v>20</v>
      </c>
      <c r="B21" s="19">
        <v>44716.54178240741</v>
      </c>
      <c r="C21" s="11" t="s">
        <v>285</v>
      </c>
      <c r="D21" s="12">
        <v>257159.75</v>
      </c>
      <c r="E21" s="12">
        <v>0</v>
      </c>
      <c r="F21" s="11">
        <v>562.91999999999996</v>
      </c>
      <c r="G21" s="11">
        <v>0</v>
      </c>
      <c r="H21" s="12">
        <v>86111.15</v>
      </c>
      <c r="I21" s="12">
        <v>30139.03</v>
      </c>
      <c r="J21" s="12">
        <v>1163</v>
      </c>
      <c r="K21" s="12">
        <v>117413.18</v>
      </c>
      <c r="L21" s="13">
        <v>139746.57</v>
      </c>
      <c r="M21"/>
      <c r="N21"/>
    </row>
    <row r="22" spans="1:14" ht="19.2" customHeight="1" x14ac:dyDescent="0.3">
      <c r="A22" s="9">
        <v>21</v>
      </c>
      <c r="B22" s="19">
        <v>44719.679328703707</v>
      </c>
      <c r="C22" s="11" t="s">
        <v>286</v>
      </c>
      <c r="D22" s="12">
        <v>139746.57</v>
      </c>
      <c r="E22" s="12">
        <v>0</v>
      </c>
      <c r="F22" s="11">
        <v>633</v>
      </c>
      <c r="G22" s="11">
        <v>0</v>
      </c>
      <c r="H22" s="12">
        <v>102380.97</v>
      </c>
      <c r="I22" s="12">
        <v>35833.379999999997</v>
      </c>
      <c r="J22" s="12">
        <v>1382</v>
      </c>
      <c r="K22" s="12">
        <v>139596.35</v>
      </c>
      <c r="L22" s="13">
        <v>150.22</v>
      </c>
      <c r="M22"/>
      <c r="N22"/>
    </row>
    <row r="23" spans="1:14" ht="19.2" customHeight="1" x14ac:dyDescent="0.3">
      <c r="A23" s="9">
        <v>22</v>
      </c>
      <c r="B23" s="19">
        <v>44721.381203703706</v>
      </c>
      <c r="C23" s="11" t="s">
        <v>287</v>
      </c>
      <c r="D23" s="12">
        <v>150.22</v>
      </c>
      <c r="E23" s="12">
        <v>150000</v>
      </c>
      <c r="F23" s="11">
        <v>0</v>
      </c>
      <c r="G23" s="11">
        <v>0</v>
      </c>
      <c r="H23" s="12">
        <v>0</v>
      </c>
      <c r="I23" s="12">
        <v>0</v>
      </c>
      <c r="J23" s="12">
        <v>0</v>
      </c>
      <c r="K23" s="12">
        <v>0</v>
      </c>
      <c r="L23" s="13">
        <v>150150.22</v>
      </c>
      <c r="M23"/>
      <c r="N23"/>
    </row>
    <row r="24" spans="1:14" ht="19.2" customHeight="1" x14ac:dyDescent="0.3">
      <c r="A24" s="9">
        <v>23</v>
      </c>
      <c r="B24" s="19">
        <v>44721.487280092595</v>
      </c>
      <c r="C24" s="11" t="s">
        <v>288</v>
      </c>
      <c r="D24" s="12">
        <v>150150.22</v>
      </c>
      <c r="E24" s="12">
        <v>0</v>
      </c>
      <c r="F24" s="11">
        <v>537</v>
      </c>
      <c r="G24" s="11">
        <v>0</v>
      </c>
      <c r="H24" s="12">
        <v>87063.59</v>
      </c>
      <c r="I24" s="12">
        <v>30472.18</v>
      </c>
      <c r="J24" s="12">
        <v>1175</v>
      </c>
      <c r="K24" s="12">
        <v>118710.77</v>
      </c>
      <c r="L24" s="13">
        <v>31439.45</v>
      </c>
      <c r="M24"/>
      <c r="N24"/>
    </row>
    <row r="25" spans="1:14" ht="19.2" customHeight="1" x14ac:dyDescent="0.3">
      <c r="A25" s="9">
        <v>24</v>
      </c>
      <c r="B25" s="19">
        <v>44723.399409722224</v>
      </c>
      <c r="C25" s="11" t="s">
        <v>289</v>
      </c>
      <c r="D25" s="12">
        <v>31439.45</v>
      </c>
      <c r="E25" s="12">
        <v>90000</v>
      </c>
      <c r="F25" s="11">
        <v>0</v>
      </c>
      <c r="G25" s="11">
        <v>0</v>
      </c>
      <c r="H25" s="12">
        <v>0</v>
      </c>
      <c r="I25" s="12">
        <v>0</v>
      </c>
      <c r="J25" s="12">
        <v>0</v>
      </c>
      <c r="K25" s="12">
        <v>0</v>
      </c>
      <c r="L25" s="13">
        <v>121439.45</v>
      </c>
      <c r="M25"/>
      <c r="N25"/>
    </row>
    <row r="26" spans="1:14" ht="19.2" customHeight="1" x14ac:dyDescent="0.3">
      <c r="A26" s="9">
        <v>25</v>
      </c>
      <c r="B26" s="19">
        <v>44723.691006944442</v>
      </c>
      <c r="C26" s="11" t="s">
        <v>290</v>
      </c>
      <c r="D26" s="12">
        <v>121439.45</v>
      </c>
      <c r="E26" s="12">
        <v>0</v>
      </c>
      <c r="F26" s="11">
        <v>566.4</v>
      </c>
      <c r="G26" s="11">
        <v>0</v>
      </c>
      <c r="H26" s="12">
        <v>88968.320000000007</v>
      </c>
      <c r="I26" s="12">
        <v>31139.02</v>
      </c>
      <c r="J26" s="12">
        <v>1201</v>
      </c>
      <c r="K26" s="12">
        <v>121308.34</v>
      </c>
      <c r="L26" s="13">
        <v>131.11000000000001</v>
      </c>
      <c r="M26"/>
      <c r="N26"/>
    </row>
    <row r="27" spans="1:14" ht="19.2" customHeight="1" x14ac:dyDescent="0.3">
      <c r="A27" s="9">
        <v>26</v>
      </c>
      <c r="B27" s="19">
        <v>44726.373842592591</v>
      </c>
      <c r="C27" s="11" t="s">
        <v>291</v>
      </c>
      <c r="D27" s="12">
        <v>131.11000000000001</v>
      </c>
      <c r="E27" s="12">
        <v>65000</v>
      </c>
      <c r="F27" s="11">
        <v>0</v>
      </c>
      <c r="G27" s="11">
        <v>0</v>
      </c>
      <c r="H27" s="12">
        <v>0</v>
      </c>
      <c r="I27" s="12">
        <v>0</v>
      </c>
      <c r="J27" s="12">
        <v>0</v>
      </c>
      <c r="K27" s="12">
        <v>0</v>
      </c>
      <c r="L27" s="13">
        <v>65131.11</v>
      </c>
      <c r="M27"/>
      <c r="N27"/>
    </row>
    <row r="28" spans="1:14" ht="19.2" customHeight="1" x14ac:dyDescent="0.3">
      <c r="A28" s="9">
        <v>27</v>
      </c>
      <c r="B28" s="19">
        <v>44729.377152777779</v>
      </c>
      <c r="C28" s="11" t="s">
        <v>292</v>
      </c>
      <c r="D28" s="12">
        <v>65131.11</v>
      </c>
      <c r="E28" s="12">
        <v>150000</v>
      </c>
      <c r="F28" s="11">
        <v>0</v>
      </c>
      <c r="G28" s="11">
        <v>0</v>
      </c>
      <c r="H28" s="12">
        <v>0</v>
      </c>
      <c r="I28" s="12">
        <v>0</v>
      </c>
      <c r="J28" s="12">
        <v>0</v>
      </c>
      <c r="K28" s="12">
        <v>0</v>
      </c>
      <c r="L28" s="13">
        <v>215131.11</v>
      </c>
      <c r="M28"/>
      <c r="N28"/>
    </row>
    <row r="29" spans="1:14" ht="19.2" customHeight="1" x14ac:dyDescent="0.3">
      <c r="A29" s="9">
        <v>28</v>
      </c>
      <c r="B29" s="19">
        <v>44729.470185185186</v>
      </c>
      <c r="C29" s="11" t="s">
        <v>293</v>
      </c>
      <c r="D29" s="12">
        <v>215131.11</v>
      </c>
      <c r="E29" s="12">
        <v>0</v>
      </c>
      <c r="F29" s="11">
        <v>514.32000000000005</v>
      </c>
      <c r="G29" s="11">
        <v>0</v>
      </c>
      <c r="H29" s="12">
        <v>78412.83</v>
      </c>
      <c r="I29" s="12">
        <v>27444.61</v>
      </c>
      <c r="J29" s="12">
        <v>1059</v>
      </c>
      <c r="K29" s="12">
        <v>106916.44</v>
      </c>
      <c r="L29" s="13">
        <v>108214.67</v>
      </c>
      <c r="M29"/>
      <c r="N29"/>
    </row>
    <row r="30" spans="1:14" ht="19.2" customHeight="1" x14ac:dyDescent="0.3">
      <c r="A30" s="9">
        <v>29</v>
      </c>
      <c r="B30" s="19">
        <v>44732.449444444443</v>
      </c>
      <c r="C30" s="11" t="s">
        <v>294</v>
      </c>
      <c r="D30" s="12">
        <v>108214.67</v>
      </c>
      <c r="E30" s="12">
        <v>450000</v>
      </c>
      <c r="F30" s="11">
        <v>0</v>
      </c>
      <c r="G30" s="11">
        <v>0</v>
      </c>
      <c r="H30" s="12">
        <v>0</v>
      </c>
      <c r="I30" s="12">
        <v>0</v>
      </c>
      <c r="J30" s="12">
        <v>0</v>
      </c>
      <c r="K30" s="12">
        <v>0</v>
      </c>
      <c r="L30" s="13">
        <v>558214.67000000004</v>
      </c>
      <c r="M30"/>
      <c r="N30"/>
    </row>
    <row r="31" spans="1:14" ht="19.2" customHeight="1" x14ac:dyDescent="0.3">
      <c r="A31" s="9">
        <v>30</v>
      </c>
      <c r="B31" s="19">
        <v>44732.717245370368</v>
      </c>
      <c r="C31" s="11" t="s">
        <v>295</v>
      </c>
      <c r="D31" s="12">
        <v>558214.67000000004</v>
      </c>
      <c r="E31" s="12">
        <v>0</v>
      </c>
      <c r="F31" s="11">
        <v>786.72</v>
      </c>
      <c r="G31" s="11">
        <v>0</v>
      </c>
      <c r="H31" s="12">
        <v>122619.17</v>
      </c>
      <c r="I31" s="12">
        <v>42916.83</v>
      </c>
      <c r="J31" s="12">
        <v>1655</v>
      </c>
      <c r="K31" s="12">
        <v>167191</v>
      </c>
      <c r="L31" s="13">
        <v>391023.67</v>
      </c>
      <c r="M31"/>
      <c r="N31"/>
    </row>
    <row r="32" spans="1:14" ht="19.2" customHeight="1" x14ac:dyDescent="0.3">
      <c r="A32" s="9">
        <v>31</v>
      </c>
      <c r="B32" s="19">
        <v>44732.717916666668</v>
      </c>
      <c r="C32" s="11" t="s">
        <v>296</v>
      </c>
      <c r="D32" s="12">
        <v>391023.67</v>
      </c>
      <c r="E32" s="12">
        <v>0</v>
      </c>
      <c r="F32" s="11">
        <v>0</v>
      </c>
      <c r="G32" s="11">
        <v>258.39</v>
      </c>
      <c r="H32" s="12">
        <v>219127.04000000001</v>
      </c>
      <c r="I32" s="12">
        <v>76694.460000000006</v>
      </c>
      <c r="J32" s="12">
        <v>2958</v>
      </c>
      <c r="K32" s="12">
        <v>298779.5</v>
      </c>
      <c r="L32" s="13">
        <v>92244.17</v>
      </c>
      <c r="M32"/>
      <c r="N32"/>
    </row>
    <row r="33" spans="1:14" ht="19.2" customHeight="1" x14ac:dyDescent="0.3">
      <c r="A33" s="9">
        <v>32</v>
      </c>
      <c r="B33" s="19">
        <v>44739.684270833335</v>
      </c>
      <c r="C33" s="11" t="s">
        <v>297</v>
      </c>
      <c r="D33" s="12">
        <v>92244.17</v>
      </c>
      <c r="E33" s="12">
        <v>0</v>
      </c>
      <c r="F33" s="11">
        <v>426.6</v>
      </c>
      <c r="G33" s="11">
        <v>0</v>
      </c>
      <c r="H33" s="12">
        <v>66825.37</v>
      </c>
      <c r="I33" s="12">
        <v>23388.83</v>
      </c>
      <c r="J33" s="12">
        <v>902</v>
      </c>
      <c r="K33" s="12">
        <v>91116.2</v>
      </c>
      <c r="L33" s="13">
        <v>1127.97</v>
      </c>
      <c r="M33"/>
      <c r="N33"/>
    </row>
    <row r="34" spans="1:14" ht="19.2" customHeight="1" x14ac:dyDescent="0.3">
      <c r="A34" s="9">
        <v>33</v>
      </c>
      <c r="B34" s="19">
        <v>44744.469861111109</v>
      </c>
      <c r="C34" s="11" t="s">
        <v>298</v>
      </c>
      <c r="D34" s="12">
        <v>1127.97</v>
      </c>
      <c r="E34" s="12">
        <v>300000</v>
      </c>
      <c r="F34" s="11">
        <v>0</v>
      </c>
      <c r="G34" s="11">
        <v>0</v>
      </c>
      <c r="H34" s="12">
        <v>0</v>
      </c>
      <c r="I34" s="12">
        <v>0</v>
      </c>
      <c r="J34" s="12">
        <v>0</v>
      </c>
      <c r="K34" s="12">
        <v>0</v>
      </c>
      <c r="L34" s="13">
        <v>301127.96999999997</v>
      </c>
      <c r="M34"/>
      <c r="N34"/>
    </row>
    <row r="35" spans="1:14" ht="19.2" customHeight="1" x14ac:dyDescent="0.3">
      <c r="A35" s="9">
        <v>34</v>
      </c>
      <c r="B35" s="19">
        <v>44744.681388888886</v>
      </c>
      <c r="C35" s="11" t="s">
        <v>299</v>
      </c>
      <c r="D35" s="12">
        <v>301127.96999999997</v>
      </c>
      <c r="E35" s="12">
        <v>0</v>
      </c>
      <c r="F35" s="11">
        <v>0</v>
      </c>
      <c r="G35" s="11">
        <v>265.97000000000003</v>
      </c>
      <c r="H35" s="12">
        <v>220595.28</v>
      </c>
      <c r="I35" s="12">
        <v>77208.36</v>
      </c>
      <c r="J35" s="12">
        <v>2978</v>
      </c>
      <c r="K35" s="12">
        <v>300781.64</v>
      </c>
      <c r="L35" s="13">
        <v>346.33</v>
      </c>
      <c r="M35"/>
      <c r="N35"/>
    </row>
    <row r="36" spans="1:14" ht="19.2" customHeight="1" x14ac:dyDescent="0.3">
      <c r="A36" s="9">
        <v>35</v>
      </c>
      <c r="B36" s="19">
        <v>44753.353425925925</v>
      </c>
      <c r="C36" s="11" t="s">
        <v>300</v>
      </c>
      <c r="D36" s="12">
        <v>346.33</v>
      </c>
      <c r="E36" s="12">
        <v>340000</v>
      </c>
      <c r="F36" s="11">
        <v>0</v>
      </c>
      <c r="G36" s="11">
        <v>0</v>
      </c>
      <c r="H36" s="12">
        <v>0</v>
      </c>
      <c r="I36" s="12">
        <v>0</v>
      </c>
      <c r="J36" s="12">
        <v>0</v>
      </c>
      <c r="K36" s="12">
        <v>0</v>
      </c>
      <c r="L36" s="13">
        <v>340346.33</v>
      </c>
      <c r="M36"/>
      <c r="N36"/>
    </row>
    <row r="37" spans="1:14" ht="19.2" customHeight="1" x14ac:dyDescent="0.3">
      <c r="A37" s="9">
        <v>36</v>
      </c>
      <c r="B37" s="19">
        <v>44753.683125000003</v>
      </c>
      <c r="C37" s="11" t="s">
        <v>301</v>
      </c>
      <c r="D37" s="12">
        <v>340346.33</v>
      </c>
      <c r="E37" s="12">
        <v>0</v>
      </c>
      <c r="F37" s="11">
        <v>0</v>
      </c>
      <c r="G37" s="11">
        <v>281.51</v>
      </c>
      <c r="H37" s="12">
        <v>245484.55</v>
      </c>
      <c r="I37" s="12">
        <v>85919.58</v>
      </c>
      <c r="J37" s="12">
        <v>3314</v>
      </c>
      <c r="K37" s="12">
        <v>334718.13</v>
      </c>
      <c r="L37" s="13">
        <v>5628.2</v>
      </c>
      <c r="M37"/>
      <c r="N37"/>
    </row>
    <row r="38" spans="1:14" ht="19.2" customHeight="1" x14ac:dyDescent="0.3">
      <c r="A38" s="9">
        <v>37</v>
      </c>
      <c r="B38" s="19">
        <v>44760.453449074077</v>
      </c>
      <c r="C38" s="11" t="s">
        <v>302</v>
      </c>
      <c r="D38" s="12">
        <v>5628.2</v>
      </c>
      <c r="E38" s="12">
        <v>150000</v>
      </c>
      <c r="F38" s="11">
        <v>0</v>
      </c>
      <c r="G38" s="11">
        <v>0</v>
      </c>
      <c r="H38" s="12">
        <v>0</v>
      </c>
      <c r="I38" s="12">
        <v>0</v>
      </c>
      <c r="J38" s="12">
        <v>0</v>
      </c>
      <c r="K38" s="12">
        <v>0</v>
      </c>
      <c r="L38" s="13">
        <v>155628.20000000001</v>
      </c>
      <c r="M38"/>
      <c r="N38"/>
    </row>
    <row r="39" spans="1:14" ht="19.2" customHeight="1" x14ac:dyDescent="0.3">
      <c r="A39" s="9">
        <v>38</v>
      </c>
      <c r="B39" s="19">
        <v>44762.470682870371</v>
      </c>
      <c r="C39" s="11" t="s">
        <v>303</v>
      </c>
      <c r="D39" s="12">
        <v>155628.20000000001</v>
      </c>
      <c r="E39" s="12">
        <v>75000</v>
      </c>
      <c r="F39" s="11">
        <v>0</v>
      </c>
      <c r="G39" s="11">
        <v>0</v>
      </c>
      <c r="H39" s="12">
        <v>0</v>
      </c>
      <c r="I39" s="12">
        <v>0</v>
      </c>
      <c r="J39" s="12">
        <v>0</v>
      </c>
      <c r="K39" s="12">
        <v>0</v>
      </c>
      <c r="L39" s="13">
        <v>230628.2</v>
      </c>
      <c r="M39"/>
      <c r="N39"/>
    </row>
    <row r="40" spans="1:14" ht="19.2" customHeight="1" x14ac:dyDescent="0.3">
      <c r="A40" s="9">
        <v>39</v>
      </c>
      <c r="B40" s="19">
        <v>44762.706064814818</v>
      </c>
      <c r="C40" s="11" t="s">
        <v>304</v>
      </c>
      <c r="D40" s="12">
        <v>230628.2</v>
      </c>
      <c r="E40" s="12">
        <v>0</v>
      </c>
      <c r="F40" s="11">
        <v>0</v>
      </c>
      <c r="G40" s="11">
        <v>40.44</v>
      </c>
      <c r="H40" s="12">
        <v>47578.3</v>
      </c>
      <c r="I40" s="12">
        <v>16652.41</v>
      </c>
      <c r="J40" s="12">
        <v>642</v>
      </c>
      <c r="K40" s="12">
        <v>64872.71</v>
      </c>
      <c r="L40" s="13">
        <v>165755.49</v>
      </c>
      <c r="M40"/>
      <c r="N40"/>
    </row>
    <row r="41" spans="1:14" ht="19.2" customHeight="1" x14ac:dyDescent="0.3">
      <c r="A41" s="9">
        <v>40</v>
      </c>
      <c r="B41" s="19">
        <v>44762.706666666665</v>
      </c>
      <c r="C41" s="11" t="s">
        <v>305</v>
      </c>
      <c r="D41" s="12">
        <v>165755.49</v>
      </c>
      <c r="E41" s="12">
        <v>0</v>
      </c>
      <c r="F41" s="11">
        <v>736.2</v>
      </c>
      <c r="G41" s="11">
        <v>0</v>
      </c>
      <c r="H41" s="12">
        <v>121349.39</v>
      </c>
      <c r="I41" s="12">
        <v>42472.29</v>
      </c>
      <c r="J41" s="12">
        <v>1638</v>
      </c>
      <c r="K41" s="12">
        <v>165459.68</v>
      </c>
      <c r="L41" s="13">
        <v>295.81</v>
      </c>
      <c r="M41"/>
      <c r="N41"/>
    </row>
    <row r="42" spans="1:14" ht="19.2" customHeight="1" x14ac:dyDescent="0.3">
      <c r="A42" s="9">
        <v>41</v>
      </c>
      <c r="B42" s="19">
        <v>44771.456863425927</v>
      </c>
      <c r="C42" s="11" t="s">
        <v>306</v>
      </c>
      <c r="D42" s="12">
        <v>295.81</v>
      </c>
      <c r="E42" s="12">
        <v>320000</v>
      </c>
      <c r="F42" s="11">
        <v>0</v>
      </c>
      <c r="G42" s="11">
        <v>0</v>
      </c>
      <c r="H42" s="12">
        <v>0</v>
      </c>
      <c r="I42" s="12">
        <v>0</v>
      </c>
      <c r="J42" s="12">
        <v>0</v>
      </c>
      <c r="K42" s="12">
        <v>0</v>
      </c>
      <c r="L42" s="13">
        <v>320295.81</v>
      </c>
      <c r="M42"/>
      <c r="N42"/>
    </row>
    <row r="43" spans="1:14" ht="19.2" customHeight="1" x14ac:dyDescent="0.3">
      <c r="A43" s="9">
        <v>42</v>
      </c>
      <c r="B43" s="19">
        <v>44771.664525462962</v>
      </c>
      <c r="C43" s="11" t="s">
        <v>307</v>
      </c>
      <c r="D43" s="12">
        <v>320295.81</v>
      </c>
      <c r="E43" s="12">
        <v>0</v>
      </c>
      <c r="F43" s="11">
        <v>0</v>
      </c>
      <c r="G43" s="11">
        <v>257.18</v>
      </c>
      <c r="H43" s="12">
        <v>234821.48</v>
      </c>
      <c r="I43" s="12">
        <v>82187.520000000004</v>
      </c>
      <c r="J43" s="12">
        <v>3170</v>
      </c>
      <c r="K43" s="12">
        <v>320179</v>
      </c>
      <c r="L43" s="13">
        <v>116.81</v>
      </c>
      <c r="M43"/>
      <c r="N43"/>
    </row>
    <row r="44" spans="1:14" ht="19.2" customHeight="1" x14ac:dyDescent="0.3">
      <c r="A44" s="9">
        <v>43</v>
      </c>
      <c r="B44" s="19">
        <v>44774.462141203701</v>
      </c>
      <c r="C44" s="11" t="s">
        <v>308</v>
      </c>
      <c r="D44" s="12">
        <v>116.81</v>
      </c>
      <c r="E44" s="12">
        <v>130000</v>
      </c>
      <c r="F44" s="11">
        <v>0</v>
      </c>
      <c r="G44" s="11">
        <v>0</v>
      </c>
      <c r="H44" s="12">
        <v>0</v>
      </c>
      <c r="I44" s="12">
        <v>0</v>
      </c>
      <c r="J44" s="12">
        <v>0</v>
      </c>
      <c r="K44" s="12">
        <v>0</v>
      </c>
      <c r="L44" s="13">
        <v>130116.81</v>
      </c>
      <c r="M44"/>
      <c r="N44"/>
    </row>
    <row r="45" spans="1:14" ht="19.2" customHeight="1" x14ac:dyDescent="0.3">
      <c r="A45" s="9">
        <v>44</v>
      </c>
      <c r="B45" s="19">
        <v>44774.664548611108</v>
      </c>
      <c r="C45" s="11" t="s">
        <v>309</v>
      </c>
      <c r="D45" s="12">
        <v>130116.81</v>
      </c>
      <c r="E45" s="12">
        <v>0</v>
      </c>
      <c r="F45" s="11">
        <v>560.16</v>
      </c>
      <c r="G45" s="11">
        <v>0</v>
      </c>
      <c r="H45" s="12">
        <v>94682.58</v>
      </c>
      <c r="I45" s="12">
        <v>33138.9</v>
      </c>
      <c r="J45" s="12">
        <v>1278</v>
      </c>
      <c r="K45" s="12">
        <v>129099.48</v>
      </c>
      <c r="L45" s="13">
        <v>1017.33</v>
      </c>
      <c r="M45"/>
      <c r="N45"/>
    </row>
    <row r="46" spans="1:14" ht="19.2" customHeight="1" x14ac:dyDescent="0.3">
      <c r="A46" s="9">
        <v>45</v>
      </c>
      <c r="B46" s="19">
        <v>44782.491979166669</v>
      </c>
      <c r="C46" s="11" t="s">
        <v>310</v>
      </c>
      <c r="D46" s="12">
        <v>1017.33</v>
      </c>
      <c r="E46" s="12">
        <v>280000</v>
      </c>
      <c r="F46" s="11">
        <v>0</v>
      </c>
      <c r="G46" s="11">
        <v>0</v>
      </c>
      <c r="H46" s="12">
        <v>0</v>
      </c>
      <c r="I46" s="12">
        <v>0</v>
      </c>
      <c r="J46" s="12">
        <v>0</v>
      </c>
      <c r="K46" s="12">
        <v>0</v>
      </c>
      <c r="L46" s="13">
        <v>281017.33</v>
      </c>
      <c r="M46"/>
      <c r="N46"/>
    </row>
    <row r="47" spans="1:14" ht="19.2" customHeight="1" x14ac:dyDescent="0.3">
      <c r="A47" s="9">
        <v>46</v>
      </c>
      <c r="B47" s="19">
        <v>44782.539618055554</v>
      </c>
      <c r="C47" s="11" t="s">
        <v>311</v>
      </c>
      <c r="D47" s="12">
        <v>281017.33</v>
      </c>
      <c r="E47" s="12">
        <v>0</v>
      </c>
      <c r="F47" s="11">
        <v>293.39999999999998</v>
      </c>
      <c r="G47" s="11">
        <v>0</v>
      </c>
      <c r="H47" s="12">
        <v>49444.52</v>
      </c>
      <c r="I47" s="12">
        <v>17305.580000000002</v>
      </c>
      <c r="J47" s="12">
        <v>668</v>
      </c>
      <c r="K47" s="12">
        <v>67418.100000000006</v>
      </c>
      <c r="L47" s="13">
        <v>213599.23</v>
      </c>
      <c r="M47"/>
      <c r="N47"/>
    </row>
    <row r="48" spans="1:14" ht="19.2" customHeight="1" x14ac:dyDescent="0.3">
      <c r="A48" s="9">
        <v>47</v>
      </c>
      <c r="B48" s="19">
        <v>44782.54</v>
      </c>
      <c r="C48" s="11" t="s">
        <v>312</v>
      </c>
      <c r="D48" s="12">
        <v>213599.23</v>
      </c>
      <c r="E48" s="12">
        <v>0</v>
      </c>
      <c r="F48" s="11">
        <v>0</v>
      </c>
      <c r="G48" s="11">
        <v>123.93</v>
      </c>
      <c r="H48" s="12">
        <v>101349.23</v>
      </c>
      <c r="I48" s="12">
        <v>35472.230000000003</v>
      </c>
      <c r="J48" s="12">
        <v>1368</v>
      </c>
      <c r="K48" s="12">
        <v>138189.46</v>
      </c>
      <c r="L48" s="13">
        <v>75409.77</v>
      </c>
      <c r="M48"/>
      <c r="N48"/>
    </row>
    <row r="49" spans="1:14" ht="19.2" customHeight="1" x14ac:dyDescent="0.3">
      <c r="A49" s="9">
        <v>48</v>
      </c>
      <c r="B49" s="19">
        <v>44785.46979166667</v>
      </c>
      <c r="C49" s="11" t="s">
        <v>313</v>
      </c>
      <c r="D49" s="12">
        <v>75409.77</v>
      </c>
      <c r="E49" s="12">
        <v>145000</v>
      </c>
      <c r="F49" s="11">
        <v>0</v>
      </c>
      <c r="G49" s="11">
        <v>0</v>
      </c>
      <c r="H49" s="12">
        <v>0</v>
      </c>
      <c r="I49" s="12">
        <v>0</v>
      </c>
      <c r="J49" s="12">
        <v>0</v>
      </c>
      <c r="K49" s="12">
        <v>0</v>
      </c>
      <c r="L49" s="13">
        <v>220409.77</v>
      </c>
      <c r="M49"/>
      <c r="N49"/>
    </row>
    <row r="50" spans="1:14" ht="19.2" customHeight="1" x14ac:dyDescent="0.3">
      <c r="A50" s="9">
        <v>49</v>
      </c>
      <c r="B50" s="19">
        <v>44785.656886574077</v>
      </c>
      <c r="C50" s="11" t="s">
        <v>314</v>
      </c>
      <c r="D50" s="12">
        <v>220409.77</v>
      </c>
      <c r="E50" s="12">
        <v>0</v>
      </c>
      <c r="F50" s="11">
        <v>0</v>
      </c>
      <c r="G50" s="11">
        <v>172.07</v>
      </c>
      <c r="H50" s="12">
        <v>161319.65</v>
      </c>
      <c r="I50" s="12">
        <v>56461.88</v>
      </c>
      <c r="J50" s="12">
        <v>2178</v>
      </c>
      <c r="K50" s="12">
        <v>219959.53</v>
      </c>
      <c r="L50" s="13">
        <v>450.24</v>
      </c>
      <c r="M50"/>
      <c r="N50"/>
    </row>
    <row r="51" spans="1:14" ht="19.2" customHeight="1" x14ac:dyDescent="0.3">
      <c r="A51" s="9">
        <v>50</v>
      </c>
      <c r="B51" s="19">
        <v>44795.482870370368</v>
      </c>
      <c r="C51" s="11" t="s">
        <v>315</v>
      </c>
      <c r="D51" s="12">
        <v>450.24</v>
      </c>
      <c r="E51" s="12">
        <v>499900</v>
      </c>
      <c r="F51" s="11">
        <v>0</v>
      </c>
      <c r="G51" s="11">
        <v>0</v>
      </c>
      <c r="H51" s="12">
        <v>0</v>
      </c>
      <c r="I51" s="12">
        <v>0</v>
      </c>
      <c r="J51" s="12">
        <v>0</v>
      </c>
      <c r="K51" s="12">
        <v>0</v>
      </c>
      <c r="L51" s="13">
        <v>500350.24</v>
      </c>
      <c r="M51"/>
      <c r="N51"/>
    </row>
    <row r="52" spans="1:14" ht="19.2" customHeight="1" x14ac:dyDescent="0.3">
      <c r="A52" s="9">
        <v>51</v>
      </c>
      <c r="B52" s="19">
        <v>44795.68986111111</v>
      </c>
      <c r="C52" s="11" t="s">
        <v>316</v>
      </c>
      <c r="D52" s="12">
        <v>500350.24</v>
      </c>
      <c r="E52" s="12">
        <v>0</v>
      </c>
      <c r="F52" s="11">
        <v>837.36</v>
      </c>
      <c r="G52" s="11">
        <v>0</v>
      </c>
      <c r="H52" s="12">
        <v>140714.45000000001</v>
      </c>
      <c r="I52" s="12">
        <v>49250.06</v>
      </c>
      <c r="J52" s="12">
        <v>1900</v>
      </c>
      <c r="K52" s="12">
        <v>191864.51</v>
      </c>
      <c r="L52" s="13">
        <v>308485.73</v>
      </c>
      <c r="M52"/>
      <c r="N52"/>
    </row>
    <row r="53" spans="1:14" ht="19.2" customHeight="1" x14ac:dyDescent="0.3">
      <c r="A53" s="9">
        <v>52</v>
      </c>
      <c r="B53" s="19">
        <v>44795.691562499997</v>
      </c>
      <c r="C53" s="11" t="s">
        <v>317</v>
      </c>
      <c r="D53" s="12">
        <v>308485.73</v>
      </c>
      <c r="E53" s="12">
        <v>0</v>
      </c>
      <c r="F53" s="11">
        <v>0</v>
      </c>
      <c r="G53" s="11">
        <v>243.07</v>
      </c>
      <c r="H53" s="12">
        <v>225654.72</v>
      </c>
      <c r="I53" s="12">
        <v>78979.149999999994</v>
      </c>
      <c r="J53" s="12">
        <v>3046</v>
      </c>
      <c r="K53" s="12">
        <v>307679.87</v>
      </c>
      <c r="L53" s="13">
        <v>805.86</v>
      </c>
      <c r="M53"/>
      <c r="N53"/>
    </row>
    <row r="54" spans="1:14" ht="19.2" customHeight="1" x14ac:dyDescent="0.3">
      <c r="A54" s="9">
        <v>53</v>
      </c>
      <c r="B54" s="19">
        <v>44806.287175925929</v>
      </c>
      <c r="C54" s="11" t="s">
        <v>318</v>
      </c>
      <c r="D54" s="12">
        <v>805.86</v>
      </c>
      <c r="E54" s="12">
        <v>300000</v>
      </c>
      <c r="F54" s="11">
        <v>0</v>
      </c>
      <c r="G54" s="11">
        <v>0</v>
      </c>
      <c r="H54" s="12">
        <v>0</v>
      </c>
      <c r="I54" s="12">
        <v>0</v>
      </c>
      <c r="J54" s="12">
        <v>0</v>
      </c>
      <c r="K54" s="12">
        <v>0</v>
      </c>
      <c r="L54" s="13">
        <v>300805.86</v>
      </c>
      <c r="M54"/>
      <c r="N54"/>
    </row>
    <row r="55" spans="1:14" ht="19.2" customHeight="1" x14ac:dyDescent="0.3">
      <c r="A55" s="9">
        <v>54</v>
      </c>
      <c r="B55" s="19">
        <v>44806.462199074071</v>
      </c>
      <c r="C55" s="11" t="s">
        <v>319</v>
      </c>
      <c r="D55" s="12">
        <v>300805.86</v>
      </c>
      <c r="E55" s="12">
        <v>199500</v>
      </c>
      <c r="F55" s="11">
        <v>0</v>
      </c>
      <c r="G55" s="11">
        <v>0</v>
      </c>
      <c r="H55" s="12">
        <v>0</v>
      </c>
      <c r="I55" s="12">
        <v>0</v>
      </c>
      <c r="J55" s="12">
        <v>0</v>
      </c>
      <c r="K55" s="12">
        <v>0</v>
      </c>
      <c r="L55" s="13">
        <v>500305.86</v>
      </c>
      <c r="M55"/>
      <c r="N55"/>
    </row>
    <row r="56" spans="1:14" ht="19.2" customHeight="1" x14ac:dyDescent="0.3">
      <c r="A56" s="9">
        <v>55</v>
      </c>
      <c r="B56" s="19">
        <v>44806.676412037035</v>
      </c>
      <c r="C56" s="11" t="s">
        <v>320</v>
      </c>
      <c r="D56" s="12">
        <v>500305.86</v>
      </c>
      <c r="E56" s="12">
        <v>0</v>
      </c>
      <c r="F56" s="11">
        <v>582.6</v>
      </c>
      <c r="G56" s="11">
        <v>0</v>
      </c>
      <c r="H56" s="12">
        <v>98571.56</v>
      </c>
      <c r="I56" s="12">
        <v>34500.050000000003</v>
      </c>
      <c r="J56" s="12">
        <v>1331</v>
      </c>
      <c r="K56" s="12">
        <v>134402.60999999999</v>
      </c>
      <c r="L56" s="13">
        <v>365903.25</v>
      </c>
      <c r="M56"/>
      <c r="N56"/>
    </row>
    <row r="57" spans="1:14" ht="19.2" customHeight="1" x14ac:dyDescent="0.3">
      <c r="A57" s="9">
        <v>56</v>
      </c>
      <c r="B57" s="19">
        <v>44806.678159722222</v>
      </c>
      <c r="C57" s="11" t="s">
        <v>321</v>
      </c>
      <c r="D57" s="12">
        <v>365903.25</v>
      </c>
      <c r="E57" s="12">
        <v>0</v>
      </c>
      <c r="F57" s="11">
        <v>0</v>
      </c>
      <c r="G57" s="11">
        <v>287.97000000000003</v>
      </c>
      <c r="H57" s="12">
        <v>268260.88</v>
      </c>
      <c r="I57" s="12">
        <v>93891.31</v>
      </c>
      <c r="J57" s="12">
        <v>3622</v>
      </c>
      <c r="K57" s="12">
        <v>365774.19</v>
      </c>
      <c r="L57" s="13">
        <v>129.06</v>
      </c>
      <c r="M57"/>
      <c r="N57"/>
    </row>
    <row r="58" spans="1:14" ht="19.2" customHeight="1" x14ac:dyDescent="0.3">
      <c r="A58" s="9">
        <v>57</v>
      </c>
      <c r="B58" s="19">
        <v>44816.484699074077</v>
      </c>
      <c r="C58" s="11" t="s">
        <v>322</v>
      </c>
      <c r="D58" s="12">
        <v>129.06</v>
      </c>
      <c r="E58" s="12">
        <v>100000</v>
      </c>
      <c r="F58" s="11">
        <v>0</v>
      </c>
      <c r="G58" s="11">
        <v>0</v>
      </c>
      <c r="H58" s="12">
        <v>0</v>
      </c>
      <c r="I58" s="12">
        <v>0</v>
      </c>
      <c r="J58" s="12">
        <v>0</v>
      </c>
      <c r="K58" s="12">
        <v>0</v>
      </c>
      <c r="L58" s="13">
        <v>100129.06</v>
      </c>
      <c r="M58"/>
      <c r="N58"/>
    </row>
    <row r="59" spans="1:14" ht="19.2" customHeight="1" x14ac:dyDescent="0.3">
      <c r="A59" s="9">
        <v>58</v>
      </c>
      <c r="B59" s="19">
        <v>44816.495937500003</v>
      </c>
      <c r="C59" s="11" t="s">
        <v>323</v>
      </c>
      <c r="D59" s="12">
        <v>100129.06</v>
      </c>
      <c r="E59" s="12">
        <v>150000</v>
      </c>
      <c r="F59" s="11">
        <v>0</v>
      </c>
      <c r="G59" s="11">
        <v>0</v>
      </c>
      <c r="H59" s="12">
        <v>0</v>
      </c>
      <c r="I59" s="12">
        <v>0</v>
      </c>
      <c r="J59" s="12">
        <v>0</v>
      </c>
      <c r="K59" s="12">
        <v>0</v>
      </c>
      <c r="L59" s="13">
        <v>250129.06</v>
      </c>
      <c r="M59"/>
      <c r="N59"/>
    </row>
    <row r="60" spans="1:14" ht="19.2" customHeight="1" x14ac:dyDescent="0.3">
      <c r="A60" s="9">
        <v>59</v>
      </c>
      <c r="B60" s="19">
        <v>44816.524050925924</v>
      </c>
      <c r="C60" s="11" t="s">
        <v>324</v>
      </c>
      <c r="D60" s="12">
        <v>250129.06</v>
      </c>
      <c r="E60" s="12">
        <v>0</v>
      </c>
      <c r="F60" s="11">
        <v>0</v>
      </c>
      <c r="G60" s="11">
        <v>211.68</v>
      </c>
      <c r="H60" s="12">
        <v>178174.62</v>
      </c>
      <c r="I60" s="12">
        <v>62361.120000000003</v>
      </c>
      <c r="J60" s="12">
        <v>2405</v>
      </c>
      <c r="K60" s="12">
        <v>242940.74</v>
      </c>
      <c r="L60" s="13">
        <v>7188.32</v>
      </c>
      <c r="M60"/>
      <c r="N60"/>
    </row>
    <row r="61" spans="1:14" ht="19.2" customHeight="1" x14ac:dyDescent="0.3">
      <c r="A61" s="9">
        <v>60</v>
      </c>
      <c r="B61" s="19">
        <v>44819.475138888891</v>
      </c>
      <c r="C61" s="11" t="s">
        <v>325</v>
      </c>
      <c r="D61" s="12">
        <v>7188.32</v>
      </c>
      <c r="E61" s="12">
        <v>250000</v>
      </c>
      <c r="F61" s="11">
        <v>0</v>
      </c>
      <c r="G61" s="11">
        <v>0</v>
      </c>
      <c r="H61" s="12">
        <v>0</v>
      </c>
      <c r="I61" s="12">
        <v>0</v>
      </c>
      <c r="J61" s="12">
        <v>0</v>
      </c>
      <c r="K61" s="12">
        <v>0</v>
      </c>
      <c r="L61" s="13">
        <v>257188.32</v>
      </c>
      <c r="M61"/>
      <c r="N61"/>
    </row>
    <row r="62" spans="1:14" ht="19.2" customHeight="1" x14ac:dyDescent="0.3">
      <c r="A62" s="9">
        <v>61</v>
      </c>
      <c r="B62" s="19">
        <v>44819.552372685182</v>
      </c>
      <c r="C62" s="11" t="s">
        <v>326</v>
      </c>
      <c r="D62" s="12">
        <v>257188.32</v>
      </c>
      <c r="E62" s="12">
        <v>0</v>
      </c>
      <c r="F62" s="11">
        <v>0</v>
      </c>
      <c r="G62" s="11">
        <v>161.72</v>
      </c>
      <c r="H62" s="12">
        <v>137552.95000000001</v>
      </c>
      <c r="I62" s="12">
        <v>48143.53</v>
      </c>
      <c r="J62" s="12">
        <v>1857</v>
      </c>
      <c r="K62" s="12">
        <v>187553.48</v>
      </c>
      <c r="L62" s="13">
        <v>69634.84</v>
      </c>
      <c r="M62"/>
      <c r="N62"/>
    </row>
    <row r="63" spans="1:14" ht="19.2" customHeight="1" x14ac:dyDescent="0.3">
      <c r="A63" s="9">
        <v>62</v>
      </c>
      <c r="B63" s="19">
        <v>44819.637337962966</v>
      </c>
      <c r="C63" s="11" t="s">
        <v>327</v>
      </c>
      <c r="D63" s="12">
        <v>69634.84</v>
      </c>
      <c r="E63" s="12">
        <v>0</v>
      </c>
      <c r="F63" s="11">
        <v>306.24</v>
      </c>
      <c r="G63" s="11">
        <v>0</v>
      </c>
      <c r="H63" s="12">
        <v>51031.8</v>
      </c>
      <c r="I63" s="12">
        <v>17861.13</v>
      </c>
      <c r="J63" s="12">
        <v>689</v>
      </c>
      <c r="K63" s="12">
        <v>69581.929999999993</v>
      </c>
      <c r="L63" s="13">
        <v>52.91</v>
      </c>
      <c r="M63"/>
      <c r="N63"/>
    </row>
    <row r="64" spans="1:14" ht="19.2" customHeight="1" x14ac:dyDescent="0.3">
      <c r="A64" s="9">
        <v>63</v>
      </c>
      <c r="B64" s="19">
        <v>44826.490682870368</v>
      </c>
      <c r="C64" s="11" t="s">
        <v>328</v>
      </c>
      <c r="D64" s="12">
        <v>52.91</v>
      </c>
      <c r="E64" s="12">
        <v>300000</v>
      </c>
      <c r="F64" s="11">
        <v>0</v>
      </c>
      <c r="G64" s="11">
        <v>0</v>
      </c>
      <c r="H64" s="12">
        <v>0</v>
      </c>
      <c r="I64" s="12">
        <v>0</v>
      </c>
      <c r="J64" s="12">
        <v>0</v>
      </c>
      <c r="K64" s="12">
        <v>0</v>
      </c>
      <c r="L64" s="13">
        <v>300052.90999999997</v>
      </c>
      <c r="M64"/>
      <c r="N64"/>
    </row>
    <row r="65" spans="1:14" ht="19.2" customHeight="1" x14ac:dyDescent="0.3">
      <c r="A65" s="9">
        <v>64</v>
      </c>
      <c r="B65" s="19">
        <v>44826.66170138889</v>
      </c>
      <c r="C65" s="11" t="s">
        <v>329</v>
      </c>
      <c r="D65" s="12">
        <v>300052.90999999997</v>
      </c>
      <c r="E65" s="12">
        <v>0</v>
      </c>
      <c r="F65" s="11">
        <v>326.39999999999998</v>
      </c>
      <c r="G65" s="11">
        <v>0</v>
      </c>
      <c r="H65" s="12">
        <v>52539.76</v>
      </c>
      <c r="I65" s="12">
        <v>18388.919999999998</v>
      </c>
      <c r="J65" s="12">
        <v>709</v>
      </c>
      <c r="K65" s="12">
        <v>71637.679999999993</v>
      </c>
      <c r="L65" s="13">
        <v>228415.23</v>
      </c>
      <c r="M65"/>
      <c r="N65"/>
    </row>
    <row r="66" spans="1:14" ht="19.2" customHeight="1" x14ac:dyDescent="0.3">
      <c r="A66" s="9">
        <v>65</v>
      </c>
      <c r="B66" s="19">
        <v>44826.67869212963</v>
      </c>
      <c r="C66" s="11" t="s">
        <v>330</v>
      </c>
      <c r="D66" s="12">
        <v>228415.23</v>
      </c>
      <c r="E66" s="12">
        <v>0</v>
      </c>
      <c r="F66" s="11">
        <v>0</v>
      </c>
      <c r="G66" s="11">
        <v>188.33</v>
      </c>
      <c r="H66" s="12">
        <v>158759.26999999999</v>
      </c>
      <c r="I66" s="12">
        <v>55565.74</v>
      </c>
      <c r="J66" s="12">
        <v>2143</v>
      </c>
      <c r="K66" s="12">
        <v>216468.01</v>
      </c>
      <c r="L66" s="13">
        <v>11947.22</v>
      </c>
      <c r="M66"/>
      <c r="N66"/>
    </row>
    <row r="67" spans="1:14" ht="19.2" customHeight="1" x14ac:dyDescent="0.3">
      <c r="A67" s="9">
        <v>66</v>
      </c>
      <c r="B67" s="19">
        <v>44833.412777777776</v>
      </c>
      <c r="C67" s="11" t="s">
        <v>331</v>
      </c>
      <c r="D67" s="12">
        <v>11947.22</v>
      </c>
      <c r="E67" s="12">
        <v>92000</v>
      </c>
      <c r="F67" s="11">
        <v>0</v>
      </c>
      <c r="G67" s="11">
        <v>0</v>
      </c>
      <c r="H67" s="12">
        <v>0</v>
      </c>
      <c r="I67" s="12">
        <v>0</v>
      </c>
      <c r="J67" s="12">
        <v>0</v>
      </c>
      <c r="K67" s="12">
        <v>0</v>
      </c>
      <c r="L67" s="13">
        <v>103947.22</v>
      </c>
      <c r="M67"/>
      <c r="N67"/>
    </row>
    <row r="68" spans="1:14" ht="19.2" customHeight="1" x14ac:dyDescent="0.3">
      <c r="A68" s="9">
        <v>67</v>
      </c>
      <c r="B68" s="19">
        <v>44833.49417824074</v>
      </c>
      <c r="C68" s="11" t="s">
        <v>332</v>
      </c>
      <c r="D68" s="12">
        <v>103947.22</v>
      </c>
      <c r="E68" s="12">
        <v>0</v>
      </c>
      <c r="F68" s="11">
        <v>406.32</v>
      </c>
      <c r="G68" s="11">
        <v>0</v>
      </c>
      <c r="H68" s="12">
        <v>66349.289999999994</v>
      </c>
      <c r="I68" s="12">
        <v>23222.27</v>
      </c>
      <c r="J68" s="12">
        <v>896</v>
      </c>
      <c r="K68" s="12">
        <v>90467.56</v>
      </c>
      <c r="L68" s="13">
        <v>13479.66</v>
      </c>
      <c r="M68"/>
      <c r="N68"/>
    </row>
    <row r="69" spans="1:14" ht="19.2" customHeight="1" x14ac:dyDescent="0.3">
      <c r="A69" s="9">
        <v>68</v>
      </c>
      <c r="B69" s="19">
        <v>44835.466944444444</v>
      </c>
      <c r="C69" s="11" t="s">
        <v>333</v>
      </c>
      <c r="D69" s="12">
        <v>13479.66</v>
      </c>
      <c r="E69" s="12">
        <v>185000</v>
      </c>
      <c r="F69" s="11">
        <v>0</v>
      </c>
      <c r="G69" s="11">
        <v>0</v>
      </c>
      <c r="H69" s="12">
        <v>0</v>
      </c>
      <c r="I69" s="12">
        <v>0</v>
      </c>
      <c r="J69" s="12">
        <v>0</v>
      </c>
      <c r="K69" s="12">
        <v>0</v>
      </c>
      <c r="L69" s="13">
        <v>198479.66</v>
      </c>
      <c r="M69"/>
      <c r="N69"/>
    </row>
    <row r="70" spans="1:14" ht="19.2" customHeight="1" x14ac:dyDescent="0.3">
      <c r="A70" s="9">
        <v>69</v>
      </c>
      <c r="B70" s="19">
        <v>44835.505254629628</v>
      </c>
      <c r="C70" s="11" t="s">
        <v>334</v>
      </c>
      <c r="D70" s="12">
        <v>198479.66</v>
      </c>
      <c r="E70" s="12">
        <v>0</v>
      </c>
      <c r="F70" s="11">
        <v>0</v>
      </c>
      <c r="G70" s="11">
        <v>166.05</v>
      </c>
      <c r="H70" s="12">
        <v>144523.85999999999</v>
      </c>
      <c r="I70" s="12">
        <v>50583.35</v>
      </c>
      <c r="J70" s="12">
        <v>1951</v>
      </c>
      <c r="K70" s="12">
        <v>197058.21</v>
      </c>
      <c r="L70" s="13">
        <v>1421.45</v>
      </c>
      <c r="M70"/>
      <c r="N70"/>
    </row>
    <row r="71" spans="1:14" ht="19.2" customHeight="1" x14ac:dyDescent="0.3">
      <c r="A71" s="9">
        <v>70</v>
      </c>
      <c r="B71" s="19">
        <v>44841.318414351852</v>
      </c>
      <c r="C71" s="11" t="s">
        <v>335</v>
      </c>
      <c r="D71" s="12">
        <v>1421.45</v>
      </c>
      <c r="E71" s="12">
        <v>100000</v>
      </c>
      <c r="F71" s="11">
        <v>0</v>
      </c>
      <c r="G71" s="11">
        <v>0</v>
      </c>
      <c r="H71" s="12">
        <v>0</v>
      </c>
      <c r="I71" s="12">
        <v>0</v>
      </c>
      <c r="J71" s="12">
        <v>0</v>
      </c>
      <c r="K71" s="12">
        <v>0</v>
      </c>
      <c r="L71" s="13">
        <v>101421.45</v>
      </c>
      <c r="M71"/>
      <c r="N71"/>
    </row>
    <row r="72" spans="1:14" ht="19.2" customHeight="1" x14ac:dyDescent="0.3">
      <c r="A72" s="9">
        <v>71</v>
      </c>
      <c r="B72" s="19">
        <v>44841.422500000001</v>
      </c>
      <c r="C72" s="11" t="s">
        <v>336</v>
      </c>
      <c r="D72" s="12">
        <v>101421.45</v>
      </c>
      <c r="E72" s="12">
        <v>0</v>
      </c>
      <c r="F72" s="11">
        <v>444.72</v>
      </c>
      <c r="G72" s="11">
        <v>0</v>
      </c>
      <c r="H72" s="12">
        <v>74047.7</v>
      </c>
      <c r="I72" s="12">
        <v>25916.7</v>
      </c>
      <c r="J72" s="12">
        <v>1000</v>
      </c>
      <c r="K72" s="12">
        <v>100964.4</v>
      </c>
      <c r="L72" s="13">
        <v>457.05</v>
      </c>
      <c r="M72"/>
      <c r="N72"/>
    </row>
    <row r="73" spans="1:14" ht="19.2" customHeight="1" x14ac:dyDescent="0.3">
      <c r="A73" s="9">
        <v>72</v>
      </c>
      <c r="B73" s="19">
        <v>44845.483680555553</v>
      </c>
      <c r="C73" s="11" t="s">
        <v>337</v>
      </c>
      <c r="D73" s="12">
        <v>457.05</v>
      </c>
      <c r="E73" s="12">
        <v>499500</v>
      </c>
      <c r="F73" s="11">
        <v>0</v>
      </c>
      <c r="G73" s="11">
        <v>0</v>
      </c>
      <c r="H73" s="12">
        <v>0</v>
      </c>
      <c r="I73" s="12">
        <v>0</v>
      </c>
      <c r="J73" s="12">
        <v>0</v>
      </c>
      <c r="K73" s="12">
        <v>0</v>
      </c>
      <c r="L73" s="13">
        <v>499957.05</v>
      </c>
      <c r="M73"/>
      <c r="N73"/>
    </row>
    <row r="74" spans="1:14" ht="19.2" customHeight="1" x14ac:dyDescent="0.3">
      <c r="A74" s="9">
        <v>73</v>
      </c>
      <c r="B74" s="19">
        <v>44845.642071759263</v>
      </c>
      <c r="C74" s="11" t="s">
        <v>338</v>
      </c>
      <c r="D74" s="12">
        <v>499957.05</v>
      </c>
      <c r="E74" s="12">
        <v>0</v>
      </c>
      <c r="F74" s="11">
        <v>0</v>
      </c>
      <c r="G74" s="11">
        <v>417.22</v>
      </c>
      <c r="H74" s="12">
        <v>366031.84</v>
      </c>
      <c r="I74" s="12">
        <v>128111.14</v>
      </c>
      <c r="J74" s="12">
        <v>4941</v>
      </c>
      <c r="K74" s="12">
        <v>499083.98</v>
      </c>
      <c r="L74" s="13">
        <v>873.07</v>
      </c>
      <c r="M74"/>
      <c r="N74"/>
    </row>
    <row r="75" spans="1:14" ht="19.2" customHeight="1" x14ac:dyDescent="0.3">
      <c r="A75" s="9">
        <v>74</v>
      </c>
      <c r="B75" s="19">
        <v>44856.474953703706</v>
      </c>
      <c r="C75" s="11" t="s">
        <v>339</v>
      </c>
      <c r="D75" s="12">
        <v>873.07</v>
      </c>
      <c r="E75" s="12">
        <v>50000</v>
      </c>
      <c r="F75" s="11">
        <v>0</v>
      </c>
      <c r="G75" s="11">
        <v>0</v>
      </c>
      <c r="H75" s="12">
        <v>0</v>
      </c>
      <c r="I75" s="12">
        <v>0</v>
      </c>
      <c r="J75" s="12">
        <v>0</v>
      </c>
      <c r="K75" s="12">
        <v>0</v>
      </c>
      <c r="L75" s="13">
        <v>50873.07</v>
      </c>
      <c r="M75"/>
      <c r="N75"/>
    </row>
    <row r="76" spans="1:14" ht="19.2" customHeight="1" x14ac:dyDescent="0.3">
      <c r="A76" s="9">
        <v>75</v>
      </c>
      <c r="B76" s="19">
        <v>44856.479247685187</v>
      </c>
      <c r="C76" s="11" t="s">
        <v>340</v>
      </c>
      <c r="D76" s="12">
        <v>50873.07</v>
      </c>
      <c r="E76" s="12">
        <v>9000</v>
      </c>
      <c r="F76" s="11">
        <v>0</v>
      </c>
      <c r="G76" s="11">
        <v>0</v>
      </c>
      <c r="H76" s="12">
        <v>0</v>
      </c>
      <c r="I76" s="12">
        <v>0</v>
      </c>
      <c r="J76" s="12">
        <v>0</v>
      </c>
      <c r="K76" s="12">
        <v>0</v>
      </c>
      <c r="L76" s="13">
        <v>59873.07</v>
      </c>
      <c r="M76"/>
      <c r="N76"/>
    </row>
    <row r="77" spans="1:14" ht="19.2" customHeight="1" x14ac:dyDescent="0.3">
      <c r="A77" s="9">
        <v>76</v>
      </c>
      <c r="B77" s="19">
        <v>44856.643645833334</v>
      </c>
      <c r="C77" s="11" t="s">
        <v>341</v>
      </c>
      <c r="D77" s="12">
        <v>59873.07</v>
      </c>
      <c r="E77" s="12">
        <v>0</v>
      </c>
      <c r="F77" s="11">
        <v>0</v>
      </c>
      <c r="G77" s="11">
        <v>51.84</v>
      </c>
      <c r="H77" s="12">
        <v>43492.08</v>
      </c>
      <c r="I77" s="12">
        <v>15222.23</v>
      </c>
      <c r="J77" s="12">
        <v>587</v>
      </c>
      <c r="K77" s="12">
        <v>59301.31</v>
      </c>
      <c r="L77" s="13">
        <v>571.76</v>
      </c>
      <c r="M77"/>
      <c r="N77"/>
    </row>
    <row r="78" spans="1:14" ht="19.2" customHeight="1" x14ac:dyDescent="0.3">
      <c r="A78" s="9">
        <v>77</v>
      </c>
      <c r="B78" s="19">
        <v>44866.461076388892</v>
      </c>
      <c r="C78" s="11" t="s">
        <v>342</v>
      </c>
      <c r="D78" s="12">
        <v>571.76</v>
      </c>
      <c r="E78" s="12">
        <v>118000</v>
      </c>
      <c r="F78" s="11">
        <v>0</v>
      </c>
      <c r="G78" s="11">
        <v>0</v>
      </c>
      <c r="H78" s="12">
        <v>0</v>
      </c>
      <c r="I78" s="12">
        <v>0</v>
      </c>
      <c r="J78" s="12">
        <v>0</v>
      </c>
      <c r="K78" s="12">
        <v>0</v>
      </c>
      <c r="L78" s="13">
        <v>118571.76</v>
      </c>
      <c r="M78"/>
      <c r="N78"/>
    </row>
    <row r="79" spans="1:14" ht="19.2" customHeight="1" x14ac:dyDescent="0.3">
      <c r="A79" s="9">
        <v>78</v>
      </c>
      <c r="B79" s="19">
        <v>44866.507060185184</v>
      </c>
      <c r="C79" s="11" t="s">
        <v>343</v>
      </c>
      <c r="D79" s="12">
        <v>118571.76</v>
      </c>
      <c r="E79" s="12">
        <v>0</v>
      </c>
      <c r="F79" s="11">
        <v>0</v>
      </c>
      <c r="G79" s="11">
        <v>97.47</v>
      </c>
      <c r="H79" s="12">
        <v>86904.79</v>
      </c>
      <c r="I79" s="12">
        <v>30416.68</v>
      </c>
      <c r="J79" s="12">
        <v>1173</v>
      </c>
      <c r="K79" s="12">
        <v>118494.47</v>
      </c>
      <c r="L79" s="13">
        <v>77.290000000000006</v>
      </c>
      <c r="M79"/>
      <c r="N79"/>
    </row>
    <row r="80" spans="1:14" ht="19.2" customHeight="1" x14ac:dyDescent="0.3">
      <c r="A80" s="9">
        <v>79</v>
      </c>
      <c r="B80" s="19">
        <v>44872.492326388892</v>
      </c>
      <c r="C80" s="11" t="s">
        <v>344</v>
      </c>
      <c r="D80" s="12">
        <v>77.290000000000006</v>
      </c>
      <c r="E80" s="12">
        <v>237000</v>
      </c>
      <c r="F80" s="11">
        <v>0</v>
      </c>
      <c r="G80" s="11">
        <v>0</v>
      </c>
      <c r="H80" s="12">
        <v>0</v>
      </c>
      <c r="I80" s="12">
        <v>0</v>
      </c>
      <c r="J80" s="12">
        <v>0</v>
      </c>
      <c r="K80" s="12">
        <v>0</v>
      </c>
      <c r="L80" s="13">
        <v>237077.29</v>
      </c>
      <c r="M80"/>
      <c r="N80"/>
    </row>
    <row r="81" spans="1:14" ht="19.2" customHeight="1" x14ac:dyDescent="0.3">
      <c r="A81" s="9">
        <v>80</v>
      </c>
      <c r="B81" s="19">
        <v>44872.631493055553</v>
      </c>
      <c r="C81" s="11" t="s">
        <v>345</v>
      </c>
      <c r="D81" s="12">
        <v>237077.29</v>
      </c>
      <c r="E81" s="12">
        <v>0</v>
      </c>
      <c r="F81" s="11">
        <v>0</v>
      </c>
      <c r="G81" s="11">
        <v>196.33</v>
      </c>
      <c r="H81" s="12">
        <v>170337.35</v>
      </c>
      <c r="I81" s="12">
        <v>59618.07</v>
      </c>
      <c r="J81" s="12">
        <v>2300</v>
      </c>
      <c r="K81" s="12">
        <v>232255.42</v>
      </c>
      <c r="L81" s="13">
        <v>4821.87</v>
      </c>
      <c r="M81"/>
      <c r="N81"/>
    </row>
    <row r="82" spans="1:14" ht="19.2" customHeight="1" x14ac:dyDescent="0.3">
      <c r="A82" s="9">
        <v>81</v>
      </c>
      <c r="B82" s="19">
        <v>44876.458032407405</v>
      </c>
      <c r="C82" s="11" t="s">
        <v>346</v>
      </c>
      <c r="D82" s="12">
        <v>4821.87</v>
      </c>
      <c r="E82" s="12">
        <v>260000</v>
      </c>
      <c r="F82" s="11">
        <v>0</v>
      </c>
      <c r="G82" s="11">
        <v>0</v>
      </c>
      <c r="H82" s="12">
        <v>0</v>
      </c>
      <c r="I82" s="12">
        <v>0</v>
      </c>
      <c r="J82" s="12">
        <v>0</v>
      </c>
      <c r="K82" s="12">
        <v>0</v>
      </c>
      <c r="L82" s="13">
        <v>264821.87</v>
      </c>
      <c r="M82"/>
      <c r="N82"/>
    </row>
    <row r="83" spans="1:14" ht="19.2" customHeight="1" x14ac:dyDescent="0.3">
      <c r="A83" s="9">
        <v>82</v>
      </c>
      <c r="B83" s="19">
        <v>44876.675300925926</v>
      </c>
      <c r="C83" s="11" t="s">
        <v>347</v>
      </c>
      <c r="D83" s="12">
        <v>264821.87</v>
      </c>
      <c r="E83" s="12">
        <v>0</v>
      </c>
      <c r="F83" s="11">
        <v>0</v>
      </c>
      <c r="G83" s="11">
        <v>159.02000000000001</v>
      </c>
      <c r="H83" s="12">
        <v>135994.28</v>
      </c>
      <c r="I83" s="12">
        <v>47598</v>
      </c>
      <c r="J83" s="12">
        <v>1836</v>
      </c>
      <c r="K83" s="12">
        <v>185428.28</v>
      </c>
      <c r="L83" s="13">
        <v>79393.59</v>
      </c>
      <c r="M83"/>
      <c r="N83"/>
    </row>
    <row r="84" spans="1:14" ht="19.2" customHeight="1" x14ac:dyDescent="0.3">
      <c r="A84" s="9">
        <v>83</v>
      </c>
      <c r="B84" s="19">
        <v>44876.676006944443</v>
      </c>
      <c r="C84" s="11" t="s">
        <v>348</v>
      </c>
      <c r="D84" s="12">
        <v>79393.59</v>
      </c>
      <c r="E84" s="12">
        <v>0</v>
      </c>
      <c r="F84" s="11">
        <v>330</v>
      </c>
      <c r="G84" s="11">
        <v>0</v>
      </c>
      <c r="H84" s="12">
        <v>57936.53</v>
      </c>
      <c r="I84" s="12">
        <v>20277.79</v>
      </c>
      <c r="J84" s="12">
        <v>782</v>
      </c>
      <c r="K84" s="12">
        <v>78996.320000000007</v>
      </c>
      <c r="L84" s="13">
        <v>397.27</v>
      </c>
      <c r="M84"/>
      <c r="N84"/>
    </row>
    <row r="85" spans="1:14" ht="19.2" customHeight="1" x14ac:dyDescent="0.3">
      <c r="A85" s="9">
        <v>84</v>
      </c>
      <c r="B85" s="19">
        <v>44880.470601851855</v>
      </c>
      <c r="C85" s="11" t="s">
        <v>349</v>
      </c>
      <c r="D85" s="12">
        <v>397.27</v>
      </c>
      <c r="E85" s="12">
        <v>300000</v>
      </c>
      <c r="F85" s="11">
        <v>0</v>
      </c>
      <c r="G85" s="11">
        <v>0</v>
      </c>
      <c r="H85" s="12">
        <v>0</v>
      </c>
      <c r="I85" s="12">
        <v>0</v>
      </c>
      <c r="J85" s="12">
        <v>0</v>
      </c>
      <c r="K85" s="12">
        <v>0</v>
      </c>
      <c r="L85" s="13">
        <v>300397.27</v>
      </c>
      <c r="M85"/>
      <c r="N85"/>
    </row>
    <row r="86" spans="1:14" ht="19.2" customHeight="1" x14ac:dyDescent="0.3">
      <c r="A86" s="9">
        <v>85</v>
      </c>
      <c r="B86" s="19">
        <v>44880.652453703704</v>
      </c>
      <c r="C86" s="11" t="s">
        <v>350</v>
      </c>
      <c r="D86" s="12">
        <v>300397.27</v>
      </c>
      <c r="E86" s="12">
        <v>0</v>
      </c>
      <c r="F86" s="11">
        <v>0</v>
      </c>
      <c r="G86" s="11">
        <v>243</v>
      </c>
      <c r="H86" s="12">
        <v>218412.75</v>
      </c>
      <c r="I86" s="12">
        <v>76444.460000000006</v>
      </c>
      <c r="J86" s="12">
        <v>2949</v>
      </c>
      <c r="K86" s="12">
        <v>297806.21000000002</v>
      </c>
      <c r="L86" s="13">
        <v>2591.06</v>
      </c>
      <c r="M86"/>
      <c r="N86"/>
    </row>
    <row r="87" spans="1:14" ht="19.2" customHeight="1" x14ac:dyDescent="0.3">
      <c r="A87" s="9">
        <v>86</v>
      </c>
      <c r="B87" s="19">
        <v>44882.450254629628</v>
      </c>
      <c r="C87" s="11" t="s">
        <v>351</v>
      </c>
      <c r="D87" s="12">
        <v>2591.06</v>
      </c>
      <c r="E87" s="12">
        <v>190000</v>
      </c>
      <c r="F87" s="11">
        <v>0</v>
      </c>
      <c r="G87" s="11">
        <v>0</v>
      </c>
      <c r="H87" s="12">
        <v>0</v>
      </c>
      <c r="I87" s="12">
        <v>0</v>
      </c>
      <c r="J87" s="12">
        <v>0</v>
      </c>
      <c r="K87" s="12">
        <v>0</v>
      </c>
      <c r="L87" s="13">
        <v>192591.06</v>
      </c>
      <c r="M87"/>
      <c r="N87"/>
    </row>
    <row r="88" spans="1:14" ht="19.2" customHeight="1" x14ac:dyDescent="0.3">
      <c r="A88" s="9">
        <v>87</v>
      </c>
      <c r="B88" s="19">
        <v>44882.542824074073</v>
      </c>
      <c r="C88" s="11" t="s">
        <v>352</v>
      </c>
      <c r="D88" s="12">
        <v>192591.06</v>
      </c>
      <c r="E88" s="12">
        <v>0</v>
      </c>
      <c r="F88" s="11">
        <v>0</v>
      </c>
      <c r="G88" s="11">
        <v>169.06</v>
      </c>
      <c r="H88" s="12">
        <v>139980.20000000001</v>
      </c>
      <c r="I88" s="12">
        <v>48993.07</v>
      </c>
      <c r="J88" s="12">
        <v>1890</v>
      </c>
      <c r="K88" s="12">
        <v>190863.27</v>
      </c>
      <c r="L88" s="13">
        <v>1727.79</v>
      </c>
      <c r="M88"/>
      <c r="N88"/>
    </row>
    <row r="89" spans="1:14" ht="19.2" customHeight="1" x14ac:dyDescent="0.3">
      <c r="A89" s="9">
        <v>88</v>
      </c>
      <c r="B89" s="19">
        <v>44884.499374999999</v>
      </c>
      <c r="C89" s="11" t="s">
        <v>353</v>
      </c>
      <c r="D89" s="12">
        <v>1727.79</v>
      </c>
      <c r="E89" s="12">
        <v>200000</v>
      </c>
      <c r="F89" s="11">
        <v>0</v>
      </c>
      <c r="G89" s="11">
        <v>0</v>
      </c>
      <c r="H89" s="12">
        <v>0</v>
      </c>
      <c r="I89" s="12">
        <v>0</v>
      </c>
      <c r="J89" s="12">
        <v>0</v>
      </c>
      <c r="K89" s="12">
        <v>0</v>
      </c>
      <c r="L89" s="13">
        <v>201727.79</v>
      </c>
      <c r="M89"/>
      <c r="N89"/>
    </row>
    <row r="90" spans="1:14" ht="19.2" customHeight="1" x14ac:dyDescent="0.3">
      <c r="A90" s="9">
        <v>89</v>
      </c>
      <c r="B90" s="19">
        <v>44888.429224537038</v>
      </c>
      <c r="C90" s="11" t="s">
        <v>354</v>
      </c>
      <c r="D90" s="12">
        <v>201727.79</v>
      </c>
      <c r="E90" s="12">
        <v>55000</v>
      </c>
      <c r="F90" s="11">
        <v>0</v>
      </c>
      <c r="G90" s="11">
        <v>0</v>
      </c>
      <c r="H90" s="12">
        <v>0</v>
      </c>
      <c r="I90" s="12">
        <v>0</v>
      </c>
      <c r="J90" s="12">
        <v>0</v>
      </c>
      <c r="K90" s="12">
        <v>0</v>
      </c>
      <c r="L90" s="13">
        <v>256727.79</v>
      </c>
      <c r="M90"/>
      <c r="N90"/>
    </row>
    <row r="91" spans="1:14" ht="19.2" customHeight="1" x14ac:dyDescent="0.3">
      <c r="A91" s="9">
        <v>90</v>
      </c>
      <c r="B91" s="19">
        <v>44888.504571759258</v>
      </c>
      <c r="C91" s="11" t="s">
        <v>355</v>
      </c>
      <c r="D91" s="12">
        <v>256727.79</v>
      </c>
      <c r="E91" s="12">
        <v>0</v>
      </c>
      <c r="F91" s="11">
        <v>0</v>
      </c>
      <c r="G91" s="11">
        <v>171.72</v>
      </c>
      <c r="H91" s="12">
        <v>146269.89000000001</v>
      </c>
      <c r="I91" s="12">
        <v>51194.46</v>
      </c>
      <c r="J91" s="12">
        <v>1975</v>
      </c>
      <c r="K91" s="12">
        <v>199439.35</v>
      </c>
      <c r="L91" s="13">
        <v>57288.44</v>
      </c>
      <c r="M91"/>
      <c r="N91"/>
    </row>
    <row r="92" spans="1:14" ht="19.2" customHeight="1" x14ac:dyDescent="0.3">
      <c r="A92" s="9">
        <v>91</v>
      </c>
      <c r="B92" s="19">
        <v>44888.50509259259</v>
      </c>
      <c r="C92" s="11" t="s">
        <v>356</v>
      </c>
      <c r="D92" s="12">
        <v>57288.44</v>
      </c>
      <c r="E92" s="12">
        <v>0</v>
      </c>
      <c r="F92" s="11">
        <v>252</v>
      </c>
      <c r="G92" s="11">
        <v>0</v>
      </c>
      <c r="H92" s="12">
        <v>41904.81</v>
      </c>
      <c r="I92" s="12">
        <v>14666.68</v>
      </c>
      <c r="J92" s="12">
        <v>566</v>
      </c>
      <c r="K92" s="12">
        <v>57137.49</v>
      </c>
      <c r="L92" s="13">
        <v>150.94999999999999</v>
      </c>
      <c r="M92"/>
      <c r="N92"/>
    </row>
    <row r="93" spans="1:14" ht="19.2" customHeight="1" x14ac:dyDescent="0.3">
      <c r="A93" s="9">
        <v>92</v>
      </c>
      <c r="B93" s="19">
        <v>44896.498611111114</v>
      </c>
      <c r="C93" s="11" t="s">
        <v>357</v>
      </c>
      <c r="D93" s="12">
        <v>150.94999999999999</v>
      </c>
      <c r="E93" s="12">
        <v>250000</v>
      </c>
      <c r="F93" s="11">
        <v>0</v>
      </c>
      <c r="G93" s="11">
        <v>0</v>
      </c>
      <c r="H93" s="12">
        <v>0</v>
      </c>
      <c r="I93" s="12">
        <v>0</v>
      </c>
      <c r="J93" s="12">
        <v>0</v>
      </c>
      <c r="K93" s="12">
        <v>0</v>
      </c>
      <c r="L93" s="13">
        <v>250150.95</v>
      </c>
      <c r="M93"/>
      <c r="N93"/>
    </row>
    <row r="94" spans="1:14" ht="19.2" customHeight="1" x14ac:dyDescent="0.3">
      <c r="A94" s="9">
        <v>93</v>
      </c>
      <c r="B94" s="19">
        <v>44896.50068287037</v>
      </c>
      <c r="C94" s="11" t="s">
        <v>358</v>
      </c>
      <c r="D94" s="12">
        <v>250150.95</v>
      </c>
      <c r="E94" s="12">
        <v>100000</v>
      </c>
      <c r="F94" s="11">
        <v>0</v>
      </c>
      <c r="G94" s="11">
        <v>0</v>
      </c>
      <c r="H94" s="12">
        <v>0</v>
      </c>
      <c r="I94" s="12">
        <v>0</v>
      </c>
      <c r="J94" s="12">
        <v>0</v>
      </c>
      <c r="K94" s="12">
        <v>0</v>
      </c>
      <c r="L94" s="13">
        <v>350150.95</v>
      </c>
      <c r="M94"/>
      <c r="N94"/>
    </row>
    <row r="95" spans="1:14" ht="19.2" customHeight="1" x14ac:dyDescent="0.3">
      <c r="A95" s="9">
        <v>94</v>
      </c>
      <c r="B95" s="19">
        <v>44897.486608796295</v>
      </c>
      <c r="C95" s="11" t="s">
        <v>359</v>
      </c>
      <c r="D95" s="12">
        <v>350150.95</v>
      </c>
      <c r="E95" s="12">
        <v>0</v>
      </c>
      <c r="F95" s="11">
        <v>0</v>
      </c>
      <c r="G95" s="11">
        <v>301.19</v>
      </c>
      <c r="H95" s="12">
        <v>255614.9</v>
      </c>
      <c r="I95" s="12">
        <v>89465.21</v>
      </c>
      <c r="J95" s="12">
        <v>3451</v>
      </c>
      <c r="K95" s="12">
        <v>348531.11</v>
      </c>
      <c r="L95" s="13">
        <v>1619.84</v>
      </c>
      <c r="M95"/>
      <c r="N95"/>
    </row>
    <row r="96" spans="1:14" ht="19.2" customHeight="1" x14ac:dyDescent="0.3">
      <c r="A96" s="9">
        <v>95</v>
      </c>
      <c r="B96" s="19">
        <v>44901.471400462964</v>
      </c>
      <c r="C96" s="11" t="s">
        <v>360</v>
      </c>
      <c r="D96" s="12">
        <v>1619.84</v>
      </c>
      <c r="E96" s="12">
        <v>275000</v>
      </c>
      <c r="F96" s="11">
        <v>0</v>
      </c>
      <c r="G96" s="11">
        <v>0</v>
      </c>
      <c r="H96" s="12">
        <v>0</v>
      </c>
      <c r="I96" s="12">
        <v>0</v>
      </c>
      <c r="J96" s="12">
        <v>0</v>
      </c>
      <c r="K96" s="12">
        <v>0</v>
      </c>
      <c r="L96" s="13">
        <v>276619.84000000003</v>
      </c>
      <c r="M96"/>
      <c r="N96"/>
    </row>
    <row r="97" spans="1:14" ht="19.2" customHeight="1" x14ac:dyDescent="0.3">
      <c r="A97" s="9">
        <v>96</v>
      </c>
      <c r="B97" s="19">
        <v>44901.632418981484</v>
      </c>
      <c r="C97" s="11" t="s">
        <v>361</v>
      </c>
      <c r="D97" s="12">
        <v>276619.84000000003</v>
      </c>
      <c r="E97" s="12">
        <v>0</v>
      </c>
      <c r="F97" s="11">
        <v>0</v>
      </c>
      <c r="G97" s="11">
        <v>159.55000000000001</v>
      </c>
      <c r="H97" s="12">
        <v>147381</v>
      </c>
      <c r="I97" s="12">
        <v>51583.35</v>
      </c>
      <c r="J97" s="12">
        <v>1990</v>
      </c>
      <c r="K97" s="12">
        <v>200954.35</v>
      </c>
      <c r="L97" s="13">
        <v>75665.490000000005</v>
      </c>
      <c r="M97"/>
      <c r="N97"/>
    </row>
    <row r="98" spans="1:14" ht="19.2" customHeight="1" x14ac:dyDescent="0.3">
      <c r="A98" s="9">
        <v>97</v>
      </c>
      <c r="B98" s="19">
        <v>44901.633935185186</v>
      </c>
      <c r="C98" s="11" t="s">
        <v>362</v>
      </c>
      <c r="D98" s="12">
        <v>75665.490000000005</v>
      </c>
      <c r="E98" s="12">
        <v>0</v>
      </c>
      <c r="F98" s="11">
        <v>334.2</v>
      </c>
      <c r="G98" s="11">
        <v>0</v>
      </c>
      <c r="H98" s="12">
        <v>55317.51</v>
      </c>
      <c r="I98" s="12">
        <v>19361.13</v>
      </c>
      <c r="J98" s="12">
        <v>747</v>
      </c>
      <c r="K98" s="12">
        <v>75425.64</v>
      </c>
      <c r="L98" s="13">
        <v>239.85</v>
      </c>
      <c r="M98"/>
      <c r="N98"/>
    </row>
    <row r="99" spans="1:14" ht="19.2" customHeight="1" x14ac:dyDescent="0.3">
      <c r="A99" s="9">
        <v>98</v>
      </c>
      <c r="B99" s="19">
        <v>44914.474826388891</v>
      </c>
      <c r="C99" s="11" t="s">
        <v>363</v>
      </c>
      <c r="D99" s="12">
        <v>239.85</v>
      </c>
      <c r="E99" s="12">
        <v>499000</v>
      </c>
      <c r="F99" s="11">
        <v>0</v>
      </c>
      <c r="G99" s="11">
        <v>0</v>
      </c>
      <c r="H99" s="12">
        <v>0</v>
      </c>
      <c r="I99" s="12">
        <v>0</v>
      </c>
      <c r="J99" s="12">
        <v>0</v>
      </c>
      <c r="K99" s="12">
        <v>0</v>
      </c>
      <c r="L99" s="13">
        <v>499239.85</v>
      </c>
      <c r="M99"/>
      <c r="N99"/>
    </row>
    <row r="100" spans="1:14" ht="19.2" customHeight="1" x14ac:dyDescent="0.3">
      <c r="A100" s="9">
        <v>99</v>
      </c>
      <c r="B100" s="19">
        <v>44914.768194444441</v>
      </c>
      <c r="C100" s="11" t="s">
        <v>364</v>
      </c>
      <c r="D100" s="12">
        <v>499239.85</v>
      </c>
      <c r="E100" s="12">
        <v>0</v>
      </c>
      <c r="F100" s="11">
        <v>286.8</v>
      </c>
      <c r="G100" s="11">
        <v>0</v>
      </c>
      <c r="H100" s="12">
        <v>47301.62</v>
      </c>
      <c r="I100" s="12">
        <v>16555.57</v>
      </c>
      <c r="J100" s="12">
        <v>639</v>
      </c>
      <c r="K100" s="12">
        <v>64496.19</v>
      </c>
      <c r="L100" s="13">
        <v>434743.66</v>
      </c>
      <c r="M100"/>
      <c r="N100"/>
    </row>
    <row r="101" spans="1:14" ht="19.2" customHeight="1" x14ac:dyDescent="0.3">
      <c r="A101" s="9">
        <v>100</v>
      </c>
      <c r="B101" s="19">
        <v>44914.77716435185</v>
      </c>
      <c r="C101" s="11" t="s">
        <v>365</v>
      </c>
      <c r="D101" s="12">
        <v>434743.66</v>
      </c>
      <c r="E101" s="12">
        <v>0</v>
      </c>
      <c r="F101" s="11">
        <v>0</v>
      </c>
      <c r="G101" s="11">
        <v>338.28</v>
      </c>
      <c r="H101" s="12">
        <v>316224.2</v>
      </c>
      <c r="I101" s="12">
        <v>110678.46</v>
      </c>
      <c r="J101" s="12">
        <v>4269</v>
      </c>
      <c r="K101" s="12">
        <v>431171.66</v>
      </c>
      <c r="L101" s="13">
        <v>3572</v>
      </c>
      <c r="M101"/>
      <c r="N101"/>
    </row>
    <row r="102" spans="1:14" ht="19.2" customHeight="1" x14ac:dyDescent="0.3">
      <c r="A102" s="9">
        <v>101</v>
      </c>
      <c r="B102" s="19">
        <v>44924.478773148148</v>
      </c>
      <c r="C102" s="11" t="s">
        <v>366</v>
      </c>
      <c r="D102" s="12">
        <v>3572</v>
      </c>
      <c r="E102" s="12">
        <v>215000</v>
      </c>
      <c r="F102" s="11">
        <v>0</v>
      </c>
      <c r="G102" s="11">
        <v>0</v>
      </c>
      <c r="H102" s="12">
        <v>0</v>
      </c>
      <c r="I102" s="12">
        <v>0</v>
      </c>
      <c r="J102" s="12">
        <v>0</v>
      </c>
      <c r="K102" s="12">
        <v>0</v>
      </c>
      <c r="L102" s="13">
        <v>218572</v>
      </c>
      <c r="M102"/>
      <c r="N102"/>
    </row>
    <row r="103" spans="1:14" ht="19.2" customHeight="1" x14ac:dyDescent="0.3">
      <c r="A103" s="9">
        <v>102</v>
      </c>
      <c r="B103" s="19">
        <v>44924.721238425926</v>
      </c>
      <c r="C103" s="11" t="s">
        <v>367</v>
      </c>
      <c r="D103" s="12">
        <v>218572</v>
      </c>
      <c r="E103" s="12">
        <v>0</v>
      </c>
      <c r="F103" s="11">
        <v>0</v>
      </c>
      <c r="G103" s="11">
        <v>167.97</v>
      </c>
      <c r="H103" s="12">
        <v>160238.17000000001</v>
      </c>
      <c r="I103" s="12">
        <v>56083.360000000001</v>
      </c>
      <c r="J103" s="12">
        <v>2163</v>
      </c>
      <c r="K103" s="12">
        <v>218484.53</v>
      </c>
      <c r="L103" s="13">
        <v>87.47</v>
      </c>
      <c r="M103"/>
      <c r="N103"/>
    </row>
    <row r="104" spans="1:14" ht="19.2" customHeight="1" x14ac:dyDescent="0.3">
      <c r="A104" s="9">
        <v>103</v>
      </c>
      <c r="B104" s="19">
        <v>44929.468819444446</v>
      </c>
      <c r="C104" s="11" t="s">
        <v>368</v>
      </c>
      <c r="D104" s="12">
        <v>87.47</v>
      </c>
      <c r="E104" s="12">
        <v>300000</v>
      </c>
      <c r="F104" s="11">
        <v>0</v>
      </c>
      <c r="G104" s="11">
        <v>0</v>
      </c>
      <c r="H104" s="12">
        <v>0</v>
      </c>
      <c r="I104" s="12">
        <v>0</v>
      </c>
      <c r="J104" s="12">
        <v>0</v>
      </c>
      <c r="K104" s="12">
        <v>0</v>
      </c>
      <c r="L104" s="13">
        <v>300087.46999999997</v>
      </c>
      <c r="M104"/>
      <c r="N104"/>
    </row>
    <row r="105" spans="1:14" ht="19.2" customHeight="1" x14ac:dyDescent="0.3">
      <c r="A105" s="9">
        <v>104</v>
      </c>
      <c r="B105" s="19">
        <v>44929.652650462966</v>
      </c>
      <c r="C105" s="11" t="s">
        <v>369</v>
      </c>
      <c r="D105" s="12">
        <v>300087.46999999997</v>
      </c>
      <c r="E105" s="12">
        <v>0</v>
      </c>
      <c r="F105" s="11">
        <v>0</v>
      </c>
      <c r="G105" s="11">
        <v>256.76</v>
      </c>
      <c r="H105" s="12">
        <v>219321.01</v>
      </c>
      <c r="I105" s="12">
        <v>76762.36</v>
      </c>
      <c r="J105" s="12">
        <v>2961</v>
      </c>
      <c r="K105" s="12">
        <v>299044.37</v>
      </c>
      <c r="L105" s="13">
        <v>1043.0999999999999</v>
      </c>
      <c r="M105"/>
      <c r="N105"/>
    </row>
    <row r="106" spans="1:14" ht="19.2" customHeight="1" x14ac:dyDescent="0.3">
      <c r="A106" s="9">
        <v>105</v>
      </c>
      <c r="B106" s="19">
        <v>44944.483402777776</v>
      </c>
      <c r="C106" s="11" t="s">
        <v>370</v>
      </c>
      <c r="D106" s="12">
        <v>1043.0999999999999</v>
      </c>
      <c r="E106" s="12">
        <v>190000</v>
      </c>
      <c r="F106" s="11">
        <v>0</v>
      </c>
      <c r="G106" s="11">
        <v>0</v>
      </c>
      <c r="H106" s="12">
        <v>0</v>
      </c>
      <c r="I106" s="12">
        <v>0</v>
      </c>
      <c r="J106" s="12">
        <v>0</v>
      </c>
      <c r="K106" s="12">
        <v>0</v>
      </c>
      <c r="L106" s="13">
        <v>191043.1</v>
      </c>
      <c r="M106"/>
      <c r="N106"/>
    </row>
    <row r="107" spans="1:14" ht="19.2" customHeight="1" x14ac:dyDescent="0.3">
      <c r="A107" s="9">
        <v>106</v>
      </c>
      <c r="B107" s="19">
        <v>44944.486111111109</v>
      </c>
      <c r="C107" s="11" t="s">
        <v>371</v>
      </c>
      <c r="D107" s="12">
        <v>191043.1</v>
      </c>
      <c r="E107" s="12">
        <v>24000</v>
      </c>
      <c r="F107" s="11">
        <v>0</v>
      </c>
      <c r="G107" s="11">
        <v>0</v>
      </c>
      <c r="H107" s="12">
        <v>0</v>
      </c>
      <c r="I107" s="12">
        <v>0</v>
      </c>
      <c r="J107" s="12">
        <v>0</v>
      </c>
      <c r="K107" s="12">
        <v>0</v>
      </c>
      <c r="L107" s="13">
        <v>215043.1</v>
      </c>
      <c r="M107"/>
      <c r="N107"/>
    </row>
    <row r="108" spans="1:14" ht="19.2" customHeight="1" x14ac:dyDescent="0.3">
      <c r="A108" s="9">
        <v>107</v>
      </c>
      <c r="B108" s="19">
        <v>44944.669386574074</v>
      </c>
      <c r="C108" s="11" t="s">
        <v>372</v>
      </c>
      <c r="D108" s="12">
        <v>215043.1</v>
      </c>
      <c r="E108" s="12">
        <v>0</v>
      </c>
      <c r="F108" s="11">
        <v>0</v>
      </c>
      <c r="G108" s="11">
        <v>173.5</v>
      </c>
      <c r="H108" s="12">
        <v>154114.04999999999</v>
      </c>
      <c r="I108" s="12">
        <v>53939.88</v>
      </c>
      <c r="J108" s="12">
        <v>2081</v>
      </c>
      <c r="K108" s="12">
        <v>210134.93</v>
      </c>
      <c r="L108" s="13">
        <v>4908.17</v>
      </c>
      <c r="M108"/>
      <c r="N108"/>
    </row>
    <row r="109" spans="1:14" ht="19.2" customHeight="1" x14ac:dyDescent="0.3">
      <c r="A109" s="9">
        <v>108</v>
      </c>
      <c r="B109" s="19">
        <v>44950.497164351851</v>
      </c>
      <c r="C109" s="11" t="s">
        <v>373</v>
      </c>
      <c r="D109" s="12">
        <v>4908.17</v>
      </c>
      <c r="E109" s="12">
        <v>225000</v>
      </c>
      <c r="F109" s="11">
        <v>0</v>
      </c>
      <c r="G109" s="11">
        <v>0</v>
      </c>
      <c r="H109" s="12">
        <v>0</v>
      </c>
      <c r="I109" s="12">
        <v>0</v>
      </c>
      <c r="J109" s="12">
        <v>0</v>
      </c>
      <c r="K109" s="12">
        <v>0</v>
      </c>
      <c r="L109" s="13">
        <v>229908.17</v>
      </c>
      <c r="M109"/>
      <c r="N109"/>
    </row>
    <row r="110" spans="1:14" ht="19.2" customHeight="1" x14ac:dyDescent="0.3">
      <c r="A110" s="9">
        <v>109</v>
      </c>
      <c r="B110" s="19">
        <v>44951.443981481483</v>
      </c>
      <c r="C110" s="11" t="s">
        <v>374</v>
      </c>
      <c r="D110" s="12">
        <v>229908.17</v>
      </c>
      <c r="E110" s="12">
        <v>100000</v>
      </c>
      <c r="F110" s="11">
        <v>0</v>
      </c>
      <c r="G110" s="11">
        <v>0</v>
      </c>
      <c r="H110" s="12">
        <v>0</v>
      </c>
      <c r="I110" s="12">
        <v>0</v>
      </c>
      <c r="J110" s="12">
        <v>0</v>
      </c>
      <c r="K110" s="12">
        <v>0</v>
      </c>
      <c r="L110" s="13">
        <v>329908.17</v>
      </c>
      <c r="M110"/>
      <c r="N110"/>
    </row>
    <row r="111" spans="1:14" ht="19.2" customHeight="1" x14ac:dyDescent="0.3">
      <c r="A111" s="9">
        <v>110</v>
      </c>
      <c r="B111" s="19">
        <v>44951.447847222225</v>
      </c>
      <c r="C111" s="11" t="s">
        <v>375</v>
      </c>
      <c r="D111" s="12">
        <v>329908.17</v>
      </c>
      <c r="E111" s="12">
        <v>200000</v>
      </c>
      <c r="F111" s="11">
        <v>0</v>
      </c>
      <c r="G111" s="11">
        <v>0</v>
      </c>
      <c r="H111" s="12">
        <v>0</v>
      </c>
      <c r="I111" s="12">
        <v>0</v>
      </c>
      <c r="J111" s="12">
        <v>0</v>
      </c>
      <c r="K111" s="12">
        <v>0</v>
      </c>
      <c r="L111" s="13">
        <v>529908.17000000004</v>
      </c>
      <c r="M111"/>
      <c r="N111"/>
    </row>
    <row r="112" spans="1:14" ht="19.2" customHeight="1" x14ac:dyDescent="0.3">
      <c r="A112" s="9">
        <v>111</v>
      </c>
      <c r="B112" s="19">
        <v>44951.552974537037</v>
      </c>
      <c r="C112" s="11" t="s">
        <v>376</v>
      </c>
      <c r="D112" s="12">
        <v>529908.17000000004</v>
      </c>
      <c r="E112" s="12">
        <v>0</v>
      </c>
      <c r="F112" s="11">
        <v>0</v>
      </c>
      <c r="G112" s="11">
        <v>192.29</v>
      </c>
      <c r="H112" s="12">
        <v>168322.85</v>
      </c>
      <c r="I112" s="12">
        <v>58912.99</v>
      </c>
      <c r="J112" s="12">
        <v>2272</v>
      </c>
      <c r="K112" s="12">
        <v>229507.84</v>
      </c>
      <c r="L112" s="13">
        <v>300400.33</v>
      </c>
      <c r="M112"/>
      <c r="N112"/>
    </row>
    <row r="113" spans="1:14" ht="19.2" customHeight="1" x14ac:dyDescent="0.3">
      <c r="A113" s="9">
        <v>112</v>
      </c>
      <c r="B113" s="19">
        <v>44951.556030092594</v>
      </c>
      <c r="C113" s="11" t="s">
        <v>377</v>
      </c>
      <c r="D113" s="12">
        <v>300400.33</v>
      </c>
      <c r="E113" s="12">
        <v>0</v>
      </c>
      <c r="F113" s="11">
        <v>606</v>
      </c>
      <c r="G113" s="11">
        <v>0</v>
      </c>
      <c r="H113" s="12">
        <v>100476.24</v>
      </c>
      <c r="I113" s="12">
        <v>35166.68</v>
      </c>
      <c r="J113" s="12">
        <v>1356</v>
      </c>
      <c r="K113" s="12">
        <v>136998.92000000001</v>
      </c>
      <c r="L113" s="13">
        <v>163401.41</v>
      </c>
      <c r="M113"/>
      <c r="N113"/>
    </row>
    <row r="114" spans="1:14" ht="19.2" customHeight="1" x14ac:dyDescent="0.3">
      <c r="A114" s="9">
        <v>113</v>
      </c>
      <c r="B114" s="19">
        <v>44956.488275462965</v>
      </c>
      <c r="C114" s="11" t="s">
        <v>378</v>
      </c>
      <c r="D114" s="12">
        <v>163401.41</v>
      </c>
      <c r="E114" s="12">
        <v>100000</v>
      </c>
      <c r="F114" s="11">
        <v>0</v>
      </c>
      <c r="G114" s="11">
        <v>0</v>
      </c>
      <c r="H114" s="12">
        <v>0</v>
      </c>
      <c r="I114" s="12">
        <v>0</v>
      </c>
      <c r="J114" s="12">
        <v>0</v>
      </c>
      <c r="K114" s="12">
        <v>0</v>
      </c>
      <c r="L114" s="13">
        <v>263401.40999999997</v>
      </c>
      <c r="M114"/>
      <c r="N114"/>
    </row>
    <row r="115" spans="1:14" ht="19.2" customHeight="1" x14ac:dyDescent="0.3">
      <c r="A115" s="9">
        <v>114</v>
      </c>
      <c r="B115" s="19">
        <v>44956.752025462964</v>
      </c>
      <c r="C115" s="11" t="s">
        <v>379</v>
      </c>
      <c r="D115" s="12">
        <v>263401.40999999997</v>
      </c>
      <c r="E115" s="12">
        <v>0</v>
      </c>
      <c r="F115" s="11">
        <v>0</v>
      </c>
      <c r="G115" s="11">
        <v>214.56</v>
      </c>
      <c r="H115" s="12">
        <v>191947.19</v>
      </c>
      <c r="I115" s="12">
        <v>67181.47</v>
      </c>
      <c r="J115" s="12">
        <v>2591</v>
      </c>
      <c r="K115" s="12">
        <v>261719.66</v>
      </c>
      <c r="L115" s="13">
        <v>1681.75</v>
      </c>
      <c r="M115"/>
      <c r="N115"/>
    </row>
    <row r="116" spans="1:14" ht="19.2" customHeight="1" x14ac:dyDescent="0.3">
      <c r="A116" s="9">
        <v>115</v>
      </c>
      <c r="B116" s="19">
        <v>44964.479317129626</v>
      </c>
      <c r="C116" s="11" t="s">
        <v>380</v>
      </c>
      <c r="D116" s="12">
        <v>1681.75</v>
      </c>
      <c r="E116" s="12">
        <v>300000</v>
      </c>
      <c r="F116" s="11">
        <v>0</v>
      </c>
      <c r="G116" s="11">
        <v>0</v>
      </c>
      <c r="H116" s="12">
        <v>0</v>
      </c>
      <c r="I116" s="12">
        <v>0</v>
      </c>
      <c r="J116" s="12">
        <v>0</v>
      </c>
      <c r="K116" s="12">
        <v>0</v>
      </c>
      <c r="L116" s="13">
        <v>301681.75</v>
      </c>
      <c r="M116"/>
      <c r="N116"/>
    </row>
    <row r="117" spans="1:14" ht="19.2" customHeight="1" x14ac:dyDescent="0.3">
      <c r="A117" s="9">
        <v>116</v>
      </c>
      <c r="B117" s="19">
        <v>44964.632986111108</v>
      </c>
      <c r="C117" s="11" t="s">
        <v>381</v>
      </c>
      <c r="D117" s="12">
        <v>301681.75</v>
      </c>
      <c r="E117" s="12">
        <v>0</v>
      </c>
      <c r="F117" s="11">
        <v>0</v>
      </c>
      <c r="G117" s="11">
        <v>245.7</v>
      </c>
      <c r="H117" s="12">
        <v>221053.27</v>
      </c>
      <c r="I117" s="12">
        <v>77368.649999999994</v>
      </c>
      <c r="J117" s="12">
        <v>2984</v>
      </c>
      <c r="K117" s="12">
        <v>301405.92</v>
      </c>
      <c r="L117" s="13">
        <v>275.83</v>
      </c>
      <c r="M117"/>
      <c r="N117"/>
    </row>
    <row r="118" spans="1:14" ht="19.2" customHeight="1" x14ac:dyDescent="0.3">
      <c r="A118" s="9">
        <v>117</v>
      </c>
      <c r="B118" s="19">
        <v>44967.406527777777</v>
      </c>
      <c r="C118" s="11" t="s">
        <v>382</v>
      </c>
      <c r="D118" s="12">
        <v>275.83</v>
      </c>
      <c r="E118" s="12">
        <v>120000</v>
      </c>
      <c r="F118" s="11">
        <v>0</v>
      </c>
      <c r="G118" s="11">
        <v>0</v>
      </c>
      <c r="H118" s="12">
        <v>0</v>
      </c>
      <c r="I118" s="12">
        <v>0</v>
      </c>
      <c r="J118" s="12">
        <v>0</v>
      </c>
      <c r="K118" s="12">
        <v>0</v>
      </c>
      <c r="L118" s="13">
        <v>120275.83</v>
      </c>
      <c r="M118"/>
      <c r="N118"/>
    </row>
    <row r="119" spans="1:14" ht="19.2" customHeight="1" x14ac:dyDescent="0.3">
      <c r="A119" s="9">
        <v>118</v>
      </c>
      <c r="B119" s="19">
        <v>44967.495289351849</v>
      </c>
      <c r="C119" s="11" t="s">
        <v>383</v>
      </c>
      <c r="D119" s="12">
        <v>120275.83</v>
      </c>
      <c r="E119" s="12">
        <v>0</v>
      </c>
      <c r="F119" s="11">
        <v>532.20000000000005</v>
      </c>
      <c r="G119" s="11">
        <v>0</v>
      </c>
      <c r="H119" s="12">
        <v>87222.36</v>
      </c>
      <c r="I119" s="12">
        <v>30527.87</v>
      </c>
      <c r="J119" s="12">
        <v>1178</v>
      </c>
      <c r="K119" s="12">
        <v>118928.23</v>
      </c>
      <c r="L119" s="13">
        <v>1347.6</v>
      </c>
      <c r="M119"/>
      <c r="N119"/>
    </row>
    <row r="120" spans="1:14" ht="19.2" customHeight="1" x14ac:dyDescent="0.3">
      <c r="A120" s="9">
        <v>119</v>
      </c>
      <c r="B120" s="19">
        <v>44973.463703703703</v>
      </c>
      <c r="C120" s="11" t="s">
        <v>384</v>
      </c>
      <c r="D120" s="12">
        <v>1347.6</v>
      </c>
      <c r="E120" s="12">
        <v>180000</v>
      </c>
      <c r="F120" s="11">
        <v>0</v>
      </c>
      <c r="G120" s="11">
        <v>0</v>
      </c>
      <c r="H120" s="12">
        <v>0</v>
      </c>
      <c r="I120" s="12">
        <v>0</v>
      </c>
      <c r="J120" s="12">
        <v>0</v>
      </c>
      <c r="K120" s="12">
        <v>0</v>
      </c>
      <c r="L120" s="13">
        <v>181347.6</v>
      </c>
      <c r="M120"/>
      <c r="N120"/>
    </row>
    <row r="121" spans="1:14" ht="19.2" customHeight="1" x14ac:dyDescent="0.3">
      <c r="A121" s="9">
        <v>120</v>
      </c>
      <c r="B121" s="19">
        <v>44973.692847222221</v>
      </c>
      <c r="C121" s="11" t="s">
        <v>385</v>
      </c>
      <c r="D121" s="12">
        <v>181347.6</v>
      </c>
      <c r="E121" s="12">
        <v>0</v>
      </c>
      <c r="F121" s="11">
        <v>0</v>
      </c>
      <c r="G121" s="11">
        <v>146.13</v>
      </c>
      <c r="H121" s="12">
        <v>132919.98000000001</v>
      </c>
      <c r="I121" s="12">
        <v>46521.99</v>
      </c>
      <c r="J121" s="12">
        <v>1794</v>
      </c>
      <c r="K121" s="12">
        <v>181235.97</v>
      </c>
      <c r="L121" s="13">
        <v>111.63</v>
      </c>
      <c r="M121"/>
      <c r="N121"/>
    </row>
    <row r="122" spans="1:14" ht="19.2" customHeight="1" x14ac:dyDescent="0.3">
      <c r="A122" s="9">
        <v>121</v>
      </c>
      <c r="B122" s="19">
        <v>44984.466516203705</v>
      </c>
      <c r="C122" s="11" t="s">
        <v>386</v>
      </c>
      <c r="D122" s="12">
        <v>111.63</v>
      </c>
      <c r="E122" s="12">
        <v>240000</v>
      </c>
      <c r="F122" s="11">
        <v>0</v>
      </c>
      <c r="G122" s="11">
        <v>0</v>
      </c>
      <c r="H122" s="12">
        <v>0</v>
      </c>
      <c r="I122" s="12">
        <v>0</v>
      </c>
      <c r="J122" s="12">
        <v>0</v>
      </c>
      <c r="K122" s="12">
        <v>0</v>
      </c>
      <c r="L122" s="13">
        <v>240111.63</v>
      </c>
      <c r="M122"/>
      <c r="N122"/>
    </row>
    <row r="123" spans="1:14" ht="19.2" customHeight="1" x14ac:dyDescent="0.3">
      <c r="A123" s="9">
        <v>122</v>
      </c>
      <c r="B123" s="19">
        <v>44984.52548611111</v>
      </c>
      <c r="C123" s="11" t="s">
        <v>387</v>
      </c>
      <c r="D123" s="12">
        <v>240111.63</v>
      </c>
      <c r="E123" s="12">
        <v>0</v>
      </c>
      <c r="F123" s="11">
        <v>0</v>
      </c>
      <c r="G123" s="11">
        <v>192.87</v>
      </c>
      <c r="H123" s="12">
        <v>175965.71</v>
      </c>
      <c r="I123" s="12">
        <v>61588</v>
      </c>
      <c r="J123" s="12">
        <v>2376</v>
      </c>
      <c r="K123" s="12">
        <v>239929.71</v>
      </c>
      <c r="L123" s="13">
        <v>181.92</v>
      </c>
      <c r="M123"/>
      <c r="N123"/>
    </row>
    <row r="124" spans="1:14" ht="19.2" customHeight="1" x14ac:dyDescent="0.3">
      <c r="A124" s="9">
        <v>123</v>
      </c>
      <c r="B124" s="19">
        <v>44989.481365740743</v>
      </c>
      <c r="C124" s="11" t="s">
        <v>388</v>
      </c>
      <c r="D124" s="12">
        <v>181.92</v>
      </c>
      <c r="E124" s="12">
        <v>238000</v>
      </c>
      <c r="F124" s="11">
        <v>0</v>
      </c>
      <c r="G124" s="11">
        <v>0</v>
      </c>
      <c r="H124" s="12">
        <v>0</v>
      </c>
      <c r="I124" s="12">
        <v>0</v>
      </c>
      <c r="J124" s="12">
        <v>0</v>
      </c>
      <c r="K124" s="12">
        <v>0</v>
      </c>
      <c r="L124" s="13">
        <v>238181.92</v>
      </c>
      <c r="M124"/>
      <c r="N124"/>
    </row>
    <row r="125" spans="1:14" ht="19.2" customHeight="1" x14ac:dyDescent="0.3">
      <c r="A125" s="9">
        <v>124</v>
      </c>
      <c r="B125" s="19">
        <v>44989.520335648151</v>
      </c>
      <c r="C125" s="11" t="s">
        <v>389</v>
      </c>
      <c r="D125" s="12">
        <v>238181.92</v>
      </c>
      <c r="E125" s="12">
        <v>0</v>
      </c>
      <c r="F125" s="11">
        <v>0</v>
      </c>
      <c r="G125" s="11">
        <v>198.71</v>
      </c>
      <c r="H125" s="12">
        <v>174322.36</v>
      </c>
      <c r="I125" s="12">
        <v>61012.83</v>
      </c>
      <c r="J125" s="12">
        <v>2353</v>
      </c>
      <c r="K125" s="12">
        <v>237688.19</v>
      </c>
      <c r="L125" s="13">
        <v>493.73</v>
      </c>
      <c r="M125"/>
      <c r="N125"/>
    </row>
    <row r="126" spans="1:14" ht="19.2" customHeight="1" x14ac:dyDescent="0.3">
      <c r="A126" s="9">
        <v>125</v>
      </c>
      <c r="B126" s="19">
        <v>44991.378194444442</v>
      </c>
      <c r="C126" s="11" t="s">
        <v>390</v>
      </c>
      <c r="D126" s="12">
        <v>493.73</v>
      </c>
      <c r="E126" s="12">
        <v>135000</v>
      </c>
      <c r="F126" s="11">
        <v>0</v>
      </c>
      <c r="G126" s="11">
        <v>0</v>
      </c>
      <c r="H126" s="12">
        <v>0</v>
      </c>
      <c r="I126" s="12">
        <v>0</v>
      </c>
      <c r="J126" s="12">
        <v>0</v>
      </c>
      <c r="K126" s="12">
        <v>0</v>
      </c>
      <c r="L126" s="13">
        <v>135493.73000000001</v>
      </c>
      <c r="M126"/>
      <c r="N126"/>
    </row>
    <row r="127" spans="1:14" ht="19.2" customHeight="1" x14ac:dyDescent="0.3">
      <c r="A127" s="9">
        <v>126</v>
      </c>
      <c r="B127" s="19">
        <v>44991.467986111114</v>
      </c>
      <c r="C127" s="11" t="s">
        <v>391</v>
      </c>
      <c r="D127" s="12">
        <v>135493.73000000001</v>
      </c>
      <c r="E127" s="12">
        <v>0</v>
      </c>
      <c r="F127" s="11">
        <v>600.6</v>
      </c>
      <c r="G127" s="11">
        <v>0</v>
      </c>
      <c r="H127" s="12">
        <v>98333.48</v>
      </c>
      <c r="I127" s="12">
        <v>34416.720000000001</v>
      </c>
      <c r="J127" s="12">
        <v>1328</v>
      </c>
      <c r="K127" s="12">
        <v>134078.20000000001</v>
      </c>
      <c r="L127" s="13">
        <v>1415.53</v>
      </c>
      <c r="M127"/>
      <c r="N127"/>
    </row>
    <row r="128" spans="1:14" ht="19.2" customHeight="1" x14ac:dyDescent="0.3">
      <c r="A128" s="9">
        <v>127</v>
      </c>
      <c r="B128" s="19">
        <v>44994.476099537038</v>
      </c>
      <c r="C128" s="11" t="s">
        <v>392</v>
      </c>
      <c r="D128" s="12">
        <v>1415.53</v>
      </c>
      <c r="E128" s="12">
        <v>250000</v>
      </c>
      <c r="F128" s="11">
        <v>0</v>
      </c>
      <c r="G128" s="11">
        <v>0</v>
      </c>
      <c r="H128" s="12">
        <v>0</v>
      </c>
      <c r="I128" s="12">
        <v>0</v>
      </c>
      <c r="J128" s="12">
        <v>0</v>
      </c>
      <c r="K128" s="12">
        <v>0</v>
      </c>
      <c r="L128" s="13">
        <v>251415.53</v>
      </c>
      <c r="M128"/>
      <c r="N128"/>
    </row>
    <row r="129" spans="1:14" ht="19.2" customHeight="1" x14ac:dyDescent="0.3">
      <c r="A129" s="9">
        <v>128</v>
      </c>
      <c r="B129" s="19">
        <v>44994.538124999999</v>
      </c>
      <c r="C129" s="11" t="s">
        <v>393</v>
      </c>
      <c r="D129" s="12">
        <v>251415.53</v>
      </c>
      <c r="E129" s="12">
        <v>0</v>
      </c>
      <c r="F129" s="11">
        <v>0</v>
      </c>
      <c r="G129" s="11">
        <v>211.93</v>
      </c>
      <c r="H129" s="12">
        <v>184305.66</v>
      </c>
      <c r="I129" s="12">
        <v>64506.98</v>
      </c>
      <c r="J129" s="12">
        <v>2488</v>
      </c>
      <c r="K129" s="12">
        <v>251300.64</v>
      </c>
      <c r="L129" s="13">
        <v>114.89</v>
      </c>
      <c r="M129"/>
      <c r="N129"/>
    </row>
    <row r="130" spans="1:14" ht="19.2" customHeight="1" x14ac:dyDescent="0.3">
      <c r="A130" s="9">
        <v>129</v>
      </c>
      <c r="B130" s="19">
        <v>45015.9531712963</v>
      </c>
      <c r="C130" s="11" t="s">
        <v>394</v>
      </c>
      <c r="D130" s="12">
        <v>114.89</v>
      </c>
      <c r="E130" s="12">
        <v>167228</v>
      </c>
      <c r="F130" s="11">
        <v>0</v>
      </c>
      <c r="G130" s="11">
        <v>0</v>
      </c>
      <c r="H130" s="12">
        <v>0</v>
      </c>
      <c r="I130" s="12">
        <v>0</v>
      </c>
      <c r="J130" s="12">
        <v>0</v>
      </c>
      <c r="K130" s="12">
        <v>0</v>
      </c>
      <c r="L130" s="13">
        <v>167342.89000000001</v>
      </c>
      <c r="M130"/>
      <c r="N130"/>
    </row>
    <row r="131" spans="1:14" ht="19.2" customHeight="1" x14ac:dyDescent="0.3">
      <c r="A131" s="9">
        <v>130</v>
      </c>
      <c r="B131" s="19">
        <v>45016.476550925923</v>
      </c>
      <c r="C131" s="11" t="s">
        <v>395</v>
      </c>
      <c r="D131" s="12">
        <v>167342.89000000001</v>
      </c>
      <c r="E131" s="12">
        <v>23000</v>
      </c>
      <c r="F131" s="11">
        <v>0</v>
      </c>
      <c r="G131" s="11">
        <v>0</v>
      </c>
      <c r="H131" s="12">
        <v>0</v>
      </c>
      <c r="I131" s="12">
        <v>0</v>
      </c>
      <c r="J131" s="12">
        <v>0</v>
      </c>
      <c r="K131" s="12">
        <v>0</v>
      </c>
      <c r="L131" s="13">
        <v>190342.89</v>
      </c>
      <c r="M131"/>
      <c r="N131"/>
    </row>
    <row r="132" spans="1:14" ht="19.2" customHeight="1" x14ac:dyDescent="0.3">
      <c r="A132" s="9">
        <v>131</v>
      </c>
      <c r="B132" s="19">
        <v>45016.544999999998</v>
      </c>
      <c r="C132" s="11" t="s">
        <v>396</v>
      </c>
      <c r="D132" s="12">
        <v>190342.89</v>
      </c>
      <c r="E132" s="12">
        <v>0</v>
      </c>
      <c r="F132" s="11">
        <v>0</v>
      </c>
      <c r="G132" s="11">
        <v>149.91</v>
      </c>
      <c r="H132" s="12">
        <v>138860.95000000001</v>
      </c>
      <c r="I132" s="12">
        <v>48601.32</v>
      </c>
      <c r="J132" s="12">
        <v>1875</v>
      </c>
      <c r="K132" s="12">
        <v>189337.27</v>
      </c>
      <c r="L132" s="13">
        <v>1005.62</v>
      </c>
      <c r="M132"/>
      <c r="N132"/>
    </row>
    <row r="133" spans="1:14" ht="19.2" customHeight="1" thickBot="1" x14ac:dyDescent="0.35">
      <c r="A133" s="14">
        <v>132</v>
      </c>
      <c r="B133" s="20"/>
      <c r="C133" s="16"/>
      <c r="D133" s="17"/>
      <c r="E133" s="17">
        <v>13111128</v>
      </c>
      <c r="F133" s="16">
        <v>16560.599999999999</v>
      </c>
      <c r="G133" s="16">
        <v>7854.15</v>
      </c>
      <c r="H133" s="17">
        <v>9615503.3499999996</v>
      </c>
      <c r="I133" s="17">
        <v>3365426.61</v>
      </c>
      <c r="J133" s="17">
        <v>129813</v>
      </c>
      <c r="K133" s="17">
        <v>13110742.960000001</v>
      </c>
      <c r="L133" s="18"/>
      <c r="M133"/>
      <c r="N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832B-BDCE-46E4-8CDC-7F2DEEFAB35E}">
  <dimension ref="A1:O256"/>
  <sheetViews>
    <sheetView showGridLines="0" zoomScale="85" zoomScaleNormal="85" workbookViewId="0">
      <selection activeCell="D35" sqref="D35"/>
    </sheetView>
  </sheetViews>
  <sheetFormatPr defaultRowHeight="18" customHeight="1" x14ac:dyDescent="0.3"/>
  <cols>
    <col min="1" max="1" width="8.5546875" bestFit="1" customWidth="1"/>
    <col min="2" max="2" width="16.88671875" bestFit="1" customWidth="1"/>
    <col min="3" max="3" width="30.88671875" bestFit="1" customWidth="1"/>
    <col min="4" max="4" width="20" style="1" bestFit="1" customWidth="1"/>
    <col min="5" max="5" width="17.44140625" style="1" bestFit="1" customWidth="1"/>
    <col min="6" max="6" width="8.88671875" bestFit="1" customWidth="1"/>
    <col min="7" max="7" width="10" bestFit="1" customWidth="1"/>
    <col min="8" max="8" width="16.88671875" style="1" bestFit="1" customWidth="1"/>
    <col min="9" max="9" width="15.33203125" style="1" bestFit="1" customWidth="1"/>
    <col min="10" max="10" width="14.109375" style="1" bestFit="1" customWidth="1"/>
    <col min="11" max="11" width="16.88671875" style="1" bestFit="1" customWidth="1"/>
    <col min="12" max="12" width="17.88671875" style="1" bestFit="1" customWidth="1"/>
  </cols>
  <sheetData>
    <row r="1" spans="1:15" ht="18" customHeight="1" x14ac:dyDescent="0.3">
      <c r="A1" s="4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5" ht="18" customHeight="1" x14ac:dyDescent="0.3">
      <c r="A2" s="9">
        <v>1</v>
      </c>
      <c r="B2" s="19">
        <v>44302.395162037035</v>
      </c>
      <c r="C2" s="11" t="s">
        <v>12</v>
      </c>
      <c r="D2" s="12">
        <v>1204.54</v>
      </c>
      <c r="E2" s="12">
        <v>40000</v>
      </c>
      <c r="F2" s="11">
        <v>0</v>
      </c>
      <c r="G2" s="11">
        <v>0</v>
      </c>
      <c r="H2" s="12">
        <v>0</v>
      </c>
      <c r="I2" s="12">
        <v>0</v>
      </c>
      <c r="J2" s="12">
        <v>0</v>
      </c>
      <c r="K2" s="12">
        <v>0</v>
      </c>
      <c r="L2" s="13">
        <v>41204.54</v>
      </c>
    </row>
    <row r="3" spans="1:15" ht="18" customHeight="1" x14ac:dyDescent="0.3">
      <c r="A3" s="9">
        <v>2</v>
      </c>
      <c r="B3" s="19">
        <v>44302.476805555554</v>
      </c>
      <c r="C3" s="11" t="s">
        <v>13</v>
      </c>
      <c r="D3" s="12">
        <v>41204.54</v>
      </c>
      <c r="E3" s="12">
        <v>0</v>
      </c>
      <c r="F3" s="11">
        <v>0</v>
      </c>
      <c r="G3" s="11">
        <v>39.69</v>
      </c>
      <c r="H3" s="12">
        <v>29047.599999999999</v>
      </c>
      <c r="I3" s="12">
        <v>10166.66</v>
      </c>
      <c r="J3" s="12">
        <v>392.14</v>
      </c>
      <c r="K3" s="12">
        <v>39606.400000000001</v>
      </c>
      <c r="L3" s="13">
        <v>1598.14</v>
      </c>
      <c r="O3">
        <f>YEAR(B2)</f>
        <v>2021</v>
      </c>
    </row>
    <row r="4" spans="1:15" ht="18" customHeight="1" x14ac:dyDescent="0.3">
      <c r="A4" s="9">
        <v>3</v>
      </c>
      <c r="B4" s="19">
        <v>44303.429375</v>
      </c>
      <c r="C4" s="11" t="s">
        <v>14</v>
      </c>
      <c r="D4" s="12">
        <v>1598.14</v>
      </c>
      <c r="E4" s="12">
        <v>40000</v>
      </c>
      <c r="F4" s="11">
        <v>0</v>
      </c>
      <c r="G4" s="11">
        <v>0</v>
      </c>
      <c r="H4" s="12">
        <v>0</v>
      </c>
      <c r="I4" s="12">
        <v>0</v>
      </c>
      <c r="J4" s="12">
        <v>0</v>
      </c>
      <c r="K4" s="12">
        <v>0</v>
      </c>
      <c r="L4" s="13">
        <v>41598.14</v>
      </c>
    </row>
    <row r="5" spans="1:15" ht="18" customHeight="1" x14ac:dyDescent="0.3">
      <c r="A5" s="9">
        <v>4</v>
      </c>
      <c r="B5" s="19">
        <v>44303.526828703703</v>
      </c>
      <c r="C5" s="11" t="s">
        <v>15</v>
      </c>
      <c r="D5" s="12">
        <v>41598.14</v>
      </c>
      <c r="E5" s="12">
        <v>0</v>
      </c>
      <c r="F5" s="11">
        <v>0</v>
      </c>
      <c r="G5" s="11">
        <v>39.15</v>
      </c>
      <c r="H5" s="12">
        <v>29920.62</v>
      </c>
      <c r="I5" s="12">
        <v>10472.219999999999</v>
      </c>
      <c r="J5" s="12">
        <v>403.93</v>
      </c>
      <c r="K5" s="12">
        <v>40796.769999999997</v>
      </c>
      <c r="L5" s="13">
        <v>801.37</v>
      </c>
    </row>
    <row r="6" spans="1:15" ht="18" customHeight="1" x14ac:dyDescent="0.3">
      <c r="A6" s="9">
        <v>5</v>
      </c>
      <c r="B6" s="19">
        <v>44305.457245370373</v>
      </c>
      <c r="C6" s="11" t="s">
        <v>16</v>
      </c>
      <c r="D6" s="12">
        <v>801.37</v>
      </c>
      <c r="E6" s="12">
        <v>40000</v>
      </c>
      <c r="F6" s="11">
        <v>0</v>
      </c>
      <c r="G6" s="11">
        <v>0</v>
      </c>
      <c r="H6" s="12">
        <v>0</v>
      </c>
      <c r="I6" s="12">
        <v>0</v>
      </c>
      <c r="J6" s="12">
        <v>0</v>
      </c>
      <c r="K6" s="12">
        <v>0</v>
      </c>
      <c r="L6" s="13">
        <v>40801.370000000003</v>
      </c>
    </row>
    <row r="7" spans="1:15" ht="18" customHeight="1" x14ac:dyDescent="0.3">
      <c r="A7" s="9">
        <v>6</v>
      </c>
      <c r="B7" s="19">
        <v>44305.546840277777</v>
      </c>
      <c r="C7" s="11" t="s">
        <v>17</v>
      </c>
      <c r="D7" s="12">
        <v>40801.370000000003</v>
      </c>
      <c r="E7" s="12">
        <v>0</v>
      </c>
      <c r="F7" s="11">
        <v>0</v>
      </c>
      <c r="G7" s="11">
        <v>38.880000000000003</v>
      </c>
      <c r="H7" s="12">
        <v>29841.26</v>
      </c>
      <c r="I7" s="12">
        <v>10444.459999999999</v>
      </c>
      <c r="J7" s="12">
        <v>403</v>
      </c>
      <c r="K7" s="12">
        <v>40688.720000000001</v>
      </c>
      <c r="L7" s="13">
        <v>112.65</v>
      </c>
    </row>
    <row r="8" spans="1:15" ht="18" customHeight="1" x14ac:dyDescent="0.3">
      <c r="A8" s="9">
        <v>7</v>
      </c>
      <c r="B8" s="19">
        <v>44306.462858796294</v>
      </c>
      <c r="C8" s="11" t="s">
        <v>18</v>
      </c>
      <c r="D8" s="12">
        <v>112.65</v>
      </c>
      <c r="E8" s="12">
        <v>40000</v>
      </c>
      <c r="F8" s="11">
        <v>0</v>
      </c>
      <c r="G8" s="11">
        <v>0</v>
      </c>
      <c r="H8" s="12">
        <v>0</v>
      </c>
      <c r="I8" s="12">
        <v>0</v>
      </c>
      <c r="J8" s="12">
        <v>0</v>
      </c>
      <c r="K8" s="12">
        <v>0</v>
      </c>
      <c r="L8" s="13">
        <v>40112.65</v>
      </c>
    </row>
    <row r="9" spans="1:15" ht="18" customHeight="1" x14ac:dyDescent="0.3">
      <c r="A9" s="9">
        <v>8</v>
      </c>
      <c r="B9" s="19">
        <v>44306.626493055555</v>
      </c>
      <c r="C9" s="11" t="s">
        <v>19</v>
      </c>
      <c r="D9" s="12">
        <v>40112.65</v>
      </c>
      <c r="E9" s="12">
        <v>0</v>
      </c>
      <c r="F9" s="11">
        <v>0</v>
      </c>
      <c r="G9" s="11">
        <v>38.880000000000003</v>
      </c>
      <c r="H9" s="12">
        <v>29206.33</v>
      </c>
      <c r="I9" s="12">
        <v>10222.24</v>
      </c>
      <c r="J9" s="12">
        <v>394</v>
      </c>
      <c r="K9" s="12">
        <v>39822.57</v>
      </c>
      <c r="L9" s="13">
        <v>290.08</v>
      </c>
    </row>
    <row r="10" spans="1:15" ht="18" customHeight="1" x14ac:dyDescent="0.3">
      <c r="A10" s="9">
        <v>9</v>
      </c>
      <c r="B10" s="19">
        <v>44308.442696759259</v>
      </c>
      <c r="C10" s="11" t="s">
        <v>20</v>
      </c>
      <c r="D10" s="12">
        <v>290.08</v>
      </c>
      <c r="E10" s="12">
        <v>18800</v>
      </c>
      <c r="F10" s="11">
        <v>0</v>
      </c>
      <c r="G10" s="11">
        <v>0</v>
      </c>
      <c r="H10" s="12">
        <v>0</v>
      </c>
      <c r="I10" s="12">
        <v>0</v>
      </c>
      <c r="J10" s="12">
        <v>0</v>
      </c>
      <c r="K10" s="12">
        <v>0</v>
      </c>
      <c r="L10" s="13">
        <v>19090.080000000002</v>
      </c>
    </row>
    <row r="11" spans="1:15" ht="18" customHeight="1" x14ac:dyDescent="0.3">
      <c r="A11" s="9">
        <v>10</v>
      </c>
      <c r="B11" s="19">
        <v>44308.739016203705</v>
      </c>
      <c r="C11" s="11" t="s">
        <v>21</v>
      </c>
      <c r="D11" s="12">
        <v>19090.080000000002</v>
      </c>
      <c r="E11" s="12">
        <v>0</v>
      </c>
      <c r="F11" s="11">
        <v>94.2</v>
      </c>
      <c r="G11" s="11">
        <v>0</v>
      </c>
      <c r="H11" s="12">
        <v>13809.51</v>
      </c>
      <c r="I11" s="12">
        <v>4833.3500000000004</v>
      </c>
      <c r="J11" s="12">
        <v>186</v>
      </c>
      <c r="K11" s="12">
        <v>18828.86</v>
      </c>
      <c r="L11" s="13">
        <v>261.22000000000003</v>
      </c>
    </row>
    <row r="12" spans="1:15" ht="18" customHeight="1" x14ac:dyDescent="0.3">
      <c r="A12" s="9">
        <v>11</v>
      </c>
      <c r="B12" s="19">
        <v>44309.498356481483</v>
      </c>
      <c r="C12" s="11" t="s">
        <v>22</v>
      </c>
      <c r="D12" s="12">
        <v>261.22000000000003</v>
      </c>
      <c r="E12" s="12">
        <v>19500</v>
      </c>
      <c r="F12" s="11">
        <v>0</v>
      </c>
      <c r="G12" s="11">
        <v>0</v>
      </c>
      <c r="H12" s="12">
        <v>0</v>
      </c>
      <c r="I12" s="12">
        <v>0</v>
      </c>
      <c r="J12" s="12">
        <v>0</v>
      </c>
      <c r="K12" s="12">
        <v>0</v>
      </c>
      <c r="L12" s="13">
        <v>19761.22</v>
      </c>
    </row>
    <row r="13" spans="1:15" ht="18" customHeight="1" x14ac:dyDescent="0.3">
      <c r="A13" s="9">
        <v>12</v>
      </c>
      <c r="B13" s="19">
        <v>44309.647627314815</v>
      </c>
      <c r="C13" s="11" t="s">
        <v>23</v>
      </c>
      <c r="D13" s="12">
        <v>19761.22</v>
      </c>
      <c r="E13" s="12">
        <v>0</v>
      </c>
      <c r="F13" s="11">
        <v>97.8</v>
      </c>
      <c r="G13" s="11">
        <v>0</v>
      </c>
      <c r="H13" s="12">
        <v>14126.97</v>
      </c>
      <c r="I13" s="12">
        <v>4944.46</v>
      </c>
      <c r="J13" s="12">
        <v>191</v>
      </c>
      <c r="K13" s="12">
        <v>19262.43</v>
      </c>
      <c r="L13" s="13">
        <v>498.79</v>
      </c>
    </row>
    <row r="14" spans="1:15" ht="18" customHeight="1" x14ac:dyDescent="0.3">
      <c r="A14" s="9">
        <v>13</v>
      </c>
      <c r="B14" s="19">
        <v>44311.861180555556</v>
      </c>
      <c r="C14" s="11" t="s">
        <v>24</v>
      </c>
      <c r="D14" s="12">
        <v>498.79</v>
      </c>
      <c r="E14" s="12">
        <v>200000</v>
      </c>
      <c r="F14" s="11">
        <v>0</v>
      </c>
      <c r="G14" s="11">
        <v>0</v>
      </c>
      <c r="H14" s="12">
        <v>0</v>
      </c>
      <c r="I14" s="12">
        <v>0</v>
      </c>
      <c r="J14" s="12">
        <v>0</v>
      </c>
      <c r="K14" s="12">
        <v>0</v>
      </c>
      <c r="L14" s="13">
        <v>200498.79</v>
      </c>
    </row>
    <row r="15" spans="1:15" ht="18" customHeight="1" x14ac:dyDescent="0.3">
      <c r="A15" s="9">
        <v>14</v>
      </c>
      <c r="B15" s="19">
        <v>44311.862638888888</v>
      </c>
      <c r="C15" s="11" t="s">
        <v>25</v>
      </c>
      <c r="D15" s="12">
        <v>200498.79</v>
      </c>
      <c r="E15" s="12">
        <v>209000</v>
      </c>
      <c r="F15" s="11">
        <v>0</v>
      </c>
      <c r="G15" s="11">
        <v>0</v>
      </c>
      <c r="H15" s="12">
        <v>0</v>
      </c>
      <c r="I15" s="12">
        <v>0</v>
      </c>
      <c r="J15" s="12">
        <v>0</v>
      </c>
      <c r="K15" s="12">
        <v>0</v>
      </c>
      <c r="L15" s="13">
        <v>409498.79</v>
      </c>
    </row>
    <row r="16" spans="1:15" ht="18" customHeight="1" x14ac:dyDescent="0.3">
      <c r="A16" s="9">
        <v>15</v>
      </c>
      <c r="B16" s="19">
        <v>44312.463078703702</v>
      </c>
      <c r="C16" s="11" t="s">
        <v>26</v>
      </c>
      <c r="D16" s="12">
        <v>409498.79</v>
      </c>
      <c r="E16" s="12">
        <v>0</v>
      </c>
      <c r="F16" s="11">
        <v>549</v>
      </c>
      <c r="G16" s="11">
        <v>0</v>
      </c>
      <c r="H16" s="12">
        <v>82936.45</v>
      </c>
      <c r="I16" s="12">
        <v>29027.85</v>
      </c>
      <c r="J16" s="12">
        <v>1120</v>
      </c>
      <c r="K16" s="12">
        <v>113084.3</v>
      </c>
      <c r="L16" s="13">
        <v>296414.49</v>
      </c>
    </row>
    <row r="17" spans="1:12" ht="18" customHeight="1" x14ac:dyDescent="0.3">
      <c r="A17" s="9">
        <v>16</v>
      </c>
      <c r="B17" s="19">
        <v>44312.49046296296</v>
      </c>
      <c r="C17" s="11" t="s">
        <v>27</v>
      </c>
      <c r="D17" s="12">
        <v>296414.49</v>
      </c>
      <c r="E17" s="12">
        <v>0</v>
      </c>
      <c r="F17" s="11">
        <v>0</v>
      </c>
      <c r="G17" s="11">
        <v>267.02999999999997</v>
      </c>
      <c r="H17" s="12">
        <v>216587.35</v>
      </c>
      <c r="I17" s="12">
        <v>75805.62</v>
      </c>
      <c r="J17" s="12">
        <v>2924</v>
      </c>
      <c r="K17" s="12">
        <v>295316.96999999997</v>
      </c>
      <c r="L17" s="13">
        <v>1097.52</v>
      </c>
    </row>
    <row r="18" spans="1:12" ht="18" customHeight="1" x14ac:dyDescent="0.3">
      <c r="A18" s="9">
        <v>17</v>
      </c>
      <c r="B18" s="19">
        <v>44313.447638888887</v>
      </c>
      <c r="C18" s="11" t="s">
        <v>28</v>
      </c>
      <c r="D18" s="12">
        <v>1097.52</v>
      </c>
      <c r="E18" s="12">
        <v>143000</v>
      </c>
      <c r="F18" s="11">
        <v>0</v>
      </c>
      <c r="G18" s="11">
        <v>0</v>
      </c>
      <c r="H18" s="12">
        <v>0</v>
      </c>
      <c r="I18" s="12">
        <v>0</v>
      </c>
      <c r="J18" s="12">
        <v>0</v>
      </c>
      <c r="K18" s="12">
        <v>0</v>
      </c>
      <c r="L18" s="13">
        <v>144097.51999999999</v>
      </c>
    </row>
    <row r="19" spans="1:12" ht="18" customHeight="1" x14ac:dyDescent="0.3">
      <c r="A19" s="9">
        <v>18</v>
      </c>
      <c r="B19" s="19">
        <v>44313.674166666664</v>
      </c>
      <c r="C19" s="11" t="s">
        <v>29</v>
      </c>
      <c r="D19" s="12">
        <v>144097.51999999999</v>
      </c>
      <c r="E19" s="12">
        <v>0</v>
      </c>
      <c r="F19" s="11">
        <v>0</v>
      </c>
      <c r="G19" s="11">
        <v>97.74</v>
      </c>
      <c r="H19" s="12">
        <v>79523.81</v>
      </c>
      <c r="I19" s="12">
        <v>27833.360000000001</v>
      </c>
      <c r="J19" s="12">
        <v>1074</v>
      </c>
      <c r="K19" s="12">
        <v>108431.17</v>
      </c>
      <c r="L19" s="13">
        <v>35666.35</v>
      </c>
    </row>
    <row r="20" spans="1:12" ht="18" customHeight="1" x14ac:dyDescent="0.3">
      <c r="A20" s="9">
        <v>19</v>
      </c>
      <c r="B20" s="19">
        <v>44313.674583333333</v>
      </c>
      <c r="C20" s="11" t="s">
        <v>30</v>
      </c>
      <c r="D20" s="12">
        <v>35666.35</v>
      </c>
      <c r="E20" s="12">
        <v>0</v>
      </c>
      <c r="F20" s="11">
        <v>173.4</v>
      </c>
      <c r="G20" s="11">
        <v>0</v>
      </c>
      <c r="H20" s="12">
        <v>25872.99</v>
      </c>
      <c r="I20" s="12">
        <v>9055.59</v>
      </c>
      <c r="J20" s="12">
        <v>349</v>
      </c>
      <c r="K20" s="12">
        <v>35277.58</v>
      </c>
      <c r="L20" s="13">
        <v>388.77</v>
      </c>
    </row>
    <row r="21" spans="1:12" ht="18" customHeight="1" x14ac:dyDescent="0.3">
      <c r="A21" s="9">
        <v>20</v>
      </c>
      <c r="B21" s="19">
        <v>44314.531064814815</v>
      </c>
      <c r="C21" s="11" t="s">
        <v>31</v>
      </c>
      <c r="D21" s="12">
        <v>388.77</v>
      </c>
      <c r="E21" s="12">
        <v>100000</v>
      </c>
      <c r="F21" s="11">
        <v>0</v>
      </c>
      <c r="G21" s="11">
        <v>0</v>
      </c>
      <c r="H21" s="12">
        <v>0</v>
      </c>
      <c r="I21" s="12">
        <v>0</v>
      </c>
      <c r="J21" s="12">
        <v>0</v>
      </c>
      <c r="K21" s="12">
        <v>0</v>
      </c>
      <c r="L21" s="13">
        <v>100388.77</v>
      </c>
    </row>
    <row r="22" spans="1:12" ht="18" customHeight="1" x14ac:dyDescent="0.3">
      <c r="A22" s="9">
        <v>21</v>
      </c>
      <c r="B22" s="19">
        <v>44314.627430555556</v>
      </c>
      <c r="C22" s="11" t="s">
        <v>32</v>
      </c>
      <c r="D22" s="12">
        <v>100388.77</v>
      </c>
      <c r="E22" s="12">
        <v>0</v>
      </c>
      <c r="F22" s="11">
        <v>0</v>
      </c>
      <c r="G22" s="11">
        <v>78.84</v>
      </c>
      <c r="H22" s="12">
        <v>62380.95</v>
      </c>
      <c r="I22" s="12">
        <v>21833.35</v>
      </c>
      <c r="J22" s="12">
        <v>842</v>
      </c>
      <c r="K22" s="12">
        <v>85056.3</v>
      </c>
      <c r="L22" s="13">
        <v>15332.47</v>
      </c>
    </row>
    <row r="23" spans="1:12" ht="18" customHeight="1" x14ac:dyDescent="0.3">
      <c r="A23" s="9">
        <v>22</v>
      </c>
      <c r="B23" s="19">
        <v>44314.627870370372</v>
      </c>
      <c r="C23" s="11" t="s">
        <v>33</v>
      </c>
      <c r="D23" s="12">
        <v>15332.47</v>
      </c>
      <c r="E23" s="12">
        <v>0</v>
      </c>
      <c r="F23" s="11">
        <v>78</v>
      </c>
      <c r="G23" s="11">
        <v>0</v>
      </c>
      <c r="H23" s="12">
        <v>11111.1</v>
      </c>
      <c r="I23" s="12">
        <v>3888.89</v>
      </c>
      <c r="J23" s="12">
        <v>150</v>
      </c>
      <c r="K23" s="12">
        <v>15149.98</v>
      </c>
      <c r="L23" s="13">
        <v>182.49</v>
      </c>
    </row>
    <row r="24" spans="1:12" ht="18" customHeight="1" x14ac:dyDescent="0.3">
      <c r="A24" s="9">
        <v>23</v>
      </c>
      <c r="B24" s="19">
        <v>44315.477025462962</v>
      </c>
      <c r="C24" s="11" t="s">
        <v>34</v>
      </c>
      <c r="D24" s="12">
        <v>182.49</v>
      </c>
      <c r="E24" s="12">
        <v>20000</v>
      </c>
      <c r="F24" s="11">
        <v>0</v>
      </c>
      <c r="G24" s="11">
        <v>0</v>
      </c>
      <c r="H24" s="12">
        <v>0</v>
      </c>
      <c r="I24" s="12">
        <v>0</v>
      </c>
      <c r="J24" s="12">
        <v>0</v>
      </c>
      <c r="K24" s="12">
        <v>0</v>
      </c>
      <c r="L24" s="13">
        <v>20182.490000000002</v>
      </c>
    </row>
    <row r="25" spans="1:12" ht="18" customHeight="1" x14ac:dyDescent="0.3">
      <c r="A25" s="9">
        <v>24</v>
      </c>
      <c r="B25" s="19">
        <v>44315.681631944448</v>
      </c>
      <c r="C25" s="11" t="s">
        <v>35</v>
      </c>
      <c r="D25" s="12">
        <v>20182.490000000002</v>
      </c>
      <c r="E25" s="12">
        <v>0</v>
      </c>
      <c r="F25" s="11">
        <v>91.2</v>
      </c>
      <c r="G25" s="11">
        <v>0</v>
      </c>
      <c r="H25" s="12">
        <v>14603.16</v>
      </c>
      <c r="I25" s="12">
        <v>5111.1099999999997</v>
      </c>
      <c r="J25" s="12">
        <v>197.14</v>
      </c>
      <c r="K25" s="12">
        <v>19911.41</v>
      </c>
      <c r="L25" s="13">
        <v>271.08</v>
      </c>
    </row>
    <row r="26" spans="1:12" ht="18" customHeight="1" x14ac:dyDescent="0.3">
      <c r="A26" s="9">
        <v>25</v>
      </c>
      <c r="B26" s="19">
        <v>44316.448101851849</v>
      </c>
      <c r="C26" s="11" t="s">
        <v>36</v>
      </c>
      <c r="D26" s="12">
        <v>271.08</v>
      </c>
      <c r="E26" s="12">
        <v>56000</v>
      </c>
      <c r="F26" s="11">
        <v>0</v>
      </c>
      <c r="G26" s="11">
        <v>0</v>
      </c>
      <c r="H26" s="12">
        <v>0</v>
      </c>
      <c r="I26" s="12">
        <v>0</v>
      </c>
      <c r="J26" s="12">
        <v>0</v>
      </c>
      <c r="K26" s="12">
        <v>0</v>
      </c>
      <c r="L26" s="13">
        <v>56271.08</v>
      </c>
    </row>
    <row r="27" spans="1:12" ht="18" customHeight="1" x14ac:dyDescent="0.3">
      <c r="A27" s="9">
        <v>26</v>
      </c>
      <c r="B27" s="19">
        <v>44316.501539351855</v>
      </c>
      <c r="C27" s="11" t="s">
        <v>37</v>
      </c>
      <c r="D27" s="12">
        <v>56271.08</v>
      </c>
      <c r="E27" s="12">
        <v>0</v>
      </c>
      <c r="F27" s="11">
        <v>288.60000000000002</v>
      </c>
      <c r="G27" s="11">
        <v>0</v>
      </c>
      <c r="H27" s="12">
        <v>41111.07</v>
      </c>
      <c r="I27" s="12">
        <v>14388.87</v>
      </c>
      <c r="J27" s="12">
        <v>555</v>
      </c>
      <c r="K27" s="12">
        <v>56054.94</v>
      </c>
      <c r="L27" s="13">
        <v>216.14</v>
      </c>
    </row>
    <row r="28" spans="1:12" ht="18" customHeight="1" x14ac:dyDescent="0.3">
      <c r="A28" s="9">
        <v>27</v>
      </c>
      <c r="B28" s="19">
        <v>44317.845706018517</v>
      </c>
      <c r="C28" s="11" t="s">
        <v>38</v>
      </c>
      <c r="D28" s="12">
        <v>216.14</v>
      </c>
      <c r="E28" s="12">
        <v>500000</v>
      </c>
      <c r="F28" s="11">
        <v>0</v>
      </c>
      <c r="G28" s="11">
        <v>0</v>
      </c>
      <c r="H28" s="12">
        <v>0</v>
      </c>
      <c r="I28" s="12">
        <v>0</v>
      </c>
      <c r="J28" s="12">
        <v>0</v>
      </c>
      <c r="K28" s="12">
        <v>0</v>
      </c>
      <c r="L28" s="13">
        <v>500216.14</v>
      </c>
    </row>
    <row r="29" spans="1:12" ht="18" customHeight="1" x14ac:dyDescent="0.3">
      <c r="A29" s="9">
        <v>28</v>
      </c>
      <c r="B29" s="19">
        <v>44318.865983796299</v>
      </c>
      <c r="C29" s="11" t="s">
        <v>39</v>
      </c>
      <c r="D29" s="12">
        <v>500216.14</v>
      </c>
      <c r="E29" s="12">
        <v>200000</v>
      </c>
      <c r="F29" s="11">
        <v>0</v>
      </c>
      <c r="G29" s="11">
        <v>0</v>
      </c>
      <c r="H29" s="12">
        <v>0</v>
      </c>
      <c r="I29" s="12">
        <v>0</v>
      </c>
      <c r="J29" s="12">
        <v>0</v>
      </c>
      <c r="K29" s="12">
        <v>0</v>
      </c>
      <c r="L29" s="13">
        <v>700216.14</v>
      </c>
    </row>
    <row r="30" spans="1:12" ht="18" customHeight="1" x14ac:dyDescent="0.3">
      <c r="A30" s="9">
        <v>29</v>
      </c>
      <c r="B30" s="19">
        <v>44319.507210648146</v>
      </c>
      <c r="C30" s="11" t="s">
        <v>40</v>
      </c>
      <c r="D30" s="12">
        <v>700216.14</v>
      </c>
      <c r="E30" s="12">
        <v>0</v>
      </c>
      <c r="F30" s="11">
        <v>0</v>
      </c>
      <c r="G30" s="11">
        <v>421.61</v>
      </c>
      <c r="H30" s="12">
        <v>355912.76</v>
      </c>
      <c r="I30" s="12">
        <v>124569.47</v>
      </c>
      <c r="J30" s="12">
        <v>4804.82</v>
      </c>
      <c r="K30" s="12">
        <v>485287.04</v>
      </c>
      <c r="L30" s="13">
        <v>214929.1</v>
      </c>
    </row>
    <row r="31" spans="1:12" ht="18" customHeight="1" x14ac:dyDescent="0.3">
      <c r="A31" s="9">
        <v>30</v>
      </c>
      <c r="B31" s="19">
        <v>44319.507638888892</v>
      </c>
      <c r="C31" s="11" t="s">
        <v>41</v>
      </c>
      <c r="D31" s="12">
        <v>214929.1</v>
      </c>
      <c r="E31" s="12">
        <v>0</v>
      </c>
      <c r="F31" s="11">
        <v>1012.2</v>
      </c>
      <c r="G31" s="11">
        <v>0</v>
      </c>
      <c r="H31" s="12">
        <v>157301.5</v>
      </c>
      <c r="I31" s="12">
        <v>55055.53</v>
      </c>
      <c r="J31" s="12">
        <v>2123.5700000000002</v>
      </c>
      <c r="K31" s="12">
        <v>214480.6</v>
      </c>
      <c r="L31" s="13">
        <v>448.5</v>
      </c>
    </row>
    <row r="32" spans="1:12" ht="18" customHeight="1" x14ac:dyDescent="0.3">
      <c r="A32" s="9">
        <v>31</v>
      </c>
      <c r="B32" s="19">
        <v>44319.923854166664</v>
      </c>
      <c r="C32" s="11" t="s">
        <v>42</v>
      </c>
      <c r="D32" s="12">
        <v>448.5</v>
      </c>
      <c r="E32" s="12">
        <v>450000</v>
      </c>
      <c r="F32" s="11">
        <v>0</v>
      </c>
      <c r="G32" s="11">
        <v>0</v>
      </c>
      <c r="H32" s="12">
        <v>0</v>
      </c>
      <c r="I32" s="12">
        <v>0</v>
      </c>
      <c r="J32" s="12">
        <v>0</v>
      </c>
      <c r="K32" s="12">
        <v>0</v>
      </c>
      <c r="L32" s="13">
        <v>450448.5</v>
      </c>
    </row>
    <row r="33" spans="1:12" ht="18" customHeight="1" x14ac:dyDescent="0.3">
      <c r="A33" s="9">
        <v>32</v>
      </c>
      <c r="B33" s="19">
        <v>44319.975972222222</v>
      </c>
      <c r="C33" s="11" t="s">
        <v>43</v>
      </c>
      <c r="D33" s="12">
        <v>450448.5</v>
      </c>
      <c r="E33" s="12">
        <v>314000</v>
      </c>
      <c r="F33" s="11">
        <v>0</v>
      </c>
      <c r="G33" s="11">
        <v>0</v>
      </c>
      <c r="H33" s="12">
        <v>0</v>
      </c>
      <c r="I33" s="12">
        <v>0</v>
      </c>
      <c r="J33" s="12">
        <v>0</v>
      </c>
      <c r="K33" s="12">
        <v>0</v>
      </c>
      <c r="L33" s="13">
        <v>764448.5</v>
      </c>
    </row>
    <row r="34" spans="1:12" ht="18" customHeight="1" x14ac:dyDescent="0.3">
      <c r="A34" s="9">
        <v>33</v>
      </c>
      <c r="B34" s="19">
        <v>44320.040682870371</v>
      </c>
      <c r="C34" s="11" t="s">
        <v>44</v>
      </c>
      <c r="D34" s="12">
        <v>764448.5</v>
      </c>
      <c r="E34" s="12">
        <v>389000</v>
      </c>
      <c r="F34" s="11">
        <v>0</v>
      </c>
      <c r="G34" s="11">
        <v>0</v>
      </c>
      <c r="H34" s="12">
        <v>0</v>
      </c>
      <c r="I34" s="12">
        <v>0</v>
      </c>
      <c r="J34" s="12">
        <v>0</v>
      </c>
      <c r="K34" s="12">
        <v>0</v>
      </c>
      <c r="L34" s="13">
        <v>1153448.5</v>
      </c>
    </row>
    <row r="35" spans="1:12" ht="18" customHeight="1" x14ac:dyDescent="0.3">
      <c r="A35" s="9">
        <v>34</v>
      </c>
      <c r="B35" s="19">
        <v>44320.372337962966</v>
      </c>
      <c r="C35" s="11" t="s">
        <v>45</v>
      </c>
      <c r="D35" s="12">
        <v>1153448.5</v>
      </c>
      <c r="E35" s="12">
        <v>300000</v>
      </c>
      <c r="F35" s="11">
        <v>0</v>
      </c>
      <c r="G35" s="11">
        <v>0</v>
      </c>
      <c r="H35" s="12">
        <v>0</v>
      </c>
      <c r="I35" s="12">
        <v>0</v>
      </c>
      <c r="J35" s="12">
        <v>0</v>
      </c>
      <c r="K35" s="12">
        <v>0</v>
      </c>
      <c r="L35" s="13">
        <v>1453448.5</v>
      </c>
    </row>
    <row r="36" spans="1:12" ht="18" customHeight="1" x14ac:dyDescent="0.3">
      <c r="A36" s="9">
        <v>35</v>
      </c>
      <c r="B36" s="19">
        <v>44320.624351851853</v>
      </c>
      <c r="C36" s="11" t="s">
        <v>46</v>
      </c>
      <c r="D36" s="12">
        <v>1453448.5</v>
      </c>
      <c r="E36" s="12">
        <v>0</v>
      </c>
      <c r="F36" s="11">
        <v>1392</v>
      </c>
      <c r="G36" s="11">
        <v>0</v>
      </c>
      <c r="H36" s="12">
        <v>220952.16</v>
      </c>
      <c r="I36" s="12">
        <v>77333.259999999995</v>
      </c>
      <c r="J36" s="12">
        <v>2982.85</v>
      </c>
      <c r="K36" s="12">
        <v>301268.27</v>
      </c>
      <c r="L36" s="13">
        <v>1152180.23</v>
      </c>
    </row>
    <row r="37" spans="1:12" ht="18" customHeight="1" x14ac:dyDescent="0.3">
      <c r="A37" s="9">
        <v>36</v>
      </c>
      <c r="B37" s="19">
        <v>44320.639803240738</v>
      </c>
      <c r="C37" s="11" t="s">
        <v>47</v>
      </c>
      <c r="D37" s="12">
        <v>1152180.23</v>
      </c>
      <c r="E37" s="12">
        <v>0</v>
      </c>
      <c r="F37" s="11">
        <v>0</v>
      </c>
      <c r="G37" s="11">
        <v>1037.8800000000001</v>
      </c>
      <c r="H37" s="12">
        <v>844682.62</v>
      </c>
      <c r="I37" s="12">
        <v>295638.92</v>
      </c>
      <c r="J37" s="12">
        <v>11403.22</v>
      </c>
      <c r="K37" s="12">
        <v>1151724.75</v>
      </c>
      <c r="L37" s="13">
        <v>455.48</v>
      </c>
    </row>
    <row r="38" spans="1:12" ht="18" customHeight="1" x14ac:dyDescent="0.3">
      <c r="A38" s="9">
        <v>37</v>
      </c>
      <c r="B38" s="19">
        <v>44324.691967592589</v>
      </c>
      <c r="C38" s="11" t="s">
        <v>48</v>
      </c>
      <c r="D38" s="12">
        <v>455.48</v>
      </c>
      <c r="E38" s="12">
        <v>500</v>
      </c>
      <c r="F38" s="11">
        <v>0</v>
      </c>
      <c r="G38" s="11">
        <v>0</v>
      </c>
      <c r="H38" s="12">
        <v>0</v>
      </c>
      <c r="I38" s="12">
        <v>0</v>
      </c>
      <c r="J38" s="12">
        <v>0</v>
      </c>
      <c r="K38" s="12">
        <v>0</v>
      </c>
      <c r="L38" s="13">
        <v>955.48</v>
      </c>
    </row>
    <row r="39" spans="1:12" ht="18" customHeight="1" x14ac:dyDescent="0.3">
      <c r="A39" s="9">
        <v>38</v>
      </c>
      <c r="B39" s="19">
        <v>44334.299618055556</v>
      </c>
      <c r="C39" s="11" t="s">
        <v>49</v>
      </c>
      <c r="D39" s="12">
        <v>955.48</v>
      </c>
      <c r="E39" s="12">
        <v>145000</v>
      </c>
      <c r="F39" s="11">
        <v>0</v>
      </c>
      <c r="G39" s="11">
        <v>0</v>
      </c>
      <c r="H39" s="12">
        <v>0</v>
      </c>
      <c r="I39" s="12">
        <v>0</v>
      </c>
      <c r="J39" s="12">
        <v>0</v>
      </c>
      <c r="K39" s="12">
        <v>0</v>
      </c>
      <c r="L39" s="13">
        <v>145955.48000000001</v>
      </c>
    </row>
    <row r="40" spans="1:12" ht="18" customHeight="1" x14ac:dyDescent="0.3">
      <c r="A40" s="9">
        <v>39</v>
      </c>
      <c r="B40" s="19">
        <v>44334.317384259259</v>
      </c>
      <c r="C40" s="11" t="s">
        <v>50</v>
      </c>
      <c r="D40" s="12">
        <v>145955.48000000001</v>
      </c>
      <c r="E40" s="12">
        <v>16000</v>
      </c>
      <c r="F40" s="11">
        <v>0</v>
      </c>
      <c r="G40" s="11">
        <v>0</v>
      </c>
      <c r="H40" s="12">
        <v>0</v>
      </c>
      <c r="I40" s="12">
        <v>0</v>
      </c>
      <c r="J40" s="12">
        <v>0</v>
      </c>
      <c r="K40" s="12">
        <v>0</v>
      </c>
      <c r="L40" s="13">
        <v>161955.48000000001</v>
      </c>
    </row>
    <row r="41" spans="1:12" ht="18" customHeight="1" x14ac:dyDescent="0.3">
      <c r="A41" s="9">
        <v>40</v>
      </c>
      <c r="B41" s="19">
        <v>44334.494606481479</v>
      </c>
      <c r="C41" s="11" t="s">
        <v>51</v>
      </c>
      <c r="D41" s="12">
        <v>161955.48000000001</v>
      </c>
      <c r="E41" s="12">
        <v>0</v>
      </c>
      <c r="F41" s="11">
        <v>138</v>
      </c>
      <c r="G41" s="11">
        <v>0</v>
      </c>
      <c r="H41" s="12">
        <v>20634.900000000001</v>
      </c>
      <c r="I41" s="12">
        <v>7222.22</v>
      </c>
      <c r="J41" s="12">
        <v>278.57</v>
      </c>
      <c r="K41" s="12">
        <v>28135.69</v>
      </c>
      <c r="L41" s="13">
        <v>133819.79</v>
      </c>
    </row>
    <row r="42" spans="1:12" ht="18" customHeight="1" x14ac:dyDescent="0.3">
      <c r="A42" s="9">
        <v>41</v>
      </c>
      <c r="B42" s="19">
        <v>44334.49523148148</v>
      </c>
      <c r="C42" s="11" t="s">
        <v>52</v>
      </c>
      <c r="D42" s="12">
        <v>133819.79</v>
      </c>
      <c r="E42" s="12">
        <v>0</v>
      </c>
      <c r="F42" s="11">
        <v>0</v>
      </c>
      <c r="G42" s="11">
        <v>113.13</v>
      </c>
      <c r="H42" s="12">
        <v>93968.29</v>
      </c>
      <c r="I42" s="12">
        <v>32888.870000000003</v>
      </c>
      <c r="J42" s="12">
        <v>1269</v>
      </c>
      <c r="K42" s="12">
        <v>128126.16</v>
      </c>
      <c r="L42" s="13">
        <v>5693.63</v>
      </c>
    </row>
    <row r="43" spans="1:12" ht="18" customHeight="1" x14ac:dyDescent="0.3">
      <c r="A43" s="9">
        <v>42</v>
      </c>
      <c r="B43" s="19">
        <v>44335.912673611114</v>
      </c>
      <c r="C43" s="11" t="s">
        <v>53</v>
      </c>
      <c r="D43" s="12">
        <v>5693.63</v>
      </c>
      <c r="E43" s="12">
        <v>115000</v>
      </c>
      <c r="F43" s="11">
        <v>0</v>
      </c>
      <c r="G43" s="11">
        <v>0</v>
      </c>
      <c r="H43" s="12">
        <v>0</v>
      </c>
      <c r="I43" s="12">
        <v>0</v>
      </c>
      <c r="J43" s="12">
        <v>0</v>
      </c>
      <c r="K43" s="12">
        <v>0</v>
      </c>
      <c r="L43" s="13">
        <v>120693.63</v>
      </c>
    </row>
    <row r="44" spans="1:12" ht="18" customHeight="1" x14ac:dyDescent="0.3">
      <c r="A44" s="9">
        <v>43</v>
      </c>
      <c r="B44" s="19">
        <v>44336.009155092594</v>
      </c>
      <c r="C44" s="11" t="s">
        <v>54</v>
      </c>
      <c r="D44" s="12">
        <v>120693.63</v>
      </c>
      <c r="E44" s="12">
        <v>100000</v>
      </c>
      <c r="F44" s="11">
        <v>0</v>
      </c>
      <c r="G44" s="11">
        <v>0</v>
      </c>
      <c r="H44" s="12">
        <v>0</v>
      </c>
      <c r="I44" s="12">
        <v>0</v>
      </c>
      <c r="J44" s="12">
        <v>0</v>
      </c>
      <c r="K44" s="12">
        <v>0</v>
      </c>
      <c r="L44" s="13">
        <v>220693.63</v>
      </c>
    </row>
    <row r="45" spans="1:12" ht="18" customHeight="1" x14ac:dyDescent="0.3">
      <c r="A45" s="9">
        <v>44</v>
      </c>
      <c r="B45" s="19">
        <v>44336.4215625</v>
      </c>
      <c r="C45" s="11" t="s">
        <v>55</v>
      </c>
      <c r="D45" s="12">
        <v>220693.63</v>
      </c>
      <c r="E45" s="12">
        <v>0</v>
      </c>
      <c r="F45" s="11">
        <v>177</v>
      </c>
      <c r="G45" s="11">
        <v>0</v>
      </c>
      <c r="H45" s="12">
        <v>26190.45</v>
      </c>
      <c r="I45" s="12">
        <v>9166.66</v>
      </c>
      <c r="J45" s="12">
        <v>353.57</v>
      </c>
      <c r="K45" s="12">
        <v>35710.68</v>
      </c>
      <c r="L45" s="13">
        <v>184982.95</v>
      </c>
    </row>
    <row r="46" spans="1:12" ht="18" customHeight="1" x14ac:dyDescent="0.3">
      <c r="A46" s="9">
        <v>45</v>
      </c>
      <c r="B46" s="19">
        <v>44336.423090277778</v>
      </c>
      <c r="C46" s="11" t="s">
        <v>56</v>
      </c>
      <c r="D46" s="12">
        <v>184982.95</v>
      </c>
      <c r="E46" s="12">
        <v>0</v>
      </c>
      <c r="F46" s="11">
        <v>0</v>
      </c>
      <c r="G46" s="11">
        <v>170.91</v>
      </c>
      <c r="H46" s="12">
        <v>134841.26999999999</v>
      </c>
      <c r="I46" s="12">
        <v>47194.49</v>
      </c>
      <c r="J46" s="12">
        <v>1820</v>
      </c>
      <c r="K46" s="12">
        <v>183855.76</v>
      </c>
      <c r="L46" s="13">
        <v>1127.19</v>
      </c>
    </row>
    <row r="47" spans="1:12" ht="18" customHeight="1" x14ac:dyDescent="0.3">
      <c r="A47" s="9">
        <v>46</v>
      </c>
      <c r="B47" s="19">
        <v>44339.730787037035</v>
      </c>
      <c r="C47" s="11" t="s">
        <v>57</v>
      </c>
      <c r="D47" s="12">
        <v>1127.19</v>
      </c>
      <c r="E47" s="12">
        <v>121000</v>
      </c>
      <c r="F47" s="11">
        <v>0</v>
      </c>
      <c r="G47" s="11">
        <v>0</v>
      </c>
      <c r="H47" s="12">
        <v>0</v>
      </c>
      <c r="I47" s="12">
        <v>0</v>
      </c>
      <c r="J47" s="12">
        <v>0</v>
      </c>
      <c r="K47" s="12">
        <v>0</v>
      </c>
      <c r="L47" s="13">
        <v>122127.19</v>
      </c>
    </row>
    <row r="48" spans="1:12" ht="18" customHeight="1" x14ac:dyDescent="0.3">
      <c r="A48" s="9">
        <v>47</v>
      </c>
      <c r="B48" s="19">
        <v>44339.973090277781</v>
      </c>
      <c r="C48" s="11" t="s">
        <v>58</v>
      </c>
      <c r="D48" s="12">
        <v>122127.19</v>
      </c>
      <c r="E48" s="12">
        <v>80000</v>
      </c>
      <c r="F48" s="11">
        <v>0</v>
      </c>
      <c r="G48" s="11">
        <v>0</v>
      </c>
      <c r="H48" s="12">
        <v>0</v>
      </c>
      <c r="I48" s="12">
        <v>0</v>
      </c>
      <c r="J48" s="12">
        <v>0</v>
      </c>
      <c r="K48" s="12">
        <v>0</v>
      </c>
      <c r="L48" s="13">
        <v>202127.19</v>
      </c>
    </row>
    <row r="49" spans="1:12" ht="18" customHeight="1" x14ac:dyDescent="0.3">
      <c r="A49" s="9">
        <v>48</v>
      </c>
      <c r="B49" s="19">
        <v>44340.385717592595</v>
      </c>
      <c r="C49" s="11" t="s">
        <v>59</v>
      </c>
      <c r="D49" s="12">
        <v>202127.19</v>
      </c>
      <c r="E49" s="12">
        <v>0</v>
      </c>
      <c r="F49" s="11">
        <v>99</v>
      </c>
      <c r="G49" s="11">
        <v>0</v>
      </c>
      <c r="H49" s="12">
        <v>15079.35</v>
      </c>
      <c r="I49" s="12">
        <v>5277.77</v>
      </c>
      <c r="J49" s="12">
        <v>203.57</v>
      </c>
      <c r="K49" s="12">
        <v>20560.689999999999</v>
      </c>
      <c r="L49" s="13">
        <v>181566.5</v>
      </c>
    </row>
    <row r="50" spans="1:12" ht="18" customHeight="1" x14ac:dyDescent="0.3">
      <c r="A50" s="9">
        <v>49</v>
      </c>
      <c r="B50" s="19">
        <v>44340.386331018519</v>
      </c>
      <c r="C50" s="11" t="s">
        <v>60</v>
      </c>
      <c r="D50" s="12">
        <v>181566.5</v>
      </c>
      <c r="E50" s="12">
        <v>0</v>
      </c>
      <c r="F50" s="11">
        <v>0</v>
      </c>
      <c r="G50" s="11">
        <v>162.54</v>
      </c>
      <c r="H50" s="12">
        <v>131904.78</v>
      </c>
      <c r="I50" s="12">
        <v>46166.71</v>
      </c>
      <c r="J50" s="12">
        <v>1781</v>
      </c>
      <c r="K50" s="12">
        <v>179852.49</v>
      </c>
      <c r="L50" s="13">
        <v>1714.01</v>
      </c>
    </row>
    <row r="51" spans="1:12" ht="18" customHeight="1" x14ac:dyDescent="0.3">
      <c r="A51" s="9">
        <v>50</v>
      </c>
      <c r="B51" s="19">
        <v>44343.865983796299</v>
      </c>
      <c r="C51" s="11" t="s">
        <v>61</v>
      </c>
      <c r="D51" s="12">
        <v>1714.01</v>
      </c>
      <c r="E51" s="12">
        <v>232000</v>
      </c>
      <c r="F51" s="11">
        <v>0</v>
      </c>
      <c r="G51" s="11">
        <v>0</v>
      </c>
      <c r="H51" s="12">
        <v>0</v>
      </c>
      <c r="I51" s="12">
        <v>0</v>
      </c>
      <c r="J51" s="12">
        <v>0</v>
      </c>
      <c r="K51" s="12">
        <v>0</v>
      </c>
      <c r="L51" s="13">
        <v>233714.01</v>
      </c>
    </row>
    <row r="52" spans="1:12" ht="18" customHeight="1" x14ac:dyDescent="0.3">
      <c r="A52" s="9">
        <v>51</v>
      </c>
      <c r="B52" s="19">
        <v>44344.354710648149</v>
      </c>
      <c r="C52" s="11" t="s">
        <v>62</v>
      </c>
      <c r="D52" s="12">
        <v>233714.01</v>
      </c>
      <c r="E52" s="12">
        <v>0</v>
      </c>
      <c r="F52" s="11">
        <v>0</v>
      </c>
      <c r="G52" s="11">
        <v>150.12</v>
      </c>
      <c r="H52" s="12">
        <v>120079.4</v>
      </c>
      <c r="I52" s="12">
        <v>42027.79</v>
      </c>
      <c r="J52" s="12">
        <v>1621.07</v>
      </c>
      <c r="K52" s="12">
        <v>163728.26</v>
      </c>
      <c r="L52" s="13">
        <v>69985.75</v>
      </c>
    </row>
    <row r="53" spans="1:12" ht="18" customHeight="1" x14ac:dyDescent="0.3">
      <c r="A53" s="9">
        <v>52</v>
      </c>
      <c r="B53" s="19">
        <v>44344.355162037034</v>
      </c>
      <c r="C53" s="11" t="s">
        <v>63</v>
      </c>
      <c r="D53" s="12">
        <v>69985.75</v>
      </c>
      <c r="E53" s="12">
        <v>0</v>
      </c>
      <c r="F53" s="11">
        <v>174</v>
      </c>
      <c r="G53" s="11">
        <v>0</v>
      </c>
      <c r="H53" s="12">
        <v>26349.18</v>
      </c>
      <c r="I53" s="12">
        <v>9222.2099999999991</v>
      </c>
      <c r="J53" s="12">
        <v>355.71</v>
      </c>
      <c r="K53" s="12">
        <v>35927.11</v>
      </c>
      <c r="L53" s="13">
        <v>34058.639999999999</v>
      </c>
    </row>
    <row r="54" spans="1:12" ht="18" customHeight="1" x14ac:dyDescent="0.3">
      <c r="A54" s="9">
        <v>53</v>
      </c>
      <c r="B54" s="19">
        <v>44347.004212962966</v>
      </c>
      <c r="C54" s="11" t="s">
        <v>64</v>
      </c>
      <c r="D54" s="12">
        <v>34058.639999999999</v>
      </c>
      <c r="E54" s="12">
        <v>74500</v>
      </c>
      <c r="F54" s="11">
        <v>0</v>
      </c>
      <c r="G54" s="11">
        <v>0</v>
      </c>
      <c r="H54" s="12">
        <v>0</v>
      </c>
      <c r="I54" s="12">
        <v>0</v>
      </c>
      <c r="J54" s="12">
        <v>0</v>
      </c>
      <c r="K54" s="12">
        <v>0</v>
      </c>
      <c r="L54" s="13">
        <v>108558.64</v>
      </c>
    </row>
    <row r="55" spans="1:12" ht="18" customHeight="1" x14ac:dyDescent="0.3">
      <c r="A55" s="9">
        <v>54</v>
      </c>
      <c r="B55" s="19">
        <v>44347.992349537039</v>
      </c>
      <c r="C55" s="11" t="s">
        <v>65</v>
      </c>
      <c r="D55" s="12">
        <v>108558.64</v>
      </c>
      <c r="E55" s="12">
        <v>132000</v>
      </c>
      <c r="F55" s="11">
        <v>0</v>
      </c>
      <c r="G55" s="11">
        <v>0</v>
      </c>
      <c r="H55" s="12">
        <v>0</v>
      </c>
      <c r="I55" s="12">
        <v>0</v>
      </c>
      <c r="J55" s="12">
        <v>0</v>
      </c>
      <c r="K55" s="12">
        <v>0</v>
      </c>
      <c r="L55" s="13">
        <v>240558.64</v>
      </c>
    </row>
    <row r="56" spans="1:12" ht="18" customHeight="1" x14ac:dyDescent="0.3">
      <c r="A56" s="9">
        <v>55</v>
      </c>
      <c r="B56" s="19">
        <v>44350.398564814815</v>
      </c>
      <c r="C56" s="11" t="s">
        <v>66</v>
      </c>
      <c r="D56" s="12">
        <v>240558.64</v>
      </c>
      <c r="E56" s="12">
        <v>0</v>
      </c>
      <c r="F56" s="11">
        <v>0</v>
      </c>
      <c r="G56" s="11">
        <v>155.25</v>
      </c>
      <c r="H56" s="12">
        <v>119999.96</v>
      </c>
      <c r="I56" s="12">
        <v>42000</v>
      </c>
      <c r="J56" s="12">
        <v>1620</v>
      </c>
      <c r="K56" s="12">
        <v>163619.96</v>
      </c>
      <c r="L56" s="13">
        <v>76938.679999999993</v>
      </c>
    </row>
    <row r="57" spans="1:12" ht="18" customHeight="1" x14ac:dyDescent="0.3">
      <c r="A57" s="9">
        <v>56</v>
      </c>
      <c r="B57" s="19">
        <v>44350.398993055554</v>
      </c>
      <c r="C57" s="11" t="s">
        <v>67</v>
      </c>
      <c r="D57" s="12">
        <v>76938.679999999993</v>
      </c>
      <c r="E57" s="12">
        <v>0</v>
      </c>
      <c r="F57" s="11">
        <v>138</v>
      </c>
      <c r="G57" s="11">
        <v>0</v>
      </c>
      <c r="H57" s="12">
        <v>20634.900000000001</v>
      </c>
      <c r="I57" s="12">
        <v>7222.22</v>
      </c>
      <c r="J57" s="12">
        <v>278.57</v>
      </c>
      <c r="K57" s="12">
        <v>28135.69</v>
      </c>
      <c r="L57" s="13">
        <v>48802.99</v>
      </c>
    </row>
    <row r="58" spans="1:12" ht="18" customHeight="1" x14ac:dyDescent="0.3">
      <c r="A58" s="9">
        <v>57</v>
      </c>
      <c r="B58" s="19">
        <v>44353.978703703702</v>
      </c>
      <c r="C58" s="11" t="s">
        <v>68</v>
      </c>
      <c r="D58" s="12">
        <v>48802.99</v>
      </c>
      <c r="E58" s="12">
        <v>70000</v>
      </c>
      <c r="F58" s="11">
        <v>0</v>
      </c>
      <c r="G58" s="11">
        <v>0</v>
      </c>
      <c r="H58" s="12">
        <v>0</v>
      </c>
      <c r="I58" s="12">
        <v>0</v>
      </c>
      <c r="J58" s="12">
        <v>0</v>
      </c>
      <c r="K58" s="12">
        <v>0</v>
      </c>
      <c r="L58" s="13">
        <v>118802.99</v>
      </c>
    </row>
    <row r="59" spans="1:12" ht="18" customHeight="1" x14ac:dyDescent="0.3">
      <c r="A59" s="9">
        <v>58</v>
      </c>
      <c r="B59" s="19">
        <v>44356.379907407405</v>
      </c>
      <c r="C59" s="11" t="s">
        <v>69</v>
      </c>
      <c r="D59" s="12">
        <v>118802.99</v>
      </c>
      <c r="E59" s="12">
        <v>0</v>
      </c>
      <c r="F59" s="11">
        <v>0</v>
      </c>
      <c r="G59" s="11">
        <v>33.75</v>
      </c>
      <c r="H59" s="12">
        <v>33492.06</v>
      </c>
      <c r="I59" s="12">
        <v>11722.22</v>
      </c>
      <c r="J59" s="12">
        <v>452.14</v>
      </c>
      <c r="K59" s="12">
        <v>45666.42</v>
      </c>
      <c r="L59" s="13">
        <v>73136.570000000007</v>
      </c>
    </row>
    <row r="60" spans="1:12" ht="18" customHeight="1" x14ac:dyDescent="0.3">
      <c r="A60" s="9">
        <v>59</v>
      </c>
      <c r="B60" s="19">
        <v>44360.781388888892</v>
      </c>
      <c r="C60" s="11" t="s">
        <v>70</v>
      </c>
      <c r="D60" s="12">
        <v>73136.570000000007</v>
      </c>
      <c r="E60" s="12">
        <v>56000</v>
      </c>
      <c r="F60" s="11">
        <v>0</v>
      </c>
      <c r="G60" s="11">
        <v>0</v>
      </c>
      <c r="H60" s="12">
        <v>0</v>
      </c>
      <c r="I60" s="12">
        <v>0</v>
      </c>
      <c r="J60" s="12">
        <v>0</v>
      </c>
      <c r="K60" s="12">
        <v>0</v>
      </c>
      <c r="L60" s="13">
        <v>129136.57</v>
      </c>
    </row>
    <row r="61" spans="1:12" ht="18" customHeight="1" x14ac:dyDescent="0.3">
      <c r="A61" s="9">
        <v>60</v>
      </c>
      <c r="B61" s="19">
        <v>44361.391481481478</v>
      </c>
      <c r="C61" s="11" t="s">
        <v>71</v>
      </c>
      <c r="D61" s="12">
        <v>129136.57</v>
      </c>
      <c r="E61" s="12">
        <v>0</v>
      </c>
      <c r="F61" s="11">
        <v>0</v>
      </c>
      <c r="G61" s="11">
        <v>104.22</v>
      </c>
      <c r="H61" s="12">
        <v>83095.25</v>
      </c>
      <c r="I61" s="12">
        <v>29083.34</v>
      </c>
      <c r="J61" s="12">
        <v>1121.79</v>
      </c>
      <c r="K61" s="12">
        <v>113300.37</v>
      </c>
      <c r="L61" s="13">
        <v>15836.2</v>
      </c>
    </row>
    <row r="62" spans="1:12" ht="18" customHeight="1" x14ac:dyDescent="0.3">
      <c r="A62" s="9">
        <v>61</v>
      </c>
      <c r="B62" s="19">
        <v>44361.391817129632</v>
      </c>
      <c r="C62" s="11" t="s">
        <v>72</v>
      </c>
      <c r="D62" s="12">
        <v>15836.2</v>
      </c>
      <c r="E62" s="12">
        <v>0</v>
      </c>
      <c r="F62" s="11">
        <v>78.599999999999994</v>
      </c>
      <c r="G62" s="11">
        <v>0</v>
      </c>
      <c r="H62" s="12">
        <v>11587.29</v>
      </c>
      <c r="I62" s="12">
        <v>4055.55</v>
      </c>
      <c r="J62" s="12">
        <v>156.43</v>
      </c>
      <c r="K62" s="12">
        <v>15799.27</v>
      </c>
      <c r="L62" s="13">
        <v>36.93</v>
      </c>
    </row>
    <row r="63" spans="1:12" ht="18" customHeight="1" x14ac:dyDescent="0.3">
      <c r="A63" s="9">
        <v>62</v>
      </c>
      <c r="B63" s="19">
        <v>44364.007881944446</v>
      </c>
      <c r="C63" s="11" t="s">
        <v>73</v>
      </c>
      <c r="D63" s="12">
        <v>36.93</v>
      </c>
      <c r="E63" s="12">
        <v>124000</v>
      </c>
      <c r="F63" s="11">
        <v>0</v>
      </c>
      <c r="G63" s="11">
        <v>0</v>
      </c>
      <c r="H63" s="12">
        <v>0</v>
      </c>
      <c r="I63" s="12">
        <v>0</v>
      </c>
      <c r="J63" s="12">
        <v>0</v>
      </c>
      <c r="K63" s="12">
        <v>0</v>
      </c>
      <c r="L63" s="13">
        <v>124036.93</v>
      </c>
    </row>
    <row r="64" spans="1:12" ht="18" customHeight="1" x14ac:dyDescent="0.3">
      <c r="A64" s="9">
        <v>63</v>
      </c>
      <c r="B64" s="19">
        <v>44364.28496527778</v>
      </c>
      <c r="C64" s="11" t="s">
        <v>74</v>
      </c>
      <c r="D64" s="12">
        <v>124036.93</v>
      </c>
      <c r="E64" s="12">
        <v>159000</v>
      </c>
      <c r="F64" s="11">
        <v>0</v>
      </c>
      <c r="G64" s="11">
        <v>0</v>
      </c>
      <c r="H64" s="12">
        <v>0</v>
      </c>
      <c r="I64" s="12">
        <v>0</v>
      </c>
      <c r="J64" s="12">
        <v>0</v>
      </c>
      <c r="K64" s="12">
        <v>0</v>
      </c>
      <c r="L64" s="13">
        <v>283036.93</v>
      </c>
    </row>
    <row r="65" spans="1:12" ht="18" customHeight="1" x14ac:dyDescent="0.3">
      <c r="A65" s="9">
        <v>64</v>
      </c>
      <c r="B65" s="19">
        <v>44364.439039351855</v>
      </c>
      <c r="C65" s="11" t="s">
        <v>75</v>
      </c>
      <c r="D65" s="12">
        <v>283036.93</v>
      </c>
      <c r="E65" s="12">
        <v>0</v>
      </c>
      <c r="F65" s="11">
        <v>0</v>
      </c>
      <c r="G65" s="11">
        <v>202.5</v>
      </c>
      <c r="H65" s="12">
        <v>171031.77</v>
      </c>
      <c r="I65" s="12">
        <v>59861.120000000003</v>
      </c>
      <c r="J65" s="12">
        <v>2308.9299999999998</v>
      </c>
      <c r="K65" s="12">
        <v>233201.82</v>
      </c>
      <c r="L65" s="13">
        <v>49835.11</v>
      </c>
    </row>
    <row r="66" spans="1:12" ht="18" customHeight="1" x14ac:dyDescent="0.3">
      <c r="A66" s="9">
        <v>65</v>
      </c>
      <c r="B66" s="19">
        <v>44364.439444444448</v>
      </c>
      <c r="C66" s="11" t="s">
        <v>76</v>
      </c>
      <c r="D66" s="12">
        <v>49835.11</v>
      </c>
      <c r="E66" s="12">
        <v>0</v>
      </c>
      <c r="F66" s="11">
        <v>237</v>
      </c>
      <c r="G66" s="11">
        <v>0</v>
      </c>
      <c r="H66" s="12">
        <v>35714.25</v>
      </c>
      <c r="I66" s="12">
        <v>12499.99</v>
      </c>
      <c r="J66" s="12">
        <v>482.14</v>
      </c>
      <c r="K66" s="12">
        <v>48696.38</v>
      </c>
      <c r="L66" s="13">
        <v>1138.73</v>
      </c>
    </row>
    <row r="67" spans="1:12" ht="18" customHeight="1" x14ac:dyDescent="0.3">
      <c r="A67" s="9">
        <v>66</v>
      </c>
      <c r="B67" s="19">
        <v>44367.979884259257</v>
      </c>
      <c r="C67" s="11" t="s">
        <v>77</v>
      </c>
      <c r="D67" s="12">
        <v>1138.73</v>
      </c>
      <c r="E67" s="12">
        <v>239000</v>
      </c>
      <c r="F67" s="11">
        <v>0</v>
      </c>
      <c r="G67" s="11">
        <v>0</v>
      </c>
      <c r="H67" s="12">
        <v>0</v>
      </c>
      <c r="I67" s="12">
        <v>0</v>
      </c>
      <c r="J67" s="12">
        <v>0</v>
      </c>
      <c r="K67" s="12">
        <v>0</v>
      </c>
      <c r="L67" s="13">
        <v>240138.73</v>
      </c>
    </row>
    <row r="68" spans="1:12" ht="18" customHeight="1" x14ac:dyDescent="0.3">
      <c r="A68" s="9">
        <v>67</v>
      </c>
      <c r="B68" s="19">
        <v>44368.407083333332</v>
      </c>
      <c r="C68" s="11" t="s">
        <v>78</v>
      </c>
      <c r="D68" s="12">
        <v>240138.73</v>
      </c>
      <c r="E68" s="12">
        <v>0</v>
      </c>
      <c r="F68" s="11">
        <v>0</v>
      </c>
      <c r="G68" s="11">
        <v>182.52</v>
      </c>
      <c r="H68" s="12">
        <v>148174.64000000001</v>
      </c>
      <c r="I68" s="12">
        <v>51861.16</v>
      </c>
      <c r="J68" s="12">
        <v>2000</v>
      </c>
      <c r="K68" s="12">
        <v>202035.8</v>
      </c>
      <c r="L68" s="13">
        <v>38102.93</v>
      </c>
    </row>
    <row r="69" spans="1:12" ht="18" customHeight="1" x14ac:dyDescent="0.3">
      <c r="A69" s="9">
        <v>68</v>
      </c>
      <c r="B69" s="19">
        <v>44368.414085648146</v>
      </c>
      <c r="C69" s="11" t="s">
        <v>79</v>
      </c>
      <c r="D69" s="12">
        <v>38102.93</v>
      </c>
      <c r="E69" s="12">
        <v>0</v>
      </c>
      <c r="F69" s="11">
        <v>184.8</v>
      </c>
      <c r="G69" s="11">
        <v>0</v>
      </c>
      <c r="H69" s="12">
        <v>27857.119999999999</v>
      </c>
      <c r="I69" s="12">
        <v>9749.99</v>
      </c>
      <c r="J69" s="12">
        <v>376.07</v>
      </c>
      <c r="K69" s="12">
        <v>37983.18</v>
      </c>
      <c r="L69" s="13">
        <v>119.75</v>
      </c>
    </row>
    <row r="70" spans="1:12" ht="18" customHeight="1" x14ac:dyDescent="0.3">
      <c r="A70" s="9">
        <v>69</v>
      </c>
      <c r="B70" s="19">
        <v>44370.382326388892</v>
      </c>
      <c r="C70" s="11" t="s">
        <v>80</v>
      </c>
      <c r="D70" s="12">
        <v>119.75</v>
      </c>
      <c r="E70" s="12">
        <v>114000</v>
      </c>
      <c r="F70" s="11">
        <v>0</v>
      </c>
      <c r="G70" s="11">
        <v>0</v>
      </c>
      <c r="H70" s="12">
        <v>0</v>
      </c>
      <c r="I70" s="12">
        <v>0</v>
      </c>
      <c r="J70" s="12">
        <v>0</v>
      </c>
      <c r="K70" s="12">
        <v>0</v>
      </c>
      <c r="L70" s="13">
        <v>114119.75</v>
      </c>
    </row>
    <row r="71" spans="1:12" ht="18" customHeight="1" x14ac:dyDescent="0.3">
      <c r="A71" s="9">
        <v>70</v>
      </c>
      <c r="B71" s="19">
        <v>44370.431273148148</v>
      </c>
      <c r="C71" s="11" t="s">
        <v>81</v>
      </c>
      <c r="D71" s="12">
        <v>114119.75</v>
      </c>
      <c r="E71" s="12">
        <v>40000</v>
      </c>
      <c r="F71" s="11">
        <v>0</v>
      </c>
      <c r="G71" s="11">
        <v>0</v>
      </c>
      <c r="H71" s="12">
        <v>0</v>
      </c>
      <c r="I71" s="12">
        <v>0</v>
      </c>
      <c r="J71" s="12">
        <v>0</v>
      </c>
      <c r="K71" s="12">
        <v>0</v>
      </c>
      <c r="L71" s="13">
        <v>154119.75</v>
      </c>
    </row>
    <row r="72" spans="1:12" ht="18" customHeight="1" x14ac:dyDescent="0.3">
      <c r="A72" s="9">
        <v>71</v>
      </c>
      <c r="B72" s="19">
        <v>44370.483136574076</v>
      </c>
      <c r="C72" s="11" t="s">
        <v>82</v>
      </c>
      <c r="D72" s="12">
        <v>154119.75</v>
      </c>
      <c r="E72" s="12">
        <v>0</v>
      </c>
      <c r="F72" s="11">
        <v>0</v>
      </c>
      <c r="G72" s="11">
        <v>128.38999999999999</v>
      </c>
      <c r="H72" s="12">
        <v>109841.3</v>
      </c>
      <c r="I72" s="12">
        <v>38444.46</v>
      </c>
      <c r="J72" s="12">
        <v>1483</v>
      </c>
      <c r="K72" s="12">
        <v>149768.76</v>
      </c>
      <c r="L72" s="13">
        <v>4350.99</v>
      </c>
    </row>
    <row r="73" spans="1:12" ht="18" customHeight="1" x14ac:dyDescent="0.3">
      <c r="A73" s="9">
        <v>72</v>
      </c>
      <c r="B73" s="19">
        <v>44372.374050925922</v>
      </c>
      <c r="C73" s="11" t="s">
        <v>83</v>
      </c>
      <c r="D73" s="12">
        <v>4350.99</v>
      </c>
      <c r="E73" s="12">
        <v>160000</v>
      </c>
      <c r="F73" s="11">
        <v>0</v>
      </c>
      <c r="G73" s="11">
        <v>0</v>
      </c>
      <c r="H73" s="12">
        <v>0</v>
      </c>
      <c r="I73" s="12">
        <v>0</v>
      </c>
      <c r="J73" s="12">
        <v>0</v>
      </c>
      <c r="K73" s="12">
        <v>0</v>
      </c>
      <c r="L73" s="13">
        <v>164350.99</v>
      </c>
    </row>
    <row r="74" spans="1:12" ht="18" customHeight="1" x14ac:dyDescent="0.3">
      <c r="A74" s="9">
        <v>73</v>
      </c>
      <c r="B74" s="19">
        <v>44372.409907407404</v>
      </c>
      <c r="C74" s="11" t="s">
        <v>84</v>
      </c>
      <c r="D74" s="12">
        <v>164350.99</v>
      </c>
      <c r="E74" s="12">
        <v>0</v>
      </c>
      <c r="F74" s="11">
        <v>169.8</v>
      </c>
      <c r="G74" s="11">
        <v>0</v>
      </c>
      <c r="H74" s="12">
        <v>25555.53</v>
      </c>
      <c r="I74" s="12">
        <v>8944.44</v>
      </c>
      <c r="J74" s="12">
        <v>345</v>
      </c>
      <c r="K74" s="12">
        <v>34844.97</v>
      </c>
      <c r="L74" s="13">
        <v>129506.02</v>
      </c>
    </row>
    <row r="75" spans="1:12" ht="18" customHeight="1" x14ac:dyDescent="0.3">
      <c r="A75" s="9">
        <v>74</v>
      </c>
      <c r="B75" s="19">
        <v>44372.42931712963</v>
      </c>
      <c r="C75" s="11" t="s">
        <v>85</v>
      </c>
      <c r="D75" s="12">
        <v>129506.02</v>
      </c>
      <c r="E75" s="12">
        <v>0</v>
      </c>
      <c r="F75" s="11">
        <v>0</v>
      </c>
      <c r="G75" s="11">
        <v>117.45</v>
      </c>
      <c r="H75" s="12">
        <v>94523.839999999997</v>
      </c>
      <c r="I75" s="12">
        <v>33083.360000000001</v>
      </c>
      <c r="J75" s="12">
        <v>1276</v>
      </c>
      <c r="K75" s="12">
        <v>128883.2</v>
      </c>
      <c r="L75" s="13">
        <v>622.82000000000005</v>
      </c>
    </row>
    <row r="76" spans="1:12" ht="18" customHeight="1" x14ac:dyDescent="0.3">
      <c r="A76" s="9">
        <v>75</v>
      </c>
      <c r="B76" s="19">
        <v>44376.313750000001</v>
      </c>
      <c r="C76" s="11" t="s">
        <v>86</v>
      </c>
      <c r="D76" s="12">
        <v>622.82000000000005</v>
      </c>
      <c r="E76" s="12">
        <v>105500</v>
      </c>
      <c r="F76" s="11">
        <v>0</v>
      </c>
      <c r="G76" s="11">
        <v>0</v>
      </c>
      <c r="H76" s="12">
        <v>0</v>
      </c>
      <c r="I76" s="12">
        <v>0</v>
      </c>
      <c r="J76" s="12">
        <v>0</v>
      </c>
      <c r="K76" s="12">
        <v>0</v>
      </c>
      <c r="L76" s="13">
        <v>106122.82</v>
      </c>
    </row>
    <row r="77" spans="1:12" ht="18" customHeight="1" x14ac:dyDescent="0.3">
      <c r="A77" s="9">
        <v>76</v>
      </c>
      <c r="B77" s="19">
        <v>44376.379652777781</v>
      </c>
      <c r="C77" s="11" t="s">
        <v>87</v>
      </c>
      <c r="D77" s="12">
        <v>106122.82</v>
      </c>
      <c r="E77" s="12">
        <v>75000</v>
      </c>
      <c r="F77" s="11">
        <v>0</v>
      </c>
      <c r="G77" s="11">
        <v>0</v>
      </c>
      <c r="H77" s="12">
        <v>0</v>
      </c>
      <c r="I77" s="12">
        <v>0</v>
      </c>
      <c r="J77" s="12">
        <v>0</v>
      </c>
      <c r="K77" s="12">
        <v>0</v>
      </c>
      <c r="L77" s="13">
        <v>181122.82</v>
      </c>
    </row>
    <row r="78" spans="1:12" ht="18" customHeight="1" x14ac:dyDescent="0.3">
      <c r="A78" s="9">
        <v>77</v>
      </c>
      <c r="B78" s="19">
        <v>44376.396689814814</v>
      </c>
      <c r="C78" s="11" t="s">
        <v>88</v>
      </c>
      <c r="D78" s="12">
        <v>181122.82</v>
      </c>
      <c r="E78" s="12">
        <v>15000</v>
      </c>
      <c r="F78" s="11">
        <v>0</v>
      </c>
      <c r="G78" s="11">
        <v>0</v>
      </c>
      <c r="H78" s="12">
        <v>0</v>
      </c>
      <c r="I78" s="12">
        <v>0</v>
      </c>
      <c r="J78" s="12">
        <v>0</v>
      </c>
      <c r="K78" s="12">
        <v>0</v>
      </c>
      <c r="L78" s="13">
        <v>196122.82</v>
      </c>
    </row>
    <row r="79" spans="1:12" ht="18" customHeight="1" x14ac:dyDescent="0.3">
      <c r="A79" s="9">
        <v>78</v>
      </c>
      <c r="B79" s="19">
        <v>44376.406956018516</v>
      </c>
      <c r="C79" s="11" t="s">
        <v>89</v>
      </c>
      <c r="D79" s="12">
        <v>196122.82</v>
      </c>
      <c r="E79" s="12">
        <v>34000</v>
      </c>
      <c r="F79" s="11">
        <v>0</v>
      </c>
      <c r="G79" s="11">
        <v>0</v>
      </c>
      <c r="H79" s="12">
        <v>0</v>
      </c>
      <c r="I79" s="12">
        <v>0</v>
      </c>
      <c r="J79" s="12">
        <v>0</v>
      </c>
      <c r="K79" s="12">
        <v>0</v>
      </c>
      <c r="L79" s="13">
        <v>230122.82</v>
      </c>
    </row>
    <row r="80" spans="1:12" ht="18" customHeight="1" x14ac:dyDescent="0.3">
      <c r="A80" s="9">
        <v>79</v>
      </c>
      <c r="B80" s="19">
        <v>44376.484733796293</v>
      </c>
      <c r="C80" s="11" t="s">
        <v>90</v>
      </c>
      <c r="D80" s="12">
        <v>230122.82</v>
      </c>
      <c r="E80" s="12">
        <v>0</v>
      </c>
      <c r="F80" s="11">
        <v>0</v>
      </c>
      <c r="G80" s="11">
        <v>195.75</v>
      </c>
      <c r="H80" s="12">
        <v>166349.26999999999</v>
      </c>
      <c r="I80" s="12">
        <v>58222.26</v>
      </c>
      <c r="J80" s="12">
        <v>2246</v>
      </c>
      <c r="K80" s="12">
        <v>226817.53</v>
      </c>
      <c r="L80" s="13">
        <v>3305.29</v>
      </c>
    </row>
    <row r="81" spans="1:12" ht="18" customHeight="1" x14ac:dyDescent="0.3">
      <c r="A81" s="9">
        <v>80</v>
      </c>
      <c r="B81" s="19">
        <v>44378.364861111113</v>
      </c>
      <c r="C81" s="11" t="s">
        <v>91</v>
      </c>
      <c r="D81" s="12">
        <v>3305.29</v>
      </c>
      <c r="E81" s="12">
        <v>200000</v>
      </c>
      <c r="F81" s="11">
        <v>0</v>
      </c>
      <c r="G81" s="11">
        <v>0</v>
      </c>
      <c r="H81" s="12">
        <v>0</v>
      </c>
      <c r="I81" s="12">
        <v>0</v>
      </c>
      <c r="J81" s="12">
        <v>0</v>
      </c>
      <c r="K81" s="12">
        <v>0</v>
      </c>
      <c r="L81" s="13">
        <v>203305.29</v>
      </c>
    </row>
    <row r="82" spans="1:12" ht="18" customHeight="1" x14ac:dyDescent="0.3">
      <c r="A82" s="9">
        <v>81</v>
      </c>
      <c r="B82" s="19">
        <v>44378.419548611113</v>
      </c>
      <c r="C82" s="11" t="s">
        <v>92</v>
      </c>
      <c r="D82" s="12">
        <v>203305.29</v>
      </c>
      <c r="E82" s="12">
        <v>0</v>
      </c>
      <c r="F82" s="11">
        <v>0</v>
      </c>
      <c r="G82" s="11">
        <v>151.19999999999999</v>
      </c>
      <c r="H82" s="12">
        <v>127936.55</v>
      </c>
      <c r="I82" s="12">
        <v>44777.79</v>
      </c>
      <c r="J82" s="12">
        <v>1727.14</v>
      </c>
      <c r="K82" s="12">
        <v>174441.49</v>
      </c>
      <c r="L82" s="13">
        <v>28863.8</v>
      </c>
    </row>
    <row r="83" spans="1:12" ht="18" customHeight="1" x14ac:dyDescent="0.3">
      <c r="A83" s="9">
        <v>82</v>
      </c>
      <c r="B83" s="19">
        <v>44378.419872685183</v>
      </c>
      <c r="C83" s="11" t="s">
        <v>93</v>
      </c>
      <c r="D83" s="12">
        <v>28863.8</v>
      </c>
      <c r="E83" s="12">
        <v>0</v>
      </c>
      <c r="F83" s="11">
        <v>138</v>
      </c>
      <c r="G83" s="11">
        <v>0</v>
      </c>
      <c r="H83" s="12">
        <v>20634.900000000001</v>
      </c>
      <c r="I83" s="12">
        <v>7222.22</v>
      </c>
      <c r="J83" s="12">
        <v>278.57</v>
      </c>
      <c r="K83" s="12">
        <v>28135.69</v>
      </c>
      <c r="L83" s="13">
        <v>728.11</v>
      </c>
    </row>
    <row r="84" spans="1:12" ht="18" customHeight="1" x14ac:dyDescent="0.3">
      <c r="A84" s="9">
        <v>83</v>
      </c>
      <c r="B84" s="19">
        <v>44382.371122685188</v>
      </c>
      <c r="C84" s="11" t="s">
        <v>94</v>
      </c>
      <c r="D84" s="12">
        <v>728.11</v>
      </c>
      <c r="E84" s="12">
        <v>25000</v>
      </c>
      <c r="F84" s="11">
        <v>0</v>
      </c>
      <c r="G84" s="11">
        <v>0</v>
      </c>
      <c r="H84" s="12">
        <v>0</v>
      </c>
      <c r="I84" s="12">
        <v>0</v>
      </c>
      <c r="J84" s="12">
        <v>0</v>
      </c>
      <c r="K84" s="12">
        <v>0</v>
      </c>
      <c r="L84" s="13">
        <v>25728.11</v>
      </c>
    </row>
    <row r="85" spans="1:12" ht="18" customHeight="1" x14ac:dyDescent="0.3">
      <c r="A85" s="9">
        <v>84</v>
      </c>
      <c r="B85" s="19">
        <v>44382.423310185186</v>
      </c>
      <c r="C85" s="11" t="s">
        <v>95</v>
      </c>
      <c r="D85" s="12">
        <v>25728.11</v>
      </c>
      <c r="E85" s="12">
        <v>0</v>
      </c>
      <c r="F85" s="11">
        <v>126</v>
      </c>
      <c r="G85" s="11">
        <v>0</v>
      </c>
      <c r="H85" s="12">
        <v>18730.14</v>
      </c>
      <c r="I85" s="12">
        <v>6555.55</v>
      </c>
      <c r="J85" s="12">
        <v>252.86</v>
      </c>
      <c r="K85" s="12">
        <v>25538.55</v>
      </c>
      <c r="L85" s="13">
        <v>189.56</v>
      </c>
    </row>
    <row r="86" spans="1:12" ht="18" customHeight="1" x14ac:dyDescent="0.3">
      <c r="A86" s="9">
        <v>85</v>
      </c>
      <c r="B86" s="19">
        <v>44384.031875000001</v>
      </c>
      <c r="C86" s="11" t="s">
        <v>96</v>
      </c>
      <c r="D86" s="12">
        <v>189.56</v>
      </c>
      <c r="E86" s="12">
        <v>140000</v>
      </c>
      <c r="F86" s="11">
        <v>0</v>
      </c>
      <c r="G86" s="11">
        <v>0</v>
      </c>
      <c r="H86" s="12">
        <v>0</v>
      </c>
      <c r="I86" s="12">
        <v>0</v>
      </c>
      <c r="J86" s="12">
        <v>0</v>
      </c>
      <c r="K86" s="12">
        <v>0</v>
      </c>
      <c r="L86" s="13">
        <v>140189.56</v>
      </c>
    </row>
    <row r="87" spans="1:12" ht="18" customHeight="1" x14ac:dyDescent="0.3">
      <c r="A87" s="9">
        <v>86</v>
      </c>
      <c r="B87" s="19">
        <v>44384.375486111108</v>
      </c>
      <c r="C87" s="11" t="s">
        <v>97</v>
      </c>
      <c r="D87" s="12">
        <v>140189.56</v>
      </c>
      <c r="E87" s="12">
        <v>160000</v>
      </c>
      <c r="F87" s="11">
        <v>0</v>
      </c>
      <c r="G87" s="11">
        <v>0</v>
      </c>
      <c r="H87" s="12">
        <v>0</v>
      </c>
      <c r="I87" s="12">
        <v>0</v>
      </c>
      <c r="J87" s="12">
        <v>0</v>
      </c>
      <c r="K87" s="12">
        <v>0</v>
      </c>
      <c r="L87" s="13">
        <v>300189.56</v>
      </c>
    </row>
    <row r="88" spans="1:12" ht="18" customHeight="1" x14ac:dyDescent="0.3">
      <c r="A88" s="9">
        <v>87</v>
      </c>
      <c r="B88" s="19">
        <v>44384.425312500003</v>
      </c>
      <c r="C88" s="11" t="s">
        <v>98</v>
      </c>
      <c r="D88" s="12">
        <v>300189.56</v>
      </c>
      <c r="E88" s="12">
        <v>0</v>
      </c>
      <c r="F88" s="11">
        <v>149.4</v>
      </c>
      <c r="G88" s="11">
        <v>0</v>
      </c>
      <c r="H88" s="12">
        <v>22460.32</v>
      </c>
      <c r="I88" s="12">
        <v>7861.11</v>
      </c>
      <c r="J88" s="12">
        <v>303.20999999999998</v>
      </c>
      <c r="K88" s="12">
        <v>30624.65</v>
      </c>
      <c r="L88" s="13">
        <v>269564.90999999997</v>
      </c>
    </row>
    <row r="89" spans="1:12" ht="18" customHeight="1" x14ac:dyDescent="0.3">
      <c r="A89" s="9">
        <v>88</v>
      </c>
      <c r="B89" s="19">
        <v>44384.442106481481</v>
      </c>
      <c r="C89" s="11" t="s">
        <v>99</v>
      </c>
      <c r="D89" s="12">
        <v>269564.90999999997</v>
      </c>
      <c r="E89" s="12">
        <v>0</v>
      </c>
      <c r="F89" s="11">
        <v>0</v>
      </c>
      <c r="G89" s="11">
        <v>238.55</v>
      </c>
      <c r="H89" s="12">
        <v>197063.53</v>
      </c>
      <c r="I89" s="12">
        <v>68972.289999999994</v>
      </c>
      <c r="J89" s="12">
        <v>2660</v>
      </c>
      <c r="K89" s="12">
        <v>268695.81</v>
      </c>
      <c r="L89" s="13">
        <v>869.1</v>
      </c>
    </row>
    <row r="90" spans="1:12" ht="18" customHeight="1" x14ac:dyDescent="0.3">
      <c r="A90" s="9">
        <v>89</v>
      </c>
      <c r="B90" s="19">
        <v>44386.343865740739</v>
      </c>
      <c r="C90" s="11" t="s">
        <v>100</v>
      </c>
      <c r="D90" s="12">
        <v>869.1</v>
      </c>
      <c r="E90" s="12">
        <v>199000</v>
      </c>
      <c r="F90" s="11">
        <v>0</v>
      </c>
      <c r="G90" s="11">
        <v>0</v>
      </c>
      <c r="H90" s="12">
        <v>0</v>
      </c>
      <c r="I90" s="12">
        <v>0</v>
      </c>
      <c r="J90" s="12">
        <v>0</v>
      </c>
      <c r="K90" s="12">
        <v>0</v>
      </c>
      <c r="L90" s="13">
        <v>199869.1</v>
      </c>
    </row>
    <row r="91" spans="1:12" ht="18" customHeight="1" x14ac:dyDescent="0.3">
      <c r="A91" s="9">
        <v>90</v>
      </c>
      <c r="B91" s="19">
        <v>44386.409212962964</v>
      </c>
      <c r="C91" s="11" t="s">
        <v>101</v>
      </c>
      <c r="D91" s="12">
        <v>199869.1</v>
      </c>
      <c r="E91" s="12">
        <v>0</v>
      </c>
      <c r="F91" s="11">
        <v>161.4</v>
      </c>
      <c r="G91" s="11">
        <v>0</v>
      </c>
      <c r="H91" s="12">
        <v>25952.37</v>
      </c>
      <c r="I91" s="12">
        <v>9083.33</v>
      </c>
      <c r="J91" s="12">
        <v>350.36</v>
      </c>
      <c r="K91" s="12">
        <v>35386.06</v>
      </c>
      <c r="L91" s="13">
        <v>164483.04</v>
      </c>
    </row>
    <row r="92" spans="1:12" ht="18" customHeight="1" x14ac:dyDescent="0.3">
      <c r="A92" s="9">
        <v>91</v>
      </c>
      <c r="B92" s="19">
        <v>44386.409756944442</v>
      </c>
      <c r="C92" s="11" t="s">
        <v>102</v>
      </c>
      <c r="D92" s="12">
        <v>164483.04</v>
      </c>
      <c r="E92" s="12">
        <v>0</v>
      </c>
      <c r="F92" s="11">
        <v>0</v>
      </c>
      <c r="G92" s="11">
        <v>137.69999999999999</v>
      </c>
      <c r="H92" s="12">
        <v>119920.65</v>
      </c>
      <c r="I92" s="12">
        <v>41972.23</v>
      </c>
      <c r="J92" s="12">
        <v>1618.93</v>
      </c>
      <c r="K92" s="12">
        <v>163511.81</v>
      </c>
      <c r="L92" s="13">
        <v>971.23</v>
      </c>
    </row>
    <row r="93" spans="1:12" ht="18" customHeight="1" x14ac:dyDescent="0.3">
      <c r="A93" s="9">
        <v>92</v>
      </c>
      <c r="B93" s="19">
        <v>44391.334826388891</v>
      </c>
      <c r="C93" s="11" t="s">
        <v>103</v>
      </c>
      <c r="D93" s="12">
        <v>971.23</v>
      </c>
      <c r="E93" s="12">
        <v>332000</v>
      </c>
      <c r="F93" s="11">
        <v>0</v>
      </c>
      <c r="G93" s="11">
        <v>0</v>
      </c>
      <c r="H93" s="12">
        <v>0</v>
      </c>
      <c r="I93" s="12">
        <v>0</v>
      </c>
      <c r="J93" s="12">
        <v>0</v>
      </c>
      <c r="K93" s="12">
        <v>0</v>
      </c>
      <c r="L93" s="13">
        <v>332971.23</v>
      </c>
    </row>
    <row r="94" spans="1:12" ht="18" customHeight="1" x14ac:dyDescent="0.3">
      <c r="A94" s="9">
        <v>93</v>
      </c>
      <c r="B94" s="19">
        <v>44391.362870370373</v>
      </c>
      <c r="C94" s="11" t="s">
        <v>104</v>
      </c>
      <c r="D94" s="12">
        <v>332971.23</v>
      </c>
      <c r="E94" s="12">
        <v>200000</v>
      </c>
      <c r="F94" s="11">
        <v>0</v>
      </c>
      <c r="G94" s="11">
        <v>0</v>
      </c>
      <c r="H94" s="12">
        <v>0</v>
      </c>
      <c r="I94" s="12">
        <v>0</v>
      </c>
      <c r="J94" s="12">
        <v>0</v>
      </c>
      <c r="K94" s="12">
        <v>0</v>
      </c>
      <c r="L94" s="13">
        <v>532971.23</v>
      </c>
    </row>
    <row r="95" spans="1:12" ht="18" customHeight="1" x14ac:dyDescent="0.3">
      <c r="A95" s="9">
        <v>94</v>
      </c>
      <c r="B95" s="19">
        <v>44391.523923611108</v>
      </c>
      <c r="C95" s="11" t="s">
        <v>105</v>
      </c>
      <c r="D95" s="12">
        <v>532971.23</v>
      </c>
      <c r="E95" s="12">
        <v>0</v>
      </c>
      <c r="F95" s="11">
        <v>0</v>
      </c>
      <c r="G95" s="11">
        <v>373.14</v>
      </c>
      <c r="H95" s="12">
        <v>311349.24</v>
      </c>
      <c r="I95" s="12">
        <v>108972.32</v>
      </c>
      <c r="J95" s="12">
        <v>4203</v>
      </c>
      <c r="K95" s="12">
        <v>424524.56</v>
      </c>
      <c r="L95" s="13">
        <v>108446.67</v>
      </c>
    </row>
    <row r="96" spans="1:12" ht="18" customHeight="1" x14ac:dyDescent="0.3">
      <c r="A96" s="9">
        <v>95</v>
      </c>
      <c r="B96" s="19">
        <v>44391.524594907409</v>
      </c>
      <c r="C96" s="11" t="s">
        <v>106</v>
      </c>
      <c r="D96" s="12">
        <v>108446.67</v>
      </c>
      <c r="E96" s="12">
        <v>0</v>
      </c>
      <c r="F96" s="11">
        <v>506.4</v>
      </c>
      <c r="G96" s="11">
        <v>0</v>
      </c>
      <c r="H96" s="12">
        <v>78809.56</v>
      </c>
      <c r="I96" s="12">
        <v>27583.45</v>
      </c>
      <c r="J96" s="12">
        <v>1064</v>
      </c>
      <c r="K96" s="12">
        <v>107457.01</v>
      </c>
      <c r="L96" s="13">
        <v>989.66</v>
      </c>
    </row>
    <row r="97" spans="1:12" ht="18" customHeight="1" x14ac:dyDescent="0.3">
      <c r="A97" s="9">
        <v>96</v>
      </c>
      <c r="B97" s="19">
        <v>44393.415914351855</v>
      </c>
      <c r="C97" s="11" t="s">
        <v>107</v>
      </c>
      <c r="D97" s="12">
        <v>989.66</v>
      </c>
      <c r="E97" s="12">
        <v>149000</v>
      </c>
      <c r="F97" s="11">
        <v>0</v>
      </c>
      <c r="G97" s="11">
        <v>0</v>
      </c>
      <c r="H97" s="12">
        <v>0</v>
      </c>
      <c r="I97" s="12">
        <v>0</v>
      </c>
      <c r="J97" s="12">
        <v>0</v>
      </c>
      <c r="K97" s="12">
        <v>0</v>
      </c>
      <c r="L97" s="13">
        <v>149989.66</v>
      </c>
    </row>
    <row r="98" spans="1:12" ht="18" customHeight="1" x14ac:dyDescent="0.3">
      <c r="A98" s="9">
        <v>97</v>
      </c>
      <c r="B98" s="19">
        <v>44393.431481481479</v>
      </c>
      <c r="C98" s="11" t="s">
        <v>108</v>
      </c>
      <c r="D98" s="12">
        <v>149989.66</v>
      </c>
      <c r="E98" s="12">
        <v>0</v>
      </c>
      <c r="F98" s="11">
        <v>60</v>
      </c>
      <c r="G98" s="11">
        <v>0</v>
      </c>
      <c r="H98" s="12">
        <v>9523.7999999999993</v>
      </c>
      <c r="I98" s="12">
        <v>3333.33</v>
      </c>
      <c r="J98" s="12">
        <v>128.57</v>
      </c>
      <c r="K98" s="12">
        <v>12985.7</v>
      </c>
      <c r="L98" s="13">
        <v>137003.96</v>
      </c>
    </row>
    <row r="99" spans="1:12" ht="18" customHeight="1" x14ac:dyDescent="0.3">
      <c r="A99" s="9">
        <v>98</v>
      </c>
      <c r="B99" s="19">
        <v>44393.449421296296</v>
      </c>
      <c r="C99" s="11" t="s">
        <v>109</v>
      </c>
      <c r="D99" s="12">
        <v>137003.96</v>
      </c>
      <c r="E99" s="12">
        <v>0</v>
      </c>
      <c r="F99" s="11">
        <v>0</v>
      </c>
      <c r="G99" s="11">
        <v>123.66</v>
      </c>
      <c r="H99" s="12">
        <v>100396.84</v>
      </c>
      <c r="I99" s="12">
        <v>35138.89</v>
      </c>
      <c r="J99" s="12">
        <v>1355.36</v>
      </c>
      <c r="K99" s="12">
        <v>136891.09</v>
      </c>
      <c r="L99" s="13">
        <v>112.87</v>
      </c>
    </row>
    <row r="100" spans="1:12" ht="18" customHeight="1" x14ac:dyDescent="0.3">
      <c r="A100" s="9">
        <v>99</v>
      </c>
      <c r="B100" s="19">
        <v>44397.38994212963</v>
      </c>
      <c r="C100" s="11" t="s">
        <v>110</v>
      </c>
      <c r="D100" s="12">
        <v>112.87</v>
      </c>
      <c r="E100" s="12">
        <v>150000</v>
      </c>
      <c r="F100" s="11">
        <v>0</v>
      </c>
      <c r="G100" s="11">
        <v>0</v>
      </c>
      <c r="H100" s="12">
        <v>0</v>
      </c>
      <c r="I100" s="12">
        <v>0</v>
      </c>
      <c r="J100" s="12">
        <v>0</v>
      </c>
      <c r="K100" s="12">
        <v>0</v>
      </c>
      <c r="L100" s="13">
        <v>150112.87</v>
      </c>
    </row>
    <row r="101" spans="1:12" ht="18" customHeight="1" x14ac:dyDescent="0.3">
      <c r="A101" s="9">
        <v>100</v>
      </c>
      <c r="B101" s="19">
        <v>44397.448784722219</v>
      </c>
      <c r="C101" s="11" t="s">
        <v>111</v>
      </c>
      <c r="D101" s="12">
        <v>150112.87</v>
      </c>
      <c r="E101" s="12">
        <v>0</v>
      </c>
      <c r="F101" s="11">
        <v>0</v>
      </c>
      <c r="G101" s="11">
        <v>117.72</v>
      </c>
      <c r="H101" s="12">
        <v>93888.9</v>
      </c>
      <c r="I101" s="12">
        <v>32861.120000000003</v>
      </c>
      <c r="J101" s="12">
        <v>1267.5</v>
      </c>
      <c r="K101" s="12">
        <v>128017.52</v>
      </c>
      <c r="L101" s="13">
        <v>22095.35</v>
      </c>
    </row>
    <row r="102" spans="1:12" ht="18" customHeight="1" x14ac:dyDescent="0.3">
      <c r="A102" s="9">
        <v>101</v>
      </c>
      <c r="B102" s="19">
        <v>44397.449282407404</v>
      </c>
      <c r="C102" s="11" t="s">
        <v>112</v>
      </c>
      <c r="D102" s="12">
        <v>22095.35</v>
      </c>
      <c r="E102" s="12">
        <v>0</v>
      </c>
      <c r="F102" s="11">
        <v>106.2</v>
      </c>
      <c r="G102" s="11">
        <v>0</v>
      </c>
      <c r="H102" s="12">
        <v>15714.27</v>
      </c>
      <c r="I102" s="12">
        <v>5499.99</v>
      </c>
      <c r="J102" s="12">
        <v>212.14</v>
      </c>
      <c r="K102" s="12">
        <v>21426.41</v>
      </c>
      <c r="L102" s="13">
        <v>668.94</v>
      </c>
    </row>
    <row r="103" spans="1:12" ht="18" customHeight="1" x14ac:dyDescent="0.3">
      <c r="A103" s="9">
        <v>102</v>
      </c>
      <c r="B103" s="19">
        <v>44403.455081018517</v>
      </c>
      <c r="C103" s="11" t="s">
        <v>113</v>
      </c>
      <c r="D103" s="12">
        <v>668.94</v>
      </c>
      <c r="E103" s="12">
        <v>126500</v>
      </c>
      <c r="F103" s="11">
        <v>0</v>
      </c>
      <c r="G103" s="11">
        <v>0</v>
      </c>
      <c r="H103" s="12">
        <v>0</v>
      </c>
      <c r="I103" s="12">
        <v>0</v>
      </c>
      <c r="J103" s="12">
        <v>0</v>
      </c>
      <c r="K103" s="12">
        <v>0</v>
      </c>
      <c r="L103" s="13">
        <v>127168.94</v>
      </c>
    </row>
    <row r="104" spans="1:12" ht="18" customHeight="1" x14ac:dyDescent="0.3">
      <c r="A104" s="9">
        <v>103</v>
      </c>
      <c r="B104" s="19">
        <v>44403.499224537038</v>
      </c>
      <c r="C104" s="11" t="s">
        <v>114</v>
      </c>
      <c r="D104" s="12">
        <v>127168.94</v>
      </c>
      <c r="E104" s="12">
        <v>0</v>
      </c>
      <c r="F104" s="11">
        <v>0</v>
      </c>
      <c r="G104" s="11">
        <v>97.47</v>
      </c>
      <c r="H104" s="12">
        <v>77857.149999999994</v>
      </c>
      <c r="I104" s="12">
        <v>27250</v>
      </c>
      <c r="J104" s="12">
        <v>1051.07</v>
      </c>
      <c r="K104" s="12">
        <v>106158.22</v>
      </c>
      <c r="L104" s="13">
        <v>21010.720000000001</v>
      </c>
    </row>
    <row r="105" spans="1:12" ht="18" customHeight="1" x14ac:dyDescent="0.3">
      <c r="A105" s="9">
        <v>104</v>
      </c>
      <c r="B105" s="19">
        <v>44403.500208333331</v>
      </c>
      <c r="C105" s="11" t="s">
        <v>115</v>
      </c>
      <c r="D105" s="12">
        <v>21010.720000000001</v>
      </c>
      <c r="E105" s="12">
        <v>0</v>
      </c>
      <c r="F105" s="11">
        <v>98.4</v>
      </c>
      <c r="G105" s="11">
        <v>0</v>
      </c>
      <c r="H105" s="12">
        <v>14603.16</v>
      </c>
      <c r="I105" s="12">
        <v>5111.1099999999997</v>
      </c>
      <c r="J105" s="12">
        <v>197.14</v>
      </c>
      <c r="K105" s="12">
        <v>19911.41</v>
      </c>
      <c r="L105" s="13">
        <v>1099.31</v>
      </c>
    </row>
    <row r="106" spans="1:12" ht="18" customHeight="1" x14ac:dyDescent="0.3">
      <c r="A106" s="9">
        <v>105</v>
      </c>
      <c r="B106" s="19">
        <v>44405.390648148146</v>
      </c>
      <c r="C106" s="11" t="s">
        <v>116</v>
      </c>
      <c r="D106" s="12">
        <v>1099.31</v>
      </c>
      <c r="E106" s="12">
        <v>62000</v>
      </c>
      <c r="F106" s="11">
        <v>0</v>
      </c>
      <c r="G106" s="11">
        <v>0</v>
      </c>
      <c r="H106" s="12">
        <v>0</v>
      </c>
      <c r="I106" s="12">
        <v>0</v>
      </c>
      <c r="J106" s="12">
        <v>0</v>
      </c>
      <c r="K106" s="12">
        <v>0</v>
      </c>
      <c r="L106" s="13">
        <v>63099.31</v>
      </c>
    </row>
    <row r="107" spans="1:12" ht="18" customHeight="1" x14ac:dyDescent="0.3">
      <c r="A107" s="9">
        <v>106</v>
      </c>
      <c r="B107" s="19">
        <v>44405.41883101852</v>
      </c>
      <c r="C107" s="11" t="s">
        <v>117</v>
      </c>
      <c r="D107" s="12">
        <v>63099.31</v>
      </c>
      <c r="E107" s="12">
        <v>70000</v>
      </c>
      <c r="F107" s="11">
        <v>0</v>
      </c>
      <c r="G107" s="11">
        <v>0</v>
      </c>
      <c r="H107" s="12">
        <v>0</v>
      </c>
      <c r="I107" s="12">
        <v>0</v>
      </c>
      <c r="J107" s="12">
        <v>0</v>
      </c>
      <c r="K107" s="12">
        <v>0</v>
      </c>
      <c r="L107" s="13">
        <v>133099.31</v>
      </c>
    </row>
    <row r="108" spans="1:12" ht="18" customHeight="1" x14ac:dyDescent="0.3">
      <c r="A108" s="9">
        <v>107</v>
      </c>
      <c r="B108" s="19">
        <v>44405.426249999997</v>
      </c>
      <c r="C108" s="11" t="s">
        <v>118</v>
      </c>
      <c r="D108" s="12">
        <v>133099.31</v>
      </c>
      <c r="E108" s="12">
        <v>1000</v>
      </c>
      <c r="F108" s="11">
        <v>0</v>
      </c>
      <c r="G108" s="11">
        <v>0</v>
      </c>
      <c r="H108" s="12">
        <v>0</v>
      </c>
      <c r="I108" s="12">
        <v>0</v>
      </c>
      <c r="J108" s="12">
        <v>0</v>
      </c>
      <c r="K108" s="12">
        <v>0</v>
      </c>
      <c r="L108" s="13">
        <v>134099.31</v>
      </c>
    </row>
    <row r="109" spans="1:12" ht="18" customHeight="1" x14ac:dyDescent="0.3">
      <c r="A109" s="9">
        <v>108</v>
      </c>
      <c r="B109" s="19">
        <v>44405.479027777779</v>
      </c>
      <c r="C109" s="11" t="s">
        <v>119</v>
      </c>
      <c r="D109" s="12">
        <v>134099.31</v>
      </c>
      <c r="E109" s="12">
        <v>0</v>
      </c>
      <c r="F109" s="11">
        <v>48</v>
      </c>
      <c r="G109" s="11">
        <v>0</v>
      </c>
      <c r="H109" s="12">
        <v>7619.04</v>
      </c>
      <c r="I109" s="12">
        <v>2666.66</v>
      </c>
      <c r="J109" s="12">
        <v>102.86</v>
      </c>
      <c r="K109" s="12">
        <v>10388.56</v>
      </c>
      <c r="L109" s="13">
        <v>123710.75</v>
      </c>
    </row>
    <row r="110" spans="1:12" ht="18" customHeight="1" x14ac:dyDescent="0.3">
      <c r="A110" s="9">
        <v>109</v>
      </c>
      <c r="B110" s="19">
        <v>44405.487812500003</v>
      </c>
      <c r="C110" s="11" t="s">
        <v>120</v>
      </c>
      <c r="D110" s="12">
        <v>123710.75</v>
      </c>
      <c r="E110" s="12">
        <v>0</v>
      </c>
      <c r="F110" s="11">
        <v>0</v>
      </c>
      <c r="G110" s="11">
        <v>110.43</v>
      </c>
      <c r="H110" s="12">
        <v>90158.75</v>
      </c>
      <c r="I110" s="12">
        <v>31555.56</v>
      </c>
      <c r="J110" s="12">
        <v>1217.1400000000001</v>
      </c>
      <c r="K110" s="12">
        <v>122931.46</v>
      </c>
      <c r="L110" s="13">
        <v>779.29</v>
      </c>
    </row>
    <row r="111" spans="1:12" ht="18" customHeight="1" x14ac:dyDescent="0.3">
      <c r="A111" s="9">
        <v>110</v>
      </c>
      <c r="B111" s="19">
        <v>44407.427465277775</v>
      </c>
      <c r="C111" s="11" t="s">
        <v>121</v>
      </c>
      <c r="D111" s="12">
        <v>779.29</v>
      </c>
      <c r="E111" s="12">
        <v>100500</v>
      </c>
      <c r="F111" s="11">
        <v>0</v>
      </c>
      <c r="G111" s="11">
        <v>0</v>
      </c>
      <c r="H111" s="12">
        <v>0</v>
      </c>
      <c r="I111" s="12">
        <v>0</v>
      </c>
      <c r="J111" s="12">
        <v>0</v>
      </c>
      <c r="K111" s="12">
        <v>0</v>
      </c>
      <c r="L111" s="13">
        <v>101279.29</v>
      </c>
    </row>
    <row r="112" spans="1:12" ht="18" customHeight="1" x14ac:dyDescent="0.3">
      <c r="A112" s="9">
        <v>111</v>
      </c>
      <c r="B112" s="19">
        <v>44407.458726851852</v>
      </c>
      <c r="C112" s="11" t="s">
        <v>122</v>
      </c>
      <c r="D112" s="12">
        <v>101279.29</v>
      </c>
      <c r="E112" s="12">
        <v>0</v>
      </c>
      <c r="F112" s="11">
        <v>0</v>
      </c>
      <c r="G112" s="11">
        <v>84.51</v>
      </c>
      <c r="H112" s="12">
        <v>70952.39</v>
      </c>
      <c r="I112" s="12">
        <v>24833.34</v>
      </c>
      <c r="J112" s="12">
        <v>957.86</v>
      </c>
      <c r="K112" s="12">
        <v>96743.58</v>
      </c>
      <c r="L112" s="13">
        <v>4535.71</v>
      </c>
    </row>
    <row r="113" spans="1:12" ht="18" customHeight="1" x14ac:dyDescent="0.3">
      <c r="A113" s="9">
        <v>112</v>
      </c>
      <c r="B113" s="19">
        <v>44411.364259259259</v>
      </c>
      <c r="C113" s="11" t="s">
        <v>123</v>
      </c>
      <c r="D113" s="12">
        <v>4535.71</v>
      </c>
      <c r="E113" s="12">
        <v>107500</v>
      </c>
      <c r="F113" s="11">
        <v>0</v>
      </c>
      <c r="G113" s="11">
        <v>0</v>
      </c>
      <c r="H113" s="12">
        <v>0</v>
      </c>
      <c r="I113" s="12">
        <v>0</v>
      </c>
      <c r="J113" s="12">
        <v>0</v>
      </c>
      <c r="K113" s="12">
        <v>0</v>
      </c>
      <c r="L113" s="13">
        <v>112035.71</v>
      </c>
    </row>
    <row r="114" spans="1:12" ht="18" customHeight="1" x14ac:dyDescent="0.3">
      <c r="A114" s="9">
        <v>113</v>
      </c>
      <c r="B114" s="19">
        <v>44411.368171296293</v>
      </c>
      <c r="C114" s="11" t="s">
        <v>124</v>
      </c>
      <c r="D114" s="12">
        <v>112035.71</v>
      </c>
      <c r="E114" s="12">
        <v>25000</v>
      </c>
      <c r="F114" s="11">
        <v>0</v>
      </c>
      <c r="G114" s="11">
        <v>0</v>
      </c>
      <c r="H114" s="12">
        <v>0</v>
      </c>
      <c r="I114" s="12">
        <v>0</v>
      </c>
      <c r="J114" s="12">
        <v>0</v>
      </c>
      <c r="K114" s="12">
        <v>0</v>
      </c>
      <c r="L114" s="13">
        <v>137035.71</v>
      </c>
    </row>
    <row r="115" spans="1:12" ht="18" customHeight="1" x14ac:dyDescent="0.3">
      <c r="A115" s="9">
        <v>114</v>
      </c>
      <c r="B115" s="19">
        <v>44411.445243055554</v>
      </c>
      <c r="C115" s="11" t="s">
        <v>125</v>
      </c>
      <c r="D115" s="12">
        <v>137035.71</v>
      </c>
      <c r="E115" s="12">
        <v>0</v>
      </c>
      <c r="F115" s="11">
        <v>165.6</v>
      </c>
      <c r="G115" s="11">
        <v>0</v>
      </c>
      <c r="H115" s="12">
        <v>26111.1</v>
      </c>
      <c r="I115" s="12">
        <v>9138.89</v>
      </c>
      <c r="J115" s="12">
        <v>352.5</v>
      </c>
      <c r="K115" s="12">
        <v>35602.480000000003</v>
      </c>
      <c r="L115" s="13">
        <v>101433.23</v>
      </c>
    </row>
    <row r="116" spans="1:12" ht="18" customHeight="1" x14ac:dyDescent="0.3">
      <c r="A116" s="9">
        <v>115</v>
      </c>
      <c r="B116" s="19">
        <v>44411.445891203701</v>
      </c>
      <c r="C116" s="11" t="s">
        <v>126</v>
      </c>
      <c r="D116" s="12">
        <v>101433.23</v>
      </c>
      <c r="E116" s="12">
        <v>0</v>
      </c>
      <c r="F116" s="11">
        <v>0</v>
      </c>
      <c r="G116" s="11">
        <v>92.07</v>
      </c>
      <c r="H116" s="12">
        <v>73809.53</v>
      </c>
      <c r="I116" s="12">
        <v>25833.34</v>
      </c>
      <c r="J116" s="12">
        <v>996.43</v>
      </c>
      <c r="K116" s="12">
        <v>100639.29</v>
      </c>
      <c r="L116" s="13">
        <v>793.94</v>
      </c>
    </row>
    <row r="117" spans="1:12" ht="18" customHeight="1" x14ac:dyDescent="0.3">
      <c r="A117" s="9">
        <v>116</v>
      </c>
      <c r="B117" s="19">
        <v>44415.333587962959</v>
      </c>
      <c r="C117" s="11" t="s">
        <v>127</v>
      </c>
      <c r="D117" s="12">
        <v>793.94</v>
      </c>
      <c r="E117" s="12">
        <v>152000</v>
      </c>
      <c r="F117" s="11">
        <v>0</v>
      </c>
      <c r="G117" s="11">
        <v>0</v>
      </c>
      <c r="H117" s="12">
        <v>0</v>
      </c>
      <c r="I117" s="12">
        <v>0</v>
      </c>
      <c r="J117" s="12">
        <v>0</v>
      </c>
      <c r="K117" s="12">
        <v>0</v>
      </c>
      <c r="L117" s="13">
        <v>152793.94</v>
      </c>
    </row>
    <row r="118" spans="1:12" ht="18" customHeight="1" x14ac:dyDescent="0.3">
      <c r="A118" s="9">
        <v>117</v>
      </c>
      <c r="B118" s="19">
        <v>44415.371516203704</v>
      </c>
      <c r="C118" s="11" t="s">
        <v>128</v>
      </c>
      <c r="D118" s="12">
        <v>152793.94</v>
      </c>
      <c r="E118" s="12">
        <v>25000</v>
      </c>
      <c r="F118" s="11">
        <v>0</v>
      </c>
      <c r="G118" s="11">
        <v>0</v>
      </c>
      <c r="H118" s="12">
        <v>0</v>
      </c>
      <c r="I118" s="12">
        <v>0</v>
      </c>
      <c r="J118" s="12">
        <v>0</v>
      </c>
      <c r="K118" s="12">
        <v>0</v>
      </c>
      <c r="L118" s="13">
        <v>177793.94</v>
      </c>
    </row>
    <row r="119" spans="1:12" ht="18" customHeight="1" x14ac:dyDescent="0.3">
      <c r="A119" s="9">
        <v>118</v>
      </c>
      <c r="B119" s="19">
        <v>44415.408159722225</v>
      </c>
      <c r="C119" s="11" t="s">
        <v>129</v>
      </c>
      <c r="D119" s="12">
        <v>177793.94</v>
      </c>
      <c r="E119" s="12">
        <v>0</v>
      </c>
      <c r="F119" s="11">
        <v>82.8</v>
      </c>
      <c r="G119" s="11">
        <v>0</v>
      </c>
      <c r="H119" s="12">
        <v>12380.94</v>
      </c>
      <c r="I119" s="12">
        <v>4333.33</v>
      </c>
      <c r="J119" s="12">
        <v>167.14</v>
      </c>
      <c r="K119" s="12">
        <v>16881.41</v>
      </c>
      <c r="L119" s="13">
        <v>160912.53</v>
      </c>
    </row>
    <row r="120" spans="1:12" ht="18" customHeight="1" x14ac:dyDescent="0.3">
      <c r="A120" s="9">
        <v>119</v>
      </c>
      <c r="B120" s="19">
        <v>44415.412175925929</v>
      </c>
      <c r="C120" s="11" t="s">
        <v>130</v>
      </c>
      <c r="D120" s="12">
        <v>160912.53</v>
      </c>
      <c r="E120" s="12">
        <v>0</v>
      </c>
      <c r="F120" s="11">
        <v>0</v>
      </c>
      <c r="G120" s="11">
        <v>143.91</v>
      </c>
      <c r="H120" s="12">
        <v>117698.42</v>
      </c>
      <c r="I120" s="12">
        <v>41194.449999999997</v>
      </c>
      <c r="J120" s="12">
        <v>1588.93</v>
      </c>
      <c r="K120" s="12">
        <v>160481.79999999999</v>
      </c>
      <c r="L120" s="13">
        <v>430.73</v>
      </c>
    </row>
    <row r="121" spans="1:12" ht="18" customHeight="1" x14ac:dyDescent="0.3">
      <c r="A121" s="9">
        <v>120</v>
      </c>
      <c r="B121" s="19">
        <v>44418.403645833336</v>
      </c>
      <c r="C121" s="11" t="s">
        <v>131</v>
      </c>
      <c r="D121" s="12">
        <v>430.73</v>
      </c>
      <c r="E121" s="12">
        <v>156000</v>
      </c>
      <c r="F121" s="11">
        <v>0</v>
      </c>
      <c r="G121" s="11">
        <v>0</v>
      </c>
      <c r="H121" s="12">
        <v>0</v>
      </c>
      <c r="I121" s="12">
        <v>0</v>
      </c>
      <c r="J121" s="12">
        <v>0</v>
      </c>
      <c r="K121" s="12">
        <v>0</v>
      </c>
      <c r="L121" s="13">
        <v>156430.73000000001</v>
      </c>
    </row>
    <row r="122" spans="1:12" ht="18" customHeight="1" x14ac:dyDescent="0.3">
      <c r="A122" s="9">
        <v>121</v>
      </c>
      <c r="B122" s="19">
        <v>44418.451655092591</v>
      </c>
      <c r="C122" s="11" t="s">
        <v>132</v>
      </c>
      <c r="D122" s="12">
        <v>156430.73000000001</v>
      </c>
      <c r="E122" s="12">
        <v>0</v>
      </c>
      <c r="F122" s="11">
        <v>70.8</v>
      </c>
      <c r="G122" s="11">
        <v>0</v>
      </c>
      <c r="H122" s="12">
        <v>10476.18</v>
      </c>
      <c r="I122" s="12">
        <v>3666.66</v>
      </c>
      <c r="J122" s="12">
        <v>141.43</v>
      </c>
      <c r="K122" s="12">
        <v>14284.27</v>
      </c>
      <c r="L122" s="13">
        <v>142146.46</v>
      </c>
    </row>
    <row r="123" spans="1:12" ht="18" customHeight="1" x14ac:dyDescent="0.3">
      <c r="A123" s="9">
        <v>122</v>
      </c>
      <c r="B123" s="19">
        <v>44418.452291666668</v>
      </c>
      <c r="C123" s="11" t="s">
        <v>133</v>
      </c>
      <c r="D123" s="12">
        <v>142146.46</v>
      </c>
      <c r="E123" s="12">
        <v>0</v>
      </c>
      <c r="F123" s="11">
        <v>0</v>
      </c>
      <c r="G123" s="11">
        <v>123.66</v>
      </c>
      <c r="H123" s="12">
        <v>103650.8</v>
      </c>
      <c r="I123" s="12">
        <v>36277.78</v>
      </c>
      <c r="J123" s="12">
        <v>1399.29</v>
      </c>
      <c r="K123" s="12">
        <v>141327.87</v>
      </c>
      <c r="L123" s="13">
        <v>818.59</v>
      </c>
    </row>
    <row r="124" spans="1:12" ht="18" customHeight="1" x14ac:dyDescent="0.3">
      <c r="A124" s="9">
        <v>123</v>
      </c>
      <c r="B124" s="19">
        <v>44422.364722222221</v>
      </c>
      <c r="C124" s="11" t="s">
        <v>134</v>
      </c>
      <c r="D124" s="12">
        <v>818.59</v>
      </c>
      <c r="E124" s="12">
        <v>147000</v>
      </c>
      <c r="F124" s="11">
        <v>0</v>
      </c>
      <c r="G124" s="11">
        <v>0</v>
      </c>
      <c r="H124" s="12">
        <v>0</v>
      </c>
      <c r="I124" s="12">
        <v>0</v>
      </c>
      <c r="J124" s="12">
        <v>0</v>
      </c>
      <c r="K124" s="12">
        <v>0</v>
      </c>
      <c r="L124" s="13">
        <v>147818.59</v>
      </c>
    </row>
    <row r="125" spans="1:12" ht="18" customHeight="1" x14ac:dyDescent="0.3">
      <c r="A125" s="9">
        <v>124</v>
      </c>
      <c r="B125" s="19">
        <v>44422.427754629629</v>
      </c>
      <c r="C125" s="11" t="s">
        <v>135</v>
      </c>
      <c r="D125" s="12">
        <v>147818.59</v>
      </c>
      <c r="E125" s="12">
        <v>0</v>
      </c>
      <c r="F125" s="11">
        <v>0</v>
      </c>
      <c r="G125" s="11">
        <v>117.45</v>
      </c>
      <c r="H125" s="12">
        <v>94920.639999999999</v>
      </c>
      <c r="I125" s="12">
        <v>33222.22</v>
      </c>
      <c r="J125" s="12">
        <v>1281.43</v>
      </c>
      <c r="K125" s="12">
        <v>129424.29</v>
      </c>
      <c r="L125" s="13">
        <v>18394.3</v>
      </c>
    </row>
    <row r="126" spans="1:12" ht="18" customHeight="1" x14ac:dyDescent="0.3">
      <c r="A126" s="9">
        <v>125</v>
      </c>
      <c r="B126" s="19">
        <v>44422.428148148145</v>
      </c>
      <c r="C126" s="11" t="s">
        <v>136</v>
      </c>
      <c r="D126" s="12">
        <v>18394.3</v>
      </c>
      <c r="E126" s="12">
        <v>0</v>
      </c>
      <c r="F126" s="11">
        <v>82.8</v>
      </c>
      <c r="G126" s="11">
        <v>0</v>
      </c>
      <c r="H126" s="12">
        <v>12936.5</v>
      </c>
      <c r="I126" s="12">
        <v>4527.78</v>
      </c>
      <c r="J126" s="12">
        <v>174.64</v>
      </c>
      <c r="K126" s="12">
        <v>17638.919999999998</v>
      </c>
      <c r="L126" s="13">
        <v>755.38</v>
      </c>
    </row>
    <row r="127" spans="1:12" ht="18" customHeight="1" x14ac:dyDescent="0.3">
      <c r="A127" s="9">
        <v>126</v>
      </c>
      <c r="B127" s="19">
        <v>44425.401435185187</v>
      </c>
      <c r="C127" s="11" t="s">
        <v>137</v>
      </c>
      <c r="D127" s="12">
        <v>755.38</v>
      </c>
      <c r="E127" s="12">
        <v>25000</v>
      </c>
      <c r="F127" s="11">
        <v>0</v>
      </c>
      <c r="G127" s="11">
        <v>0</v>
      </c>
      <c r="H127" s="12">
        <v>0</v>
      </c>
      <c r="I127" s="12">
        <v>0</v>
      </c>
      <c r="J127" s="12">
        <v>0</v>
      </c>
      <c r="K127" s="12">
        <v>0</v>
      </c>
      <c r="L127" s="13">
        <v>25755.38</v>
      </c>
    </row>
    <row r="128" spans="1:12" ht="18" customHeight="1" x14ac:dyDescent="0.3">
      <c r="A128" s="9">
        <v>127</v>
      </c>
      <c r="B128" s="19">
        <v>44425.405729166669</v>
      </c>
      <c r="C128" s="11" t="s">
        <v>138</v>
      </c>
      <c r="D128" s="12">
        <v>25755.38</v>
      </c>
      <c r="E128" s="12">
        <v>115500</v>
      </c>
      <c r="F128" s="11">
        <v>0</v>
      </c>
      <c r="G128" s="11">
        <v>0</v>
      </c>
      <c r="H128" s="12">
        <v>0</v>
      </c>
      <c r="I128" s="12">
        <v>0</v>
      </c>
      <c r="J128" s="12">
        <v>0</v>
      </c>
      <c r="K128" s="12">
        <v>0</v>
      </c>
      <c r="L128" s="13">
        <v>141255.38</v>
      </c>
    </row>
    <row r="129" spans="1:12" ht="18" customHeight="1" x14ac:dyDescent="0.3">
      <c r="A129" s="9">
        <v>128</v>
      </c>
      <c r="B129" s="19">
        <v>44425.442488425928</v>
      </c>
      <c r="C129" s="11" t="s">
        <v>139</v>
      </c>
      <c r="D129" s="12">
        <v>141255.38</v>
      </c>
      <c r="E129" s="12">
        <v>0</v>
      </c>
      <c r="F129" s="11">
        <v>0</v>
      </c>
      <c r="G129" s="11">
        <v>123.93</v>
      </c>
      <c r="H129" s="12">
        <v>101904.76</v>
      </c>
      <c r="I129" s="12">
        <v>35666.67</v>
      </c>
      <c r="J129" s="12">
        <v>1375.71</v>
      </c>
      <c r="K129" s="12">
        <v>138947.14000000001</v>
      </c>
      <c r="L129" s="13">
        <v>2308.2399999999998</v>
      </c>
    </row>
    <row r="130" spans="1:12" ht="18" customHeight="1" x14ac:dyDescent="0.3">
      <c r="A130" s="9">
        <v>129</v>
      </c>
      <c r="B130" s="19">
        <v>44429.319965277777</v>
      </c>
      <c r="C130" s="11" t="s">
        <v>140</v>
      </c>
      <c r="D130" s="12">
        <v>2308.2399999999998</v>
      </c>
      <c r="E130" s="12">
        <v>170000</v>
      </c>
      <c r="F130" s="11">
        <v>0</v>
      </c>
      <c r="G130" s="11">
        <v>0</v>
      </c>
      <c r="H130" s="12">
        <v>0</v>
      </c>
      <c r="I130" s="12">
        <v>0</v>
      </c>
      <c r="J130" s="12">
        <v>0</v>
      </c>
      <c r="K130" s="12">
        <v>0</v>
      </c>
      <c r="L130" s="13">
        <v>172308.24</v>
      </c>
    </row>
    <row r="131" spans="1:12" ht="18" customHeight="1" x14ac:dyDescent="0.3">
      <c r="A131" s="9">
        <v>130</v>
      </c>
      <c r="B131" s="19">
        <v>44429.421400462961</v>
      </c>
      <c r="C131" s="11" t="s">
        <v>141</v>
      </c>
      <c r="D131" s="12">
        <v>172308.24</v>
      </c>
      <c r="E131" s="12">
        <v>0</v>
      </c>
      <c r="F131" s="11">
        <v>0</v>
      </c>
      <c r="G131" s="11">
        <v>130.41</v>
      </c>
      <c r="H131" s="12">
        <v>107063.5</v>
      </c>
      <c r="I131" s="12">
        <v>37472.230000000003</v>
      </c>
      <c r="J131" s="12">
        <v>1445.36</v>
      </c>
      <c r="K131" s="12">
        <v>145981.07999999999</v>
      </c>
      <c r="L131" s="13">
        <v>26327.16</v>
      </c>
    </row>
    <row r="132" spans="1:12" ht="18" customHeight="1" x14ac:dyDescent="0.3">
      <c r="A132" s="9">
        <v>131</v>
      </c>
      <c r="B132" s="19">
        <v>44429.421863425923</v>
      </c>
      <c r="C132" s="11" t="s">
        <v>142</v>
      </c>
      <c r="D132" s="12">
        <v>26327.16</v>
      </c>
      <c r="E132" s="12">
        <v>0</v>
      </c>
      <c r="F132" s="11">
        <v>118.2</v>
      </c>
      <c r="G132" s="11">
        <v>0</v>
      </c>
      <c r="H132" s="12">
        <v>18809.509999999998</v>
      </c>
      <c r="I132" s="12">
        <v>6583.33</v>
      </c>
      <c r="J132" s="12">
        <v>253.93</v>
      </c>
      <c r="K132" s="12">
        <v>25646.77</v>
      </c>
      <c r="L132" s="13">
        <v>680.39</v>
      </c>
    </row>
    <row r="133" spans="1:12" ht="18" customHeight="1" x14ac:dyDescent="0.3">
      <c r="A133" s="9">
        <v>132</v>
      </c>
      <c r="B133" s="19">
        <v>44432.38244212963</v>
      </c>
      <c r="C133" s="11" t="s">
        <v>143</v>
      </c>
      <c r="D133" s="12">
        <v>680.39</v>
      </c>
      <c r="E133" s="12">
        <v>136000</v>
      </c>
      <c r="F133" s="11">
        <v>0</v>
      </c>
      <c r="G133" s="11">
        <v>0</v>
      </c>
      <c r="H133" s="12">
        <v>0</v>
      </c>
      <c r="I133" s="12">
        <v>0</v>
      </c>
      <c r="J133" s="12">
        <v>0</v>
      </c>
      <c r="K133" s="12">
        <v>0</v>
      </c>
      <c r="L133" s="13">
        <v>136680.39000000001</v>
      </c>
    </row>
    <row r="134" spans="1:12" ht="18" customHeight="1" x14ac:dyDescent="0.3">
      <c r="A134" s="9">
        <v>133</v>
      </c>
      <c r="B134" s="19">
        <v>44432.403310185182</v>
      </c>
      <c r="C134" s="11" t="s">
        <v>144</v>
      </c>
      <c r="D134" s="12">
        <v>136680.39000000001</v>
      </c>
      <c r="E134" s="12">
        <v>15000</v>
      </c>
      <c r="F134" s="11">
        <v>0</v>
      </c>
      <c r="G134" s="11">
        <v>0</v>
      </c>
      <c r="H134" s="12">
        <v>0</v>
      </c>
      <c r="I134" s="12">
        <v>0</v>
      </c>
      <c r="J134" s="12">
        <v>0</v>
      </c>
      <c r="K134" s="12">
        <v>0</v>
      </c>
      <c r="L134" s="13">
        <v>151680.39000000001</v>
      </c>
    </row>
    <row r="135" spans="1:12" ht="18" customHeight="1" x14ac:dyDescent="0.3">
      <c r="A135" s="9">
        <v>134</v>
      </c>
      <c r="B135" s="19">
        <v>44432.45380787037</v>
      </c>
      <c r="C135" s="11" t="s">
        <v>145</v>
      </c>
      <c r="D135" s="12">
        <v>151680.39000000001</v>
      </c>
      <c r="E135" s="12">
        <v>0</v>
      </c>
      <c r="F135" s="11">
        <v>0</v>
      </c>
      <c r="G135" s="11">
        <v>110.7</v>
      </c>
      <c r="H135" s="12">
        <v>87936.52</v>
      </c>
      <c r="I135" s="12">
        <v>30777.78</v>
      </c>
      <c r="J135" s="12">
        <v>1187</v>
      </c>
      <c r="K135" s="12">
        <v>119901.3</v>
      </c>
      <c r="L135" s="13">
        <v>31779.09</v>
      </c>
    </row>
    <row r="136" spans="1:12" ht="18" customHeight="1" x14ac:dyDescent="0.3">
      <c r="A136" s="9">
        <v>135</v>
      </c>
      <c r="B136" s="19">
        <v>44432.454270833332</v>
      </c>
      <c r="C136" s="11" t="s">
        <v>146</v>
      </c>
      <c r="D136" s="12">
        <v>31779.09</v>
      </c>
      <c r="E136" s="12">
        <v>0</v>
      </c>
      <c r="F136" s="11">
        <v>145.80000000000001</v>
      </c>
      <c r="G136" s="11">
        <v>0</v>
      </c>
      <c r="H136" s="12">
        <v>23253.96</v>
      </c>
      <c r="I136" s="12">
        <v>8138.89</v>
      </c>
      <c r="J136" s="12">
        <v>314</v>
      </c>
      <c r="K136" s="12">
        <v>31706.85</v>
      </c>
      <c r="L136" s="13">
        <v>72.239999999999995</v>
      </c>
    </row>
    <row r="137" spans="1:12" ht="18" customHeight="1" x14ac:dyDescent="0.3">
      <c r="A137" s="9">
        <v>136</v>
      </c>
      <c r="B137" s="19">
        <v>44436.335358796299</v>
      </c>
      <c r="C137" s="11" t="s">
        <v>147</v>
      </c>
      <c r="D137" s="12">
        <v>72.239999999999995</v>
      </c>
      <c r="E137" s="12">
        <v>150000</v>
      </c>
      <c r="F137" s="11">
        <v>0</v>
      </c>
      <c r="G137" s="11">
        <v>0</v>
      </c>
      <c r="H137" s="12">
        <v>0</v>
      </c>
      <c r="I137" s="12">
        <v>0</v>
      </c>
      <c r="J137" s="12">
        <v>0</v>
      </c>
      <c r="K137" s="12">
        <v>0</v>
      </c>
      <c r="L137" s="13">
        <v>150072.24</v>
      </c>
    </row>
    <row r="138" spans="1:12" ht="18" customHeight="1" x14ac:dyDescent="0.3">
      <c r="A138" s="9">
        <v>137</v>
      </c>
      <c r="B138" s="19">
        <v>44436.414386574077</v>
      </c>
      <c r="C138" s="11" t="s">
        <v>148</v>
      </c>
      <c r="D138" s="12">
        <v>150072.24</v>
      </c>
      <c r="E138" s="12">
        <v>0</v>
      </c>
      <c r="F138" s="11">
        <v>78.599999999999994</v>
      </c>
      <c r="G138" s="11">
        <v>0</v>
      </c>
      <c r="H138" s="12">
        <v>11746.02</v>
      </c>
      <c r="I138" s="12">
        <v>4111.1099999999997</v>
      </c>
      <c r="J138" s="12">
        <v>159</v>
      </c>
      <c r="K138" s="12">
        <v>16016.13</v>
      </c>
      <c r="L138" s="13">
        <v>134056.10999999999</v>
      </c>
    </row>
    <row r="139" spans="1:12" ht="18" customHeight="1" x14ac:dyDescent="0.3">
      <c r="A139" s="9">
        <v>138</v>
      </c>
      <c r="B139" s="19">
        <v>44436.414930555555</v>
      </c>
      <c r="C139" s="11" t="s">
        <v>149</v>
      </c>
      <c r="D139" s="12">
        <v>134056.10999999999</v>
      </c>
      <c r="E139" s="12">
        <v>0</v>
      </c>
      <c r="F139" s="11">
        <v>0</v>
      </c>
      <c r="G139" s="11">
        <v>123.93</v>
      </c>
      <c r="H139" s="12">
        <v>98253.98</v>
      </c>
      <c r="I139" s="12">
        <v>34388.89</v>
      </c>
      <c r="J139" s="12">
        <v>1326</v>
      </c>
      <c r="K139" s="12">
        <v>133968.87</v>
      </c>
      <c r="L139" s="13">
        <v>87.24</v>
      </c>
    </row>
    <row r="140" spans="1:12" ht="18" customHeight="1" x14ac:dyDescent="0.3">
      <c r="A140" s="9">
        <v>139</v>
      </c>
      <c r="B140" s="19">
        <v>44440.001192129632</v>
      </c>
      <c r="C140" s="11" t="s">
        <v>150</v>
      </c>
      <c r="D140" s="12">
        <v>87.24</v>
      </c>
      <c r="E140" s="12">
        <v>148000</v>
      </c>
      <c r="F140" s="11">
        <v>0</v>
      </c>
      <c r="G140" s="11">
        <v>0</v>
      </c>
      <c r="H140" s="12">
        <v>0</v>
      </c>
      <c r="I140" s="12">
        <v>0</v>
      </c>
      <c r="J140" s="12">
        <v>0</v>
      </c>
      <c r="K140" s="12">
        <v>0</v>
      </c>
      <c r="L140" s="13">
        <v>148087.24</v>
      </c>
    </row>
    <row r="141" spans="1:12" ht="18" customHeight="1" x14ac:dyDescent="0.3">
      <c r="A141" s="9">
        <v>140</v>
      </c>
      <c r="B141" s="19">
        <v>44440.424201388887</v>
      </c>
      <c r="C141" s="11" t="s">
        <v>151</v>
      </c>
      <c r="D141" s="12">
        <v>148087.24</v>
      </c>
      <c r="E141" s="12">
        <v>0</v>
      </c>
      <c r="F141" s="11">
        <v>145.80000000000001</v>
      </c>
      <c r="G141" s="11">
        <v>0</v>
      </c>
      <c r="H141" s="12">
        <v>22857.13</v>
      </c>
      <c r="I141" s="12">
        <v>8000</v>
      </c>
      <c r="J141" s="12">
        <v>309</v>
      </c>
      <c r="K141" s="12">
        <v>31166.13</v>
      </c>
      <c r="L141" s="13">
        <v>116921.11</v>
      </c>
    </row>
    <row r="142" spans="1:12" ht="18" customHeight="1" x14ac:dyDescent="0.3">
      <c r="A142" s="9">
        <v>141</v>
      </c>
      <c r="B142" s="19">
        <v>44440.42528935185</v>
      </c>
      <c r="C142" s="11" t="s">
        <v>152</v>
      </c>
      <c r="D142" s="12">
        <v>116921.11</v>
      </c>
      <c r="E142" s="12">
        <v>0</v>
      </c>
      <c r="F142" s="11">
        <v>0</v>
      </c>
      <c r="G142" s="11">
        <v>104.49</v>
      </c>
      <c r="H142" s="12">
        <v>85238.09</v>
      </c>
      <c r="I142" s="12">
        <v>29833.33</v>
      </c>
      <c r="J142" s="12">
        <v>1151</v>
      </c>
      <c r="K142" s="12">
        <v>116222.42</v>
      </c>
      <c r="L142" s="13">
        <v>698.69</v>
      </c>
    </row>
    <row r="143" spans="1:12" ht="18" customHeight="1" x14ac:dyDescent="0.3">
      <c r="A143" s="9">
        <v>142</v>
      </c>
      <c r="B143" s="19">
        <v>44442.392094907409</v>
      </c>
      <c r="C143" s="11" t="s">
        <v>153</v>
      </c>
      <c r="D143" s="12">
        <v>698.69</v>
      </c>
      <c r="E143" s="12">
        <v>134000</v>
      </c>
      <c r="F143" s="11">
        <v>0</v>
      </c>
      <c r="G143" s="11">
        <v>0</v>
      </c>
      <c r="H143" s="12">
        <v>0</v>
      </c>
      <c r="I143" s="12">
        <v>0</v>
      </c>
      <c r="J143" s="12">
        <v>0</v>
      </c>
      <c r="K143" s="12">
        <v>0</v>
      </c>
      <c r="L143" s="13">
        <v>134698.69</v>
      </c>
    </row>
    <row r="144" spans="1:12" ht="18" customHeight="1" x14ac:dyDescent="0.3">
      <c r="A144" s="9">
        <v>143</v>
      </c>
      <c r="B144" s="19">
        <v>44442.432800925926</v>
      </c>
      <c r="C144" s="11" t="s">
        <v>154</v>
      </c>
      <c r="D144" s="12">
        <v>134698.69</v>
      </c>
      <c r="E144" s="12">
        <v>0</v>
      </c>
      <c r="F144" s="11">
        <v>0</v>
      </c>
      <c r="G144" s="11">
        <v>124.74</v>
      </c>
      <c r="H144" s="12">
        <v>98412.69</v>
      </c>
      <c r="I144" s="12">
        <v>34444.44</v>
      </c>
      <c r="J144" s="12">
        <v>1329</v>
      </c>
      <c r="K144" s="12">
        <v>134186.13</v>
      </c>
      <c r="L144" s="13">
        <v>512.55999999999995</v>
      </c>
    </row>
    <row r="145" spans="1:12" ht="18" customHeight="1" x14ac:dyDescent="0.3">
      <c r="A145" s="9">
        <v>144</v>
      </c>
      <c r="B145" s="19">
        <v>44445.410011574073</v>
      </c>
      <c r="C145" s="11" t="s">
        <v>155</v>
      </c>
      <c r="D145" s="12">
        <v>512.55999999999995</v>
      </c>
      <c r="E145" s="12">
        <v>130000</v>
      </c>
      <c r="F145" s="11">
        <v>0</v>
      </c>
      <c r="G145" s="11">
        <v>0</v>
      </c>
      <c r="H145" s="12">
        <v>0</v>
      </c>
      <c r="I145" s="12">
        <v>0</v>
      </c>
      <c r="J145" s="12">
        <v>0</v>
      </c>
      <c r="K145" s="12">
        <v>0</v>
      </c>
      <c r="L145" s="13">
        <v>130512.56</v>
      </c>
    </row>
    <row r="146" spans="1:12" ht="18" customHeight="1" x14ac:dyDescent="0.3">
      <c r="A146" s="9">
        <v>145</v>
      </c>
      <c r="B146" s="19">
        <v>44445.447812500002</v>
      </c>
      <c r="C146" s="11" t="s">
        <v>156</v>
      </c>
      <c r="D146" s="12">
        <v>130512.56</v>
      </c>
      <c r="E146" s="12">
        <v>0</v>
      </c>
      <c r="F146" s="11">
        <v>0</v>
      </c>
      <c r="G146" s="11">
        <v>98.28</v>
      </c>
      <c r="H146" s="12">
        <v>82539.679999999993</v>
      </c>
      <c r="I146" s="12">
        <v>28888.89</v>
      </c>
      <c r="J146" s="12">
        <v>1114</v>
      </c>
      <c r="K146" s="12">
        <v>112542.57</v>
      </c>
      <c r="L146" s="13">
        <v>17969.990000000002</v>
      </c>
    </row>
    <row r="147" spans="1:12" ht="18" customHeight="1" x14ac:dyDescent="0.3">
      <c r="A147" s="9">
        <v>146</v>
      </c>
      <c r="B147" s="19">
        <v>44445.448321759257</v>
      </c>
      <c r="C147" s="11" t="s">
        <v>157</v>
      </c>
      <c r="D147" s="12">
        <v>17969.990000000002</v>
      </c>
      <c r="E147" s="12">
        <v>0</v>
      </c>
      <c r="F147" s="11">
        <v>82.2</v>
      </c>
      <c r="G147" s="11">
        <v>0</v>
      </c>
      <c r="H147" s="12">
        <v>13015.87</v>
      </c>
      <c r="I147" s="12">
        <v>4555.55</v>
      </c>
      <c r="J147" s="12">
        <v>176</v>
      </c>
      <c r="K147" s="12">
        <v>17747.419999999998</v>
      </c>
      <c r="L147" s="13">
        <v>222.57</v>
      </c>
    </row>
    <row r="148" spans="1:12" ht="18" customHeight="1" x14ac:dyDescent="0.3">
      <c r="A148" s="9">
        <v>147</v>
      </c>
      <c r="B148" s="19">
        <v>44450.037280092591</v>
      </c>
      <c r="C148" s="11" t="s">
        <v>158</v>
      </c>
      <c r="D148" s="12">
        <v>222.57</v>
      </c>
      <c r="E148" s="12">
        <v>191000</v>
      </c>
      <c r="F148" s="11">
        <v>0</v>
      </c>
      <c r="G148" s="11">
        <v>0</v>
      </c>
      <c r="H148" s="12">
        <v>0</v>
      </c>
      <c r="I148" s="12">
        <v>0</v>
      </c>
      <c r="J148" s="12">
        <v>0</v>
      </c>
      <c r="K148" s="12">
        <v>0</v>
      </c>
      <c r="L148" s="13">
        <v>191222.57</v>
      </c>
    </row>
    <row r="149" spans="1:12" ht="18" customHeight="1" x14ac:dyDescent="0.3">
      <c r="A149" s="9">
        <v>148</v>
      </c>
      <c r="B149" s="19">
        <v>44450.421712962961</v>
      </c>
      <c r="C149" s="11" t="s">
        <v>159</v>
      </c>
      <c r="D149" s="12">
        <v>191222.57</v>
      </c>
      <c r="E149" s="12">
        <v>0</v>
      </c>
      <c r="F149" s="11">
        <v>0</v>
      </c>
      <c r="G149" s="11">
        <v>144.72</v>
      </c>
      <c r="H149" s="12">
        <v>117460.31</v>
      </c>
      <c r="I149" s="12">
        <v>41111.11</v>
      </c>
      <c r="J149" s="12">
        <v>1586</v>
      </c>
      <c r="K149" s="12">
        <v>160157.42000000001</v>
      </c>
      <c r="L149" s="13">
        <v>31065.15</v>
      </c>
    </row>
    <row r="150" spans="1:12" ht="18" customHeight="1" x14ac:dyDescent="0.3">
      <c r="A150" s="9">
        <v>149</v>
      </c>
      <c r="B150" s="19">
        <v>44450.422615740739</v>
      </c>
      <c r="C150" s="11" t="s">
        <v>160</v>
      </c>
      <c r="D150" s="12">
        <v>31065.15</v>
      </c>
      <c r="E150" s="12">
        <v>0</v>
      </c>
      <c r="F150" s="11">
        <v>141.6</v>
      </c>
      <c r="G150" s="11">
        <v>0</v>
      </c>
      <c r="H150" s="12">
        <v>22380.94</v>
      </c>
      <c r="I150" s="12">
        <v>7833.33</v>
      </c>
      <c r="J150" s="12">
        <v>302</v>
      </c>
      <c r="K150" s="12">
        <v>30516.27</v>
      </c>
      <c r="L150" s="13">
        <v>548.88</v>
      </c>
    </row>
    <row r="151" spans="1:12" ht="18" customHeight="1" x14ac:dyDescent="0.3">
      <c r="A151" s="9">
        <v>150</v>
      </c>
      <c r="B151" s="19">
        <v>44453.387627314813</v>
      </c>
      <c r="C151" s="11" t="s">
        <v>161</v>
      </c>
      <c r="D151" s="12">
        <v>548.88</v>
      </c>
      <c r="E151" s="12">
        <v>111000</v>
      </c>
      <c r="F151" s="11">
        <v>0</v>
      </c>
      <c r="G151" s="11">
        <v>0</v>
      </c>
      <c r="H151" s="12">
        <v>0</v>
      </c>
      <c r="I151" s="12">
        <v>0</v>
      </c>
      <c r="J151" s="12">
        <v>0</v>
      </c>
      <c r="K151" s="12">
        <v>0</v>
      </c>
      <c r="L151" s="13">
        <v>111548.88</v>
      </c>
    </row>
    <row r="152" spans="1:12" ht="18" customHeight="1" x14ac:dyDescent="0.3">
      <c r="A152" s="9">
        <v>151</v>
      </c>
      <c r="B152" s="19">
        <v>44453.43068287037</v>
      </c>
      <c r="C152" s="11" t="s">
        <v>162</v>
      </c>
      <c r="D152" s="12">
        <v>111548.88</v>
      </c>
      <c r="E152" s="12">
        <v>0</v>
      </c>
      <c r="F152" s="11">
        <v>0</v>
      </c>
      <c r="G152" s="11">
        <v>91.53</v>
      </c>
      <c r="H152" s="12">
        <v>79523.81</v>
      </c>
      <c r="I152" s="12">
        <v>27833.33</v>
      </c>
      <c r="J152" s="12">
        <v>1074</v>
      </c>
      <c r="K152" s="12">
        <v>108431.14</v>
      </c>
      <c r="L152" s="13">
        <v>3117.74</v>
      </c>
    </row>
    <row r="153" spans="1:12" ht="18" customHeight="1" x14ac:dyDescent="0.3">
      <c r="A153" s="9">
        <v>152</v>
      </c>
      <c r="B153" s="19">
        <v>44457.336712962962</v>
      </c>
      <c r="C153" s="11" t="s">
        <v>163</v>
      </c>
      <c r="D153" s="12">
        <v>3117.74</v>
      </c>
      <c r="E153" s="12">
        <v>132000</v>
      </c>
      <c r="F153" s="11">
        <v>0</v>
      </c>
      <c r="G153" s="11">
        <v>0</v>
      </c>
      <c r="H153" s="12">
        <v>0</v>
      </c>
      <c r="I153" s="12">
        <v>0</v>
      </c>
      <c r="J153" s="12">
        <v>0</v>
      </c>
      <c r="K153" s="12">
        <v>0</v>
      </c>
      <c r="L153" s="13">
        <v>135117.74</v>
      </c>
    </row>
    <row r="154" spans="1:12" ht="18" customHeight="1" x14ac:dyDescent="0.3">
      <c r="A154" s="9">
        <v>153</v>
      </c>
      <c r="B154" s="19">
        <v>44457.417002314818</v>
      </c>
      <c r="C154" s="11" t="s">
        <v>164</v>
      </c>
      <c r="D154" s="12">
        <v>135117.74</v>
      </c>
      <c r="E154" s="12">
        <v>0</v>
      </c>
      <c r="F154" s="11">
        <v>0</v>
      </c>
      <c r="G154" s="11">
        <v>97.74</v>
      </c>
      <c r="H154" s="12">
        <v>81587.31</v>
      </c>
      <c r="I154" s="12">
        <v>28555.56</v>
      </c>
      <c r="J154" s="12">
        <v>1101</v>
      </c>
      <c r="K154" s="12">
        <v>111243.87</v>
      </c>
      <c r="L154" s="13">
        <v>23873.87</v>
      </c>
    </row>
    <row r="155" spans="1:12" ht="18" customHeight="1" x14ac:dyDescent="0.3">
      <c r="A155" s="9">
        <v>154</v>
      </c>
      <c r="B155" s="19">
        <v>44457.417280092595</v>
      </c>
      <c r="C155" s="11" t="s">
        <v>165</v>
      </c>
      <c r="D155" s="12">
        <v>23873.87</v>
      </c>
      <c r="E155" s="12">
        <v>0</v>
      </c>
      <c r="F155" s="11">
        <v>114</v>
      </c>
      <c r="G155" s="11">
        <v>0</v>
      </c>
      <c r="H155" s="12">
        <v>17380.939999999999</v>
      </c>
      <c r="I155" s="12">
        <v>6083.33</v>
      </c>
      <c r="J155" s="12">
        <v>235</v>
      </c>
      <c r="K155" s="12">
        <v>23699.27</v>
      </c>
      <c r="L155" s="13">
        <v>174.6</v>
      </c>
    </row>
    <row r="156" spans="1:12" ht="18" customHeight="1" x14ac:dyDescent="0.3">
      <c r="A156" s="9">
        <v>155</v>
      </c>
      <c r="B156" s="19">
        <v>44460.315960648149</v>
      </c>
      <c r="C156" s="11" t="s">
        <v>166</v>
      </c>
      <c r="D156" s="12">
        <v>174.6</v>
      </c>
      <c r="E156" s="12">
        <v>217600</v>
      </c>
      <c r="F156" s="11">
        <v>0</v>
      </c>
      <c r="G156" s="11">
        <v>0</v>
      </c>
      <c r="H156" s="12">
        <v>0</v>
      </c>
      <c r="I156" s="12">
        <v>0</v>
      </c>
      <c r="J156" s="12">
        <v>0</v>
      </c>
      <c r="K156" s="12">
        <v>0</v>
      </c>
      <c r="L156" s="13">
        <v>217774.6</v>
      </c>
    </row>
    <row r="157" spans="1:12" ht="18" customHeight="1" x14ac:dyDescent="0.3">
      <c r="A157" s="9">
        <v>156</v>
      </c>
      <c r="B157" s="19">
        <v>44460.431851851848</v>
      </c>
      <c r="C157" s="11" t="s">
        <v>167</v>
      </c>
      <c r="D157" s="12">
        <v>217774.6</v>
      </c>
      <c r="E157" s="12">
        <v>0</v>
      </c>
      <c r="F157" s="11">
        <v>149.4</v>
      </c>
      <c r="G157" s="11">
        <v>0</v>
      </c>
      <c r="H157" s="12">
        <v>23412.69</v>
      </c>
      <c r="I157" s="12">
        <v>8194.44</v>
      </c>
      <c r="J157" s="12">
        <v>316</v>
      </c>
      <c r="K157" s="12">
        <v>31923.13</v>
      </c>
      <c r="L157" s="13">
        <v>185851.47</v>
      </c>
    </row>
    <row r="158" spans="1:12" ht="18" customHeight="1" x14ac:dyDescent="0.3">
      <c r="A158" s="9">
        <v>157</v>
      </c>
      <c r="B158" s="19">
        <v>44460.432476851849</v>
      </c>
      <c r="C158" s="11" t="s">
        <v>168</v>
      </c>
      <c r="D158" s="12">
        <v>185851.47</v>
      </c>
      <c r="E158" s="12">
        <v>0</v>
      </c>
      <c r="F158" s="11">
        <v>0</v>
      </c>
      <c r="G158" s="11">
        <v>171.18</v>
      </c>
      <c r="H158" s="12">
        <v>135317.46</v>
      </c>
      <c r="I158" s="12">
        <v>47361.11</v>
      </c>
      <c r="J158" s="12">
        <v>1827</v>
      </c>
      <c r="K158" s="12">
        <v>184505.57</v>
      </c>
      <c r="L158" s="13">
        <v>1345.9</v>
      </c>
    </row>
    <row r="159" spans="1:12" ht="18" customHeight="1" x14ac:dyDescent="0.3">
      <c r="A159" s="9">
        <v>158</v>
      </c>
      <c r="B159" s="19">
        <v>44464.307974537034</v>
      </c>
      <c r="C159" s="11" t="s">
        <v>169</v>
      </c>
      <c r="D159" s="12">
        <v>1345.9</v>
      </c>
      <c r="E159" s="12">
        <v>150500</v>
      </c>
      <c r="F159" s="11">
        <v>0</v>
      </c>
      <c r="G159" s="11">
        <v>0</v>
      </c>
      <c r="H159" s="12">
        <v>0</v>
      </c>
      <c r="I159" s="12">
        <v>0</v>
      </c>
      <c r="J159" s="12">
        <v>0</v>
      </c>
      <c r="K159" s="12">
        <v>0</v>
      </c>
      <c r="L159" s="13">
        <v>151845.9</v>
      </c>
    </row>
    <row r="160" spans="1:12" ht="18" customHeight="1" x14ac:dyDescent="0.3">
      <c r="A160" s="9">
        <v>159</v>
      </c>
      <c r="B160" s="19">
        <v>44464.431689814817</v>
      </c>
      <c r="C160" s="11" t="s">
        <v>170</v>
      </c>
      <c r="D160" s="12">
        <v>151845.9</v>
      </c>
      <c r="E160" s="12">
        <v>0</v>
      </c>
      <c r="F160" s="11">
        <v>86.4</v>
      </c>
      <c r="G160" s="11">
        <v>0</v>
      </c>
      <c r="H160" s="12">
        <v>13809.52</v>
      </c>
      <c r="I160" s="12">
        <v>4833.33</v>
      </c>
      <c r="J160" s="12">
        <v>186</v>
      </c>
      <c r="K160" s="12">
        <v>18828.849999999999</v>
      </c>
      <c r="L160" s="13">
        <v>133017.04999999999</v>
      </c>
    </row>
    <row r="161" spans="1:12" ht="18" customHeight="1" x14ac:dyDescent="0.3">
      <c r="A161" s="9">
        <v>160</v>
      </c>
      <c r="B161" s="19">
        <v>44464.432233796295</v>
      </c>
      <c r="C161" s="11" t="s">
        <v>171</v>
      </c>
      <c r="D161" s="12">
        <v>133017.04999999999</v>
      </c>
      <c r="E161" s="12">
        <v>0</v>
      </c>
      <c r="F161" s="11">
        <v>0</v>
      </c>
      <c r="G161" s="11">
        <v>117.45</v>
      </c>
      <c r="H161" s="12">
        <v>97539.68</v>
      </c>
      <c r="I161" s="12">
        <v>34138.89</v>
      </c>
      <c r="J161" s="12">
        <v>1317</v>
      </c>
      <c r="K161" s="12">
        <v>132995.57</v>
      </c>
      <c r="L161" s="13">
        <v>21.48</v>
      </c>
    </row>
    <row r="162" spans="1:12" ht="18" customHeight="1" x14ac:dyDescent="0.3">
      <c r="A162" s="9">
        <v>161</v>
      </c>
      <c r="B162" s="19">
        <v>44468.997233796297</v>
      </c>
      <c r="C162" s="11" t="s">
        <v>172</v>
      </c>
      <c r="D162" s="12">
        <v>21.48</v>
      </c>
      <c r="E162" s="12">
        <v>112500</v>
      </c>
      <c r="F162" s="11">
        <v>0</v>
      </c>
      <c r="G162" s="11">
        <v>0</v>
      </c>
      <c r="H162" s="12">
        <v>0</v>
      </c>
      <c r="I162" s="12">
        <v>0</v>
      </c>
      <c r="J162" s="12">
        <v>0</v>
      </c>
      <c r="K162" s="12">
        <v>0</v>
      </c>
      <c r="L162" s="13">
        <v>112521.48</v>
      </c>
    </row>
    <row r="163" spans="1:12" ht="18" customHeight="1" x14ac:dyDescent="0.3">
      <c r="A163" s="9">
        <v>162</v>
      </c>
      <c r="B163" s="19">
        <v>44469.418900462966</v>
      </c>
      <c r="C163" s="11" t="s">
        <v>173</v>
      </c>
      <c r="D163" s="12">
        <v>112521.48</v>
      </c>
      <c r="E163" s="12">
        <v>0</v>
      </c>
      <c r="F163" s="11">
        <v>0</v>
      </c>
      <c r="G163" s="11">
        <v>105.03</v>
      </c>
      <c r="H163" s="12">
        <v>81507.92</v>
      </c>
      <c r="I163" s="12">
        <v>28527.77</v>
      </c>
      <c r="J163" s="12">
        <v>1100</v>
      </c>
      <c r="K163" s="12">
        <v>111135.69</v>
      </c>
      <c r="L163" s="13">
        <v>1385.79</v>
      </c>
    </row>
    <row r="164" spans="1:12" ht="18" customHeight="1" x14ac:dyDescent="0.3">
      <c r="A164" s="9">
        <v>163</v>
      </c>
      <c r="B164" s="19">
        <v>44470.312662037039</v>
      </c>
      <c r="C164" s="11" t="s">
        <v>174</v>
      </c>
      <c r="D164" s="12">
        <v>1385.79</v>
      </c>
      <c r="E164" s="12">
        <v>299000</v>
      </c>
      <c r="F164" s="11">
        <v>0</v>
      </c>
      <c r="G164" s="11">
        <v>0</v>
      </c>
      <c r="H164" s="12">
        <v>0</v>
      </c>
      <c r="I164" s="12">
        <v>0</v>
      </c>
      <c r="J164" s="12">
        <v>0</v>
      </c>
      <c r="K164" s="12">
        <v>0</v>
      </c>
      <c r="L164" s="13">
        <v>300385.78999999998</v>
      </c>
    </row>
    <row r="165" spans="1:12" ht="18" customHeight="1" x14ac:dyDescent="0.3">
      <c r="A165" s="9">
        <v>164</v>
      </c>
      <c r="B165" s="19">
        <v>44470.500104166669</v>
      </c>
      <c r="C165" s="11" t="s">
        <v>175</v>
      </c>
      <c r="D165" s="12">
        <v>300385.78999999998</v>
      </c>
      <c r="E165" s="12">
        <v>0</v>
      </c>
      <c r="F165" s="11">
        <v>0</v>
      </c>
      <c r="G165" s="11">
        <v>223.56</v>
      </c>
      <c r="H165" s="12">
        <v>186746.06</v>
      </c>
      <c r="I165" s="12">
        <v>65361.120000000003</v>
      </c>
      <c r="J165" s="12">
        <v>2521</v>
      </c>
      <c r="K165" s="12">
        <v>254628.18</v>
      </c>
      <c r="L165" s="13">
        <v>45757.61</v>
      </c>
    </row>
    <row r="166" spans="1:12" ht="18" customHeight="1" x14ac:dyDescent="0.3">
      <c r="A166" s="9">
        <v>165</v>
      </c>
      <c r="B166" s="19">
        <v>44470.501504629632</v>
      </c>
      <c r="C166" s="11" t="s">
        <v>176</v>
      </c>
      <c r="D166" s="12">
        <v>45757.61</v>
      </c>
      <c r="E166" s="12">
        <v>0</v>
      </c>
      <c r="F166" s="11">
        <v>200.4</v>
      </c>
      <c r="G166" s="11">
        <v>0</v>
      </c>
      <c r="H166" s="12">
        <v>32936.5</v>
      </c>
      <c r="I166" s="12">
        <v>11527.78</v>
      </c>
      <c r="J166" s="12">
        <v>445</v>
      </c>
      <c r="K166" s="12">
        <v>44909.279999999999</v>
      </c>
      <c r="L166" s="13">
        <v>848.33</v>
      </c>
    </row>
    <row r="167" spans="1:12" ht="18" customHeight="1" x14ac:dyDescent="0.3">
      <c r="A167" s="9">
        <v>166</v>
      </c>
      <c r="B167" s="19">
        <v>44473.34783564815</v>
      </c>
      <c r="C167" s="11" t="s">
        <v>177</v>
      </c>
      <c r="D167" s="12">
        <v>848.33</v>
      </c>
      <c r="E167" s="12">
        <v>284000</v>
      </c>
      <c r="F167" s="11">
        <v>0</v>
      </c>
      <c r="G167" s="11">
        <v>0</v>
      </c>
      <c r="H167" s="12">
        <v>0</v>
      </c>
      <c r="I167" s="12">
        <v>0</v>
      </c>
      <c r="J167" s="12">
        <v>0</v>
      </c>
      <c r="K167" s="12">
        <v>0</v>
      </c>
      <c r="L167" s="13">
        <v>284848.33</v>
      </c>
    </row>
    <row r="168" spans="1:12" ht="18" customHeight="1" x14ac:dyDescent="0.3">
      <c r="A168" s="9">
        <v>167</v>
      </c>
      <c r="B168" s="19">
        <v>44473.429166666669</v>
      </c>
      <c r="C168" s="11" t="s">
        <v>178</v>
      </c>
      <c r="D168" s="12">
        <v>284848.33</v>
      </c>
      <c r="E168" s="12">
        <v>185000</v>
      </c>
      <c r="F168" s="11">
        <v>0</v>
      </c>
      <c r="G168" s="11">
        <v>0</v>
      </c>
      <c r="H168" s="12">
        <v>0</v>
      </c>
      <c r="I168" s="12">
        <v>0</v>
      </c>
      <c r="J168" s="12">
        <v>0</v>
      </c>
      <c r="K168" s="12">
        <v>0</v>
      </c>
      <c r="L168" s="13">
        <v>469848.33</v>
      </c>
    </row>
    <row r="169" spans="1:12" ht="18" customHeight="1" x14ac:dyDescent="0.3">
      <c r="A169" s="9">
        <v>168</v>
      </c>
      <c r="B169" s="19">
        <v>44473.483460648145</v>
      </c>
      <c r="C169" s="11" t="s">
        <v>179</v>
      </c>
      <c r="D169" s="12">
        <v>469848.33</v>
      </c>
      <c r="E169" s="12">
        <v>0</v>
      </c>
      <c r="F169" s="11">
        <v>0</v>
      </c>
      <c r="G169" s="11">
        <v>388.46</v>
      </c>
      <c r="H169" s="12">
        <v>344563.57</v>
      </c>
      <c r="I169" s="12">
        <v>120597.25</v>
      </c>
      <c r="J169" s="12">
        <v>4652</v>
      </c>
      <c r="K169" s="12">
        <v>469812.82</v>
      </c>
      <c r="L169" s="13">
        <v>35.51</v>
      </c>
    </row>
    <row r="170" spans="1:12" ht="18" customHeight="1" x14ac:dyDescent="0.3">
      <c r="A170" s="9">
        <v>169</v>
      </c>
      <c r="B170" s="19">
        <v>44476.003275462965</v>
      </c>
      <c r="C170" s="11" t="s">
        <v>180</v>
      </c>
      <c r="D170" s="12">
        <v>35.51</v>
      </c>
      <c r="E170" s="12">
        <v>600000</v>
      </c>
      <c r="F170" s="11">
        <v>0</v>
      </c>
      <c r="G170" s="11">
        <v>0</v>
      </c>
      <c r="H170" s="12">
        <v>0</v>
      </c>
      <c r="I170" s="12">
        <v>0</v>
      </c>
      <c r="J170" s="12">
        <v>0</v>
      </c>
      <c r="K170" s="12">
        <v>0</v>
      </c>
      <c r="L170" s="13">
        <v>600035.51</v>
      </c>
    </row>
    <row r="171" spans="1:12" ht="18" customHeight="1" x14ac:dyDescent="0.3">
      <c r="A171" s="9">
        <v>170</v>
      </c>
      <c r="B171" s="19">
        <v>44476.462685185186</v>
      </c>
      <c r="C171" s="11" t="s">
        <v>181</v>
      </c>
      <c r="D171" s="12">
        <v>600035.51</v>
      </c>
      <c r="E171" s="12">
        <v>0</v>
      </c>
      <c r="F171" s="11">
        <v>0</v>
      </c>
      <c r="G171" s="11">
        <v>412.91</v>
      </c>
      <c r="H171" s="12">
        <v>375892.89</v>
      </c>
      <c r="I171" s="12">
        <v>131562.51</v>
      </c>
      <c r="J171" s="12">
        <v>5075</v>
      </c>
      <c r="K171" s="12">
        <v>512530.4</v>
      </c>
      <c r="L171" s="13">
        <v>87505.11</v>
      </c>
    </row>
    <row r="172" spans="1:12" ht="18" customHeight="1" x14ac:dyDescent="0.3">
      <c r="A172" s="9">
        <v>171</v>
      </c>
      <c r="B172" s="19">
        <v>44476.477384259262</v>
      </c>
      <c r="C172" s="11" t="s">
        <v>182</v>
      </c>
      <c r="D172" s="12">
        <v>87505.11</v>
      </c>
      <c r="E172" s="12">
        <v>0</v>
      </c>
      <c r="F172" s="11">
        <v>364.8</v>
      </c>
      <c r="G172" s="11">
        <v>0</v>
      </c>
      <c r="H172" s="12">
        <v>62857.16</v>
      </c>
      <c r="I172" s="12">
        <v>22000.01</v>
      </c>
      <c r="J172" s="12">
        <v>849</v>
      </c>
      <c r="K172" s="12">
        <v>85706.17</v>
      </c>
      <c r="L172" s="13">
        <v>1798.94</v>
      </c>
    </row>
    <row r="173" spans="1:12" ht="18" customHeight="1" x14ac:dyDescent="0.3">
      <c r="A173" s="9">
        <v>172</v>
      </c>
      <c r="B173" s="19">
        <v>44481.023680555554</v>
      </c>
      <c r="C173" s="11" t="s">
        <v>183</v>
      </c>
      <c r="D173" s="12">
        <v>1798.94</v>
      </c>
      <c r="E173" s="12">
        <v>449000</v>
      </c>
      <c r="F173" s="11">
        <v>0</v>
      </c>
      <c r="G173" s="11">
        <v>0</v>
      </c>
      <c r="H173" s="12">
        <v>0</v>
      </c>
      <c r="I173" s="12">
        <v>0</v>
      </c>
      <c r="J173" s="12">
        <v>0</v>
      </c>
      <c r="K173" s="12">
        <v>0</v>
      </c>
      <c r="L173" s="13">
        <v>450798.94</v>
      </c>
    </row>
    <row r="174" spans="1:12" ht="18" customHeight="1" x14ac:dyDescent="0.3">
      <c r="A174" s="9">
        <v>173</v>
      </c>
      <c r="B174" s="19">
        <v>44481.423703703702</v>
      </c>
      <c r="C174" s="11" t="s">
        <v>184</v>
      </c>
      <c r="D174" s="12">
        <v>450798.94</v>
      </c>
      <c r="E174" s="12">
        <v>0</v>
      </c>
      <c r="F174" s="11">
        <v>612</v>
      </c>
      <c r="G174" s="11">
        <v>0</v>
      </c>
      <c r="H174" s="12">
        <v>97301.59</v>
      </c>
      <c r="I174" s="12">
        <v>34055.56</v>
      </c>
      <c r="J174" s="12">
        <v>1314</v>
      </c>
      <c r="K174" s="12">
        <v>132671.15</v>
      </c>
      <c r="L174" s="13">
        <v>318127.78999999998</v>
      </c>
    </row>
    <row r="175" spans="1:12" ht="18" customHeight="1" x14ac:dyDescent="0.3">
      <c r="A175" s="9">
        <v>174</v>
      </c>
      <c r="B175" s="19">
        <v>44481.473935185182</v>
      </c>
      <c r="C175" s="11" t="s">
        <v>185</v>
      </c>
      <c r="D175" s="12">
        <v>318127.78999999998</v>
      </c>
      <c r="E175" s="12">
        <v>0</v>
      </c>
      <c r="F175" s="11">
        <v>0</v>
      </c>
      <c r="G175" s="11">
        <v>225.11</v>
      </c>
      <c r="H175" s="12">
        <v>228755.05</v>
      </c>
      <c r="I175" s="12">
        <v>80064.27</v>
      </c>
      <c r="J175" s="12">
        <v>3088</v>
      </c>
      <c r="K175" s="12">
        <v>311907.32</v>
      </c>
      <c r="L175" s="13">
        <v>6220.47</v>
      </c>
    </row>
    <row r="176" spans="1:12" ht="18" customHeight="1" x14ac:dyDescent="0.3">
      <c r="A176" s="9">
        <v>175</v>
      </c>
      <c r="B176" s="19">
        <v>44485.249849537038</v>
      </c>
      <c r="C176" s="11" t="s">
        <v>186</v>
      </c>
      <c r="D176" s="12">
        <v>6220.47</v>
      </c>
      <c r="E176" s="12">
        <v>399000</v>
      </c>
      <c r="F176" s="11">
        <v>0</v>
      </c>
      <c r="G176" s="11">
        <v>0</v>
      </c>
      <c r="H176" s="12">
        <v>0</v>
      </c>
      <c r="I176" s="12">
        <v>0</v>
      </c>
      <c r="J176" s="12">
        <v>0</v>
      </c>
      <c r="K176" s="12">
        <v>0</v>
      </c>
      <c r="L176" s="13">
        <v>405220.47</v>
      </c>
    </row>
    <row r="177" spans="1:12" ht="18" customHeight="1" x14ac:dyDescent="0.3">
      <c r="A177" s="9">
        <v>176</v>
      </c>
      <c r="B177" s="19">
        <v>44485.418506944443</v>
      </c>
      <c r="C177" s="11" t="s">
        <v>187</v>
      </c>
      <c r="D177" s="12">
        <v>405220.47</v>
      </c>
      <c r="E177" s="12">
        <v>0</v>
      </c>
      <c r="F177" s="11">
        <v>241.8</v>
      </c>
      <c r="G177" s="11">
        <v>0</v>
      </c>
      <c r="H177" s="12">
        <v>36031.75</v>
      </c>
      <c r="I177" s="12">
        <v>12611.11</v>
      </c>
      <c r="J177" s="12">
        <v>486</v>
      </c>
      <c r="K177" s="12">
        <v>49128.86</v>
      </c>
      <c r="L177" s="13">
        <v>356091.61</v>
      </c>
    </row>
    <row r="178" spans="1:12" ht="18" customHeight="1" x14ac:dyDescent="0.3">
      <c r="A178" s="9">
        <v>177</v>
      </c>
      <c r="B178" s="19">
        <v>44485.442418981482</v>
      </c>
      <c r="C178" s="11" t="s">
        <v>188</v>
      </c>
      <c r="D178" s="12">
        <v>356091.61</v>
      </c>
      <c r="E178" s="12">
        <v>0</v>
      </c>
      <c r="F178" s="11">
        <v>0</v>
      </c>
      <c r="G178" s="11">
        <v>308.33999999999997</v>
      </c>
      <c r="H178" s="12">
        <v>257838.36</v>
      </c>
      <c r="I178" s="12">
        <v>90243.43</v>
      </c>
      <c r="J178" s="12">
        <v>3481</v>
      </c>
      <c r="K178" s="12">
        <v>351562.79</v>
      </c>
      <c r="L178" s="13">
        <v>4528.82</v>
      </c>
    </row>
    <row r="179" spans="1:12" ht="18" customHeight="1" x14ac:dyDescent="0.3">
      <c r="A179" s="9">
        <v>178</v>
      </c>
      <c r="B179" s="19">
        <v>44490.98165509259</v>
      </c>
      <c r="C179" s="11" t="s">
        <v>189</v>
      </c>
      <c r="D179" s="12">
        <v>4528.82</v>
      </c>
      <c r="E179" s="12">
        <v>400000</v>
      </c>
      <c r="F179" s="11">
        <v>0</v>
      </c>
      <c r="G179" s="11">
        <v>0</v>
      </c>
      <c r="H179" s="12">
        <v>0</v>
      </c>
      <c r="I179" s="12">
        <v>0</v>
      </c>
      <c r="J179" s="12">
        <v>0</v>
      </c>
      <c r="K179" s="12">
        <v>0</v>
      </c>
      <c r="L179" s="13">
        <v>404528.82</v>
      </c>
    </row>
    <row r="180" spans="1:12" ht="18" customHeight="1" x14ac:dyDescent="0.3">
      <c r="A180" s="9">
        <v>179</v>
      </c>
      <c r="B180" s="19">
        <v>44491.47179398148</v>
      </c>
      <c r="C180" s="11" t="s">
        <v>190</v>
      </c>
      <c r="D180" s="12">
        <v>404528.82</v>
      </c>
      <c r="E180" s="12">
        <v>0</v>
      </c>
      <c r="F180" s="11">
        <v>0</v>
      </c>
      <c r="G180" s="11">
        <v>332.57</v>
      </c>
      <c r="H180" s="12">
        <v>294486.7</v>
      </c>
      <c r="I180" s="12">
        <v>103070.34</v>
      </c>
      <c r="J180" s="12">
        <v>3976</v>
      </c>
      <c r="K180" s="12">
        <v>401533.04</v>
      </c>
      <c r="L180" s="13">
        <v>2995.78</v>
      </c>
    </row>
    <row r="181" spans="1:12" ht="18" customHeight="1" x14ac:dyDescent="0.3">
      <c r="A181" s="9">
        <v>180</v>
      </c>
      <c r="B181" s="19">
        <v>44494.976319444446</v>
      </c>
      <c r="C181" s="11" t="s">
        <v>191</v>
      </c>
      <c r="D181" s="12">
        <v>2995.78</v>
      </c>
      <c r="E181" s="12">
        <v>340000</v>
      </c>
      <c r="F181" s="11">
        <v>0</v>
      </c>
      <c r="G181" s="11">
        <v>0</v>
      </c>
      <c r="H181" s="12">
        <v>0</v>
      </c>
      <c r="I181" s="12">
        <v>0</v>
      </c>
      <c r="J181" s="12">
        <v>0</v>
      </c>
      <c r="K181" s="12">
        <v>0</v>
      </c>
      <c r="L181" s="13">
        <v>342995.78</v>
      </c>
    </row>
    <row r="182" spans="1:12" ht="18" customHeight="1" x14ac:dyDescent="0.3">
      <c r="A182" s="9">
        <v>181</v>
      </c>
      <c r="B182" s="19">
        <v>44495.43482638889</v>
      </c>
      <c r="C182" s="11" t="s">
        <v>192</v>
      </c>
      <c r="D182" s="12">
        <v>342995.78</v>
      </c>
      <c r="E182" s="12">
        <v>0</v>
      </c>
      <c r="F182" s="11">
        <v>0</v>
      </c>
      <c r="G182" s="11">
        <v>263.54000000000002</v>
      </c>
      <c r="H182" s="12">
        <v>228769.85</v>
      </c>
      <c r="I182" s="12">
        <v>80069.45</v>
      </c>
      <c r="J182" s="12">
        <v>3088</v>
      </c>
      <c r="K182" s="12">
        <v>311927.3</v>
      </c>
      <c r="L182" s="13">
        <v>31068.48</v>
      </c>
    </row>
    <row r="183" spans="1:12" ht="18" customHeight="1" x14ac:dyDescent="0.3">
      <c r="A183" s="9">
        <v>182</v>
      </c>
      <c r="B183" s="19">
        <v>44495.435428240744</v>
      </c>
      <c r="C183" s="11" t="s">
        <v>193</v>
      </c>
      <c r="D183" s="12">
        <v>31068.48</v>
      </c>
      <c r="E183" s="12">
        <v>0</v>
      </c>
      <c r="F183" s="11">
        <v>109.2</v>
      </c>
      <c r="G183" s="11">
        <v>0</v>
      </c>
      <c r="H183" s="12">
        <v>19047.599999999999</v>
      </c>
      <c r="I183" s="12">
        <v>6666.66</v>
      </c>
      <c r="J183" s="12">
        <v>257</v>
      </c>
      <c r="K183" s="12">
        <v>25971.26</v>
      </c>
      <c r="L183" s="13">
        <v>5097.22</v>
      </c>
    </row>
    <row r="184" spans="1:12" ht="18" customHeight="1" x14ac:dyDescent="0.3">
      <c r="A184" s="9">
        <v>183</v>
      </c>
      <c r="B184" s="19">
        <v>44501.925347222219</v>
      </c>
      <c r="C184" s="11" t="s">
        <v>194</v>
      </c>
      <c r="D184" s="12">
        <v>5097.22</v>
      </c>
      <c r="E184" s="12">
        <v>450000</v>
      </c>
      <c r="F184" s="11">
        <v>0</v>
      </c>
      <c r="G184" s="11">
        <v>0</v>
      </c>
      <c r="H184" s="12">
        <v>0</v>
      </c>
      <c r="I184" s="12">
        <v>0</v>
      </c>
      <c r="J184" s="12">
        <v>0</v>
      </c>
      <c r="K184" s="12">
        <v>0</v>
      </c>
      <c r="L184" s="13">
        <v>455097.22</v>
      </c>
    </row>
    <row r="185" spans="1:12" ht="18" customHeight="1" x14ac:dyDescent="0.3">
      <c r="A185" s="9">
        <v>184</v>
      </c>
      <c r="B185" s="19">
        <v>44502.430046296293</v>
      </c>
      <c r="C185" s="11" t="s">
        <v>195</v>
      </c>
      <c r="D185" s="12">
        <v>455097.22</v>
      </c>
      <c r="E185" s="12">
        <v>0</v>
      </c>
      <c r="F185" s="11">
        <v>0</v>
      </c>
      <c r="G185" s="11">
        <v>365.38</v>
      </c>
      <c r="H185" s="12">
        <v>332004.02</v>
      </c>
      <c r="I185" s="12">
        <v>116201.41</v>
      </c>
      <c r="J185" s="12">
        <v>4482</v>
      </c>
      <c r="K185" s="12">
        <v>452687.43</v>
      </c>
      <c r="L185" s="13">
        <v>2409.79</v>
      </c>
    </row>
    <row r="186" spans="1:12" ht="18" customHeight="1" x14ac:dyDescent="0.3">
      <c r="A186" s="9">
        <v>185</v>
      </c>
      <c r="B186" s="19">
        <v>44506.00136574074</v>
      </c>
      <c r="C186" s="11" t="s">
        <v>196</v>
      </c>
      <c r="D186" s="12">
        <v>2409.79</v>
      </c>
      <c r="E186" s="12">
        <v>450000</v>
      </c>
      <c r="F186" s="11">
        <v>0</v>
      </c>
      <c r="G186" s="11">
        <v>0</v>
      </c>
      <c r="H186" s="12">
        <v>0</v>
      </c>
      <c r="I186" s="12">
        <v>0</v>
      </c>
      <c r="J186" s="12">
        <v>0</v>
      </c>
      <c r="K186" s="12">
        <v>0</v>
      </c>
      <c r="L186" s="13">
        <v>452409.79</v>
      </c>
    </row>
    <row r="187" spans="1:12" ht="18" customHeight="1" x14ac:dyDescent="0.3">
      <c r="A187" s="9">
        <v>186</v>
      </c>
      <c r="B187" s="19">
        <v>44506.441666666666</v>
      </c>
      <c r="C187" s="11" t="s">
        <v>197</v>
      </c>
      <c r="D187" s="12">
        <v>452409.79</v>
      </c>
      <c r="E187" s="12">
        <v>0</v>
      </c>
      <c r="F187" s="11">
        <v>355.2</v>
      </c>
      <c r="G187" s="11">
        <v>0</v>
      </c>
      <c r="H187" s="12">
        <v>56269.8</v>
      </c>
      <c r="I187" s="12">
        <v>19694.43</v>
      </c>
      <c r="J187" s="12">
        <v>760</v>
      </c>
      <c r="K187" s="12">
        <v>76724.23</v>
      </c>
      <c r="L187" s="13">
        <v>375685.56</v>
      </c>
    </row>
    <row r="188" spans="1:12" ht="18" customHeight="1" x14ac:dyDescent="0.3">
      <c r="A188" s="9">
        <v>187</v>
      </c>
      <c r="B188" s="19">
        <v>44506.501319444447</v>
      </c>
      <c r="C188" s="11" t="s">
        <v>198</v>
      </c>
      <c r="D188" s="12">
        <v>375685.56</v>
      </c>
      <c r="E188" s="12">
        <v>0</v>
      </c>
      <c r="F188" s="11">
        <v>0</v>
      </c>
      <c r="G188" s="11">
        <v>328.32</v>
      </c>
      <c r="H188" s="12">
        <v>271111.09999999998</v>
      </c>
      <c r="I188" s="12">
        <v>94888.89</v>
      </c>
      <c r="J188" s="12">
        <v>3660</v>
      </c>
      <c r="K188" s="12">
        <v>369659.99</v>
      </c>
      <c r="L188" s="13">
        <v>6025.57</v>
      </c>
    </row>
    <row r="189" spans="1:12" ht="18" customHeight="1" x14ac:dyDescent="0.3">
      <c r="A189" s="9">
        <v>188</v>
      </c>
      <c r="B189" s="19">
        <v>44509.497118055559</v>
      </c>
      <c r="C189" s="11" t="s">
        <v>199</v>
      </c>
      <c r="D189" s="12">
        <v>6025.57</v>
      </c>
      <c r="E189" s="12">
        <v>10000</v>
      </c>
      <c r="F189" s="11">
        <v>0</v>
      </c>
      <c r="G189" s="11">
        <v>0</v>
      </c>
      <c r="H189" s="12">
        <v>0</v>
      </c>
      <c r="I189" s="12">
        <v>0</v>
      </c>
      <c r="J189" s="12">
        <v>0</v>
      </c>
      <c r="K189" s="12">
        <v>0</v>
      </c>
      <c r="L189" s="13">
        <v>16025.57</v>
      </c>
    </row>
    <row r="190" spans="1:12" ht="18" customHeight="1" x14ac:dyDescent="0.3">
      <c r="A190" s="9">
        <v>189</v>
      </c>
      <c r="B190" s="19">
        <v>44511.209270833337</v>
      </c>
      <c r="C190" s="11" t="s">
        <v>200</v>
      </c>
      <c r="D190" s="12">
        <v>16025.57</v>
      </c>
      <c r="E190" s="12">
        <v>430000</v>
      </c>
      <c r="F190" s="11">
        <v>0</v>
      </c>
      <c r="G190" s="11">
        <v>0</v>
      </c>
      <c r="H190" s="12">
        <v>0</v>
      </c>
      <c r="I190" s="12">
        <v>0</v>
      </c>
      <c r="J190" s="12">
        <v>0</v>
      </c>
      <c r="K190" s="12">
        <v>0</v>
      </c>
      <c r="L190" s="13">
        <v>446025.57</v>
      </c>
    </row>
    <row r="191" spans="1:12" ht="18" customHeight="1" x14ac:dyDescent="0.3">
      <c r="A191" s="9">
        <v>190</v>
      </c>
      <c r="B191" s="19">
        <v>44511.47625</v>
      </c>
      <c r="C191" s="11" t="s">
        <v>201</v>
      </c>
      <c r="D191" s="12">
        <v>446025.57</v>
      </c>
      <c r="E191" s="12">
        <v>0</v>
      </c>
      <c r="F191" s="11">
        <v>0</v>
      </c>
      <c r="G191" s="11">
        <v>352.16</v>
      </c>
      <c r="H191" s="12">
        <v>311486.90000000002</v>
      </c>
      <c r="I191" s="12">
        <v>109020.42</v>
      </c>
      <c r="J191" s="12">
        <v>4205</v>
      </c>
      <c r="K191" s="12">
        <v>424712.32</v>
      </c>
      <c r="L191" s="13">
        <v>21313.25</v>
      </c>
    </row>
    <row r="192" spans="1:12" ht="18" customHeight="1" x14ac:dyDescent="0.3">
      <c r="A192" s="9">
        <v>191</v>
      </c>
      <c r="B192" s="19">
        <v>44511.476782407408</v>
      </c>
      <c r="C192" s="11" t="s">
        <v>202</v>
      </c>
      <c r="D192" s="12">
        <v>21313.25</v>
      </c>
      <c r="E192" s="12">
        <v>0</v>
      </c>
      <c r="F192" s="11">
        <v>93.6</v>
      </c>
      <c r="G192" s="11">
        <v>0</v>
      </c>
      <c r="H192" s="12">
        <v>15079.41</v>
      </c>
      <c r="I192" s="12">
        <v>5277.79</v>
      </c>
      <c r="J192" s="12">
        <v>204</v>
      </c>
      <c r="K192" s="12">
        <v>20561.2</v>
      </c>
      <c r="L192" s="13">
        <v>752.05</v>
      </c>
    </row>
    <row r="193" spans="1:12" ht="18" customHeight="1" x14ac:dyDescent="0.3">
      <c r="A193" s="9">
        <v>192</v>
      </c>
      <c r="B193" s="19">
        <v>44516.23746527778</v>
      </c>
      <c r="C193" s="11" t="s">
        <v>203</v>
      </c>
      <c r="D193" s="12">
        <v>752.05</v>
      </c>
      <c r="E193" s="12">
        <v>380000</v>
      </c>
      <c r="F193" s="11">
        <v>0</v>
      </c>
      <c r="G193" s="11">
        <v>0</v>
      </c>
      <c r="H193" s="12">
        <v>0</v>
      </c>
      <c r="I193" s="12">
        <v>0</v>
      </c>
      <c r="J193" s="12">
        <v>0</v>
      </c>
      <c r="K193" s="12">
        <v>0</v>
      </c>
      <c r="L193" s="13">
        <v>380752.05</v>
      </c>
    </row>
    <row r="194" spans="1:12" ht="18" customHeight="1" x14ac:dyDescent="0.3">
      <c r="A194" s="9">
        <v>193</v>
      </c>
      <c r="B194" s="19">
        <v>44516.481226851851</v>
      </c>
      <c r="C194" s="11" t="s">
        <v>204</v>
      </c>
      <c r="D194" s="12">
        <v>380752.05</v>
      </c>
      <c r="E194" s="12">
        <v>0</v>
      </c>
      <c r="F194" s="11">
        <v>0</v>
      </c>
      <c r="G194" s="11">
        <v>321.98</v>
      </c>
      <c r="H194" s="12">
        <v>267023.87</v>
      </c>
      <c r="I194" s="12">
        <v>93458.39</v>
      </c>
      <c r="J194" s="12">
        <v>3605</v>
      </c>
      <c r="K194" s="12">
        <v>364087.26</v>
      </c>
      <c r="L194" s="13">
        <v>16664.79</v>
      </c>
    </row>
    <row r="195" spans="1:12" ht="18" customHeight="1" x14ac:dyDescent="0.3">
      <c r="A195" s="9">
        <v>194</v>
      </c>
      <c r="B195" s="19">
        <v>44516.481608796297</v>
      </c>
      <c r="C195" s="11" t="s">
        <v>205</v>
      </c>
      <c r="D195" s="12">
        <v>16664.79</v>
      </c>
      <c r="E195" s="12">
        <v>0</v>
      </c>
      <c r="F195" s="11">
        <v>78</v>
      </c>
      <c r="G195" s="11">
        <v>0</v>
      </c>
      <c r="H195" s="12">
        <v>11111.1</v>
      </c>
      <c r="I195" s="12">
        <v>3888.89</v>
      </c>
      <c r="J195" s="12">
        <v>150</v>
      </c>
      <c r="K195" s="12">
        <v>15149.99</v>
      </c>
      <c r="L195" s="13">
        <v>1514.8</v>
      </c>
    </row>
    <row r="196" spans="1:12" ht="18" customHeight="1" x14ac:dyDescent="0.3">
      <c r="A196" s="9">
        <v>195</v>
      </c>
      <c r="B196" s="19">
        <v>44520.280509259261</v>
      </c>
      <c r="C196" s="11" t="s">
        <v>206</v>
      </c>
      <c r="D196" s="12">
        <v>1514.8</v>
      </c>
      <c r="E196" s="12">
        <v>380000</v>
      </c>
      <c r="F196" s="11">
        <v>0</v>
      </c>
      <c r="G196" s="11">
        <v>0</v>
      </c>
      <c r="H196" s="12">
        <v>0</v>
      </c>
      <c r="I196" s="12">
        <v>0</v>
      </c>
      <c r="J196" s="12">
        <v>0</v>
      </c>
      <c r="K196" s="12">
        <v>0</v>
      </c>
      <c r="L196" s="13">
        <v>381514.8</v>
      </c>
    </row>
    <row r="197" spans="1:12" ht="18" customHeight="1" x14ac:dyDescent="0.3">
      <c r="A197" s="9">
        <v>196</v>
      </c>
      <c r="B197" s="19">
        <v>44520.481319444443</v>
      </c>
      <c r="C197" s="11" t="s">
        <v>207</v>
      </c>
      <c r="D197" s="12">
        <v>381514.8</v>
      </c>
      <c r="E197" s="12">
        <v>0</v>
      </c>
      <c r="F197" s="11">
        <v>82.2</v>
      </c>
      <c r="G197" s="11">
        <v>0</v>
      </c>
      <c r="H197" s="12">
        <v>15714.3</v>
      </c>
      <c r="I197" s="12">
        <v>5500.01</v>
      </c>
      <c r="J197" s="12">
        <v>212</v>
      </c>
      <c r="K197" s="12">
        <v>21426.31</v>
      </c>
      <c r="L197" s="13">
        <v>360088.49</v>
      </c>
    </row>
    <row r="198" spans="1:12" ht="18" customHeight="1" x14ac:dyDescent="0.3">
      <c r="A198" s="9">
        <v>197</v>
      </c>
      <c r="B198" s="19">
        <v>44520.48228009259</v>
      </c>
      <c r="C198" s="11" t="s">
        <v>208</v>
      </c>
      <c r="D198" s="12">
        <v>360088.49</v>
      </c>
      <c r="E198" s="12">
        <v>0</v>
      </c>
      <c r="F198" s="11">
        <v>0</v>
      </c>
      <c r="G198" s="11">
        <v>299.02999999999997</v>
      </c>
      <c r="H198" s="12">
        <v>263710.42</v>
      </c>
      <c r="I198" s="12">
        <v>92298.65</v>
      </c>
      <c r="J198" s="12">
        <v>3560</v>
      </c>
      <c r="K198" s="12">
        <v>359569.07</v>
      </c>
      <c r="L198" s="13">
        <v>519.41999999999996</v>
      </c>
    </row>
    <row r="199" spans="1:12" ht="18" customHeight="1" x14ac:dyDescent="0.3">
      <c r="A199" s="9">
        <v>198</v>
      </c>
      <c r="B199" s="19">
        <v>44524.012303240743</v>
      </c>
      <c r="C199" s="11" t="s">
        <v>209</v>
      </c>
      <c r="D199" s="12">
        <v>519.41999999999996</v>
      </c>
      <c r="E199" s="12">
        <v>365000</v>
      </c>
      <c r="F199" s="11">
        <v>0</v>
      </c>
      <c r="G199" s="11">
        <v>0</v>
      </c>
      <c r="H199" s="12">
        <v>0</v>
      </c>
      <c r="I199" s="12">
        <v>0</v>
      </c>
      <c r="J199" s="12">
        <v>0</v>
      </c>
      <c r="K199" s="12">
        <v>0</v>
      </c>
      <c r="L199" s="13">
        <v>365519.42</v>
      </c>
    </row>
    <row r="200" spans="1:12" ht="18" customHeight="1" x14ac:dyDescent="0.3">
      <c r="A200" s="9">
        <v>199</v>
      </c>
      <c r="B200" s="19">
        <v>44524.469849537039</v>
      </c>
      <c r="C200" s="11" t="s">
        <v>210</v>
      </c>
      <c r="D200" s="12">
        <v>365519.42</v>
      </c>
      <c r="E200" s="12">
        <v>0</v>
      </c>
      <c r="F200" s="11">
        <v>0</v>
      </c>
      <c r="G200" s="11">
        <v>274.64</v>
      </c>
      <c r="H200" s="12">
        <v>230912.76</v>
      </c>
      <c r="I200" s="12">
        <v>80819.460000000006</v>
      </c>
      <c r="J200" s="12">
        <v>3117</v>
      </c>
      <c r="K200" s="12">
        <v>314849.21999999997</v>
      </c>
      <c r="L200" s="13">
        <v>50670.2</v>
      </c>
    </row>
    <row r="201" spans="1:12" ht="18" customHeight="1" x14ac:dyDescent="0.3">
      <c r="A201" s="9">
        <v>200</v>
      </c>
      <c r="B201" s="19">
        <v>44524.488506944443</v>
      </c>
      <c r="C201" s="11" t="s">
        <v>211</v>
      </c>
      <c r="D201" s="12">
        <v>50670.2</v>
      </c>
      <c r="E201" s="12">
        <v>0</v>
      </c>
      <c r="F201" s="11">
        <v>223.2</v>
      </c>
      <c r="G201" s="11">
        <v>0</v>
      </c>
      <c r="H201" s="12">
        <v>36111.11</v>
      </c>
      <c r="I201" s="12">
        <v>12638.89</v>
      </c>
      <c r="J201" s="12">
        <v>488</v>
      </c>
      <c r="K201" s="12">
        <v>49238</v>
      </c>
      <c r="L201" s="13">
        <v>1432.2</v>
      </c>
    </row>
    <row r="202" spans="1:12" ht="18" customHeight="1" x14ac:dyDescent="0.3">
      <c r="A202" s="9">
        <v>201</v>
      </c>
      <c r="B202" s="19">
        <v>44527.259814814817</v>
      </c>
      <c r="C202" s="11" t="s">
        <v>212</v>
      </c>
      <c r="D202" s="12">
        <v>1432.2</v>
      </c>
      <c r="E202" s="12">
        <v>315000</v>
      </c>
      <c r="F202" s="11">
        <v>0</v>
      </c>
      <c r="G202" s="11">
        <v>0</v>
      </c>
      <c r="H202" s="12">
        <v>0</v>
      </c>
      <c r="I202" s="12">
        <v>0</v>
      </c>
      <c r="J202" s="12">
        <v>0</v>
      </c>
      <c r="K202" s="12">
        <v>0</v>
      </c>
      <c r="L202" s="13">
        <v>316432.2</v>
      </c>
    </row>
    <row r="203" spans="1:12" ht="18" customHeight="1" x14ac:dyDescent="0.3">
      <c r="A203" s="9">
        <v>202</v>
      </c>
      <c r="B203" s="19">
        <v>44527.463819444441</v>
      </c>
      <c r="C203" s="11" t="s">
        <v>213</v>
      </c>
      <c r="D203" s="12">
        <v>316432.2</v>
      </c>
      <c r="E203" s="12">
        <v>0</v>
      </c>
      <c r="F203" s="11">
        <v>0</v>
      </c>
      <c r="G203" s="11">
        <v>281.08999999999997</v>
      </c>
      <c r="H203" s="12">
        <v>231388.96</v>
      </c>
      <c r="I203" s="12">
        <v>80986.17</v>
      </c>
      <c r="J203" s="12">
        <v>3124</v>
      </c>
      <c r="K203" s="12">
        <v>315499.13</v>
      </c>
      <c r="L203" s="13">
        <v>933.07</v>
      </c>
    </row>
    <row r="204" spans="1:12" ht="18" customHeight="1" x14ac:dyDescent="0.3">
      <c r="A204" s="9">
        <v>203</v>
      </c>
      <c r="B204" s="19">
        <v>44530.254988425928</v>
      </c>
      <c r="C204" s="11" t="s">
        <v>214</v>
      </c>
      <c r="D204" s="12">
        <v>933.07</v>
      </c>
      <c r="E204" s="12">
        <v>300000</v>
      </c>
      <c r="F204" s="11">
        <v>0</v>
      </c>
      <c r="G204" s="11">
        <v>0</v>
      </c>
      <c r="H204" s="12">
        <v>0</v>
      </c>
      <c r="I204" s="12">
        <v>0</v>
      </c>
      <c r="J204" s="12">
        <v>0</v>
      </c>
      <c r="K204" s="12">
        <v>0</v>
      </c>
      <c r="L204" s="13">
        <v>300933.07</v>
      </c>
    </row>
    <row r="205" spans="1:12" ht="18" customHeight="1" x14ac:dyDescent="0.3">
      <c r="A205" s="9">
        <v>204</v>
      </c>
      <c r="B205" s="19">
        <v>44530.461643518516</v>
      </c>
      <c r="C205" s="11" t="s">
        <v>215</v>
      </c>
      <c r="D205" s="12">
        <v>300933.07</v>
      </c>
      <c r="E205" s="12">
        <v>0</v>
      </c>
      <c r="F205" s="11">
        <v>282.60000000000002</v>
      </c>
      <c r="G205" s="11">
        <v>0</v>
      </c>
      <c r="H205" s="12">
        <v>44047.61</v>
      </c>
      <c r="I205" s="12">
        <v>15416.66</v>
      </c>
      <c r="J205" s="12">
        <v>595</v>
      </c>
      <c r="K205" s="12">
        <v>60059.27</v>
      </c>
      <c r="L205" s="13">
        <v>240873.8</v>
      </c>
    </row>
    <row r="206" spans="1:12" ht="18" customHeight="1" x14ac:dyDescent="0.3">
      <c r="A206" s="9">
        <v>205</v>
      </c>
      <c r="B206" s="19">
        <v>44530.47351851852</v>
      </c>
      <c r="C206" s="11" t="s">
        <v>216</v>
      </c>
      <c r="D206" s="12">
        <v>240873.8</v>
      </c>
      <c r="E206" s="12">
        <v>0</v>
      </c>
      <c r="F206" s="11">
        <v>0</v>
      </c>
      <c r="G206" s="11">
        <v>204.1</v>
      </c>
      <c r="H206" s="12">
        <v>176461.68</v>
      </c>
      <c r="I206" s="12">
        <v>61761.62</v>
      </c>
      <c r="J206" s="12">
        <v>2382</v>
      </c>
      <c r="K206" s="12">
        <v>240605.3</v>
      </c>
      <c r="L206" s="13">
        <v>268.5</v>
      </c>
    </row>
    <row r="207" spans="1:12" ht="18" customHeight="1" x14ac:dyDescent="0.3">
      <c r="A207" s="9">
        <v>206</v>
      </c>
      <c r="B207" s="19">
        <v>44536.162349537037</v>
      </c>
      <c r="C207" s="11" t="s">
        <v>217</v>
      </c>
      <c r="D207" s="12">
        <v>268.5</v>
      </c>
      <c r="E207" s="12">
        <v>490000</v>
      </c>
      <c r="F207" s="11">
        <v>0</v>
      </c>
      <c r="G207" s="11">
        <v>0</v>
      </c>
      <c r="H207" s="12">
        <v>0</v>
      </c>
      <c r="I207" s="12">
        <v>0</v>
      </c>
      <c r="J207" s="12">
        <v>0</v>
      </c>
      <c r="K207" s="12">
        <v>0</v>
      </c>
      <c r="L207" s="13">
        <v>490268.5</v>
      </c>
    </row>
    <row r="208" spans="1:12" ht="18" customHeight="1" x14ac:dyDescent="0.3">
      <c r="A208" s="9">
        <v>207</v>
      </c>
      <c r="B208" s="19">
        <v>44536.471875000003</v>
      </c>
      <c r="C208" s="11" t="s">
        <v>218</v>
      </c>
      <c r="D208" s="12">
        <v>490268.5</v>
      </c>
      <c r="E208" s="12">
        <v>0</v>
      </c>
      <c r="F208" s="11">
        <v>0</v>
      </c>
      <c r="G208" s="11">
        <v>423.18</v>
      </c>
      <c r="H208" s="12">
        <v>356899.6</v>
      </c>
      <c r="I208" s="12">
        <v>124914.9</v>
      </c>
      <c r="J208" s="12">
        <v>4818</v>
      </c>
      <c r="K208" s="12">
        <v>486632.5</v>
      </c>
      <c r="L208" s="13">
        <v>3636</v>
      </c>
    </row>
    <row r="209" spans="1:12" ht="18" customHeight="1" x14ac:dyDescent="0.3">
      <c r="A209" s="9">
        <v>208</v>
      </c>
      <c r="B209" s="19">
        <v>44540.259398148148</v>
      </c>
      <c r="C209" s="11" t="s">
        <v>219</v>
      </c>
      <c r="D209" s="12">
        <v>3636</v>
      </c>
      <c r="E209" s="12">
        <v>345000</v>
      </c>
      <c r="F209" s="11">
        <v>0</v>
      </c>
      <c r="G209" s="11">
        <v>0</v>
      </c>
      <c r="H209" s="12">
        <v>0</v>
      </c>
      <c r="I209" s="12">
        <v>0</v>
      </c>
      <c r="J209" s="12">
        <v>0</v>
      </c>
      <c r="K209" s="12">
        <v>0</v>
      </c>
      <c r="L209" s="13">
        <v>348636</v>
      </c>
    </row>
    <row r="210" spans="1:12" ht="18" customHeight="1" x14ac:dyDescent="0.3">
      <c r="A210" s="9">
        <v>209</v>
      </c>
      <c r="B210" s="19">
        <v>44540.468819444446</v>
      </c>
      <c r="C210" s="11" t="s">
        <v>220</v>
      </c>
      <c r="D210" s="12">
        <v>348636</v>
      </c>
      <c r="E210" s="12">
        <v>0</v>
      </c>
      <c r="F210" s="11">
        <v>206.4</v>
      </c>
      <c r="G210" s="11">
        <v>0</v>
      </c>
      <c r="H210" s="12">
        <v>33809.5</v>
      </c>
      <c r="I210" s="12">
        <v>11833.33</v>
      </c>
      <c r="J210" s="12">
        <v>456</v>
      </c>
      <c r="K210" s="12">
        <v>46098.83</v>
      </c>
      <c r="L210" s="13">
        <v>302537.17</v>
      </c>
    </row>
    <row r="211" spans="1:12" ht="18" customHeight="1" x14ac:dyDescent="0.3">
      <c r="A211" s="9">
        <v>210</v>
      </c>
      <c r="B211" s="19">
        <v>44540.469513888886</v>
      </c>
      <c r="C211" s="11" t="s">
        <v>221</v>
      </c>
      <c r="D211" s="12">
        <v>302537.17</v>
      </c>
      <c r="E211" s="12">
        <v>0</v>
      </c>
      <c r="F211" s="11">
        <v>0</v>
      </c>
      <c r="G211" s="11">
        <v>221.6</v>
      </c>
      <c r="H211" s="12">
        <v>221131.04</v>
      </c>
      <c r="I211" s="12">
        <v>77395.88</v>
      </c>
      <c r="J211" s="12">
        <v>2985</v>
      </c>
      <c r="K211" s="12">
        <v>301511.92</v>
      </c>
      <c r="L211" s="13">
        <v>1025.25</v>
      </c>
    </row>
    <row r="212" spans="1:12" ht="18" customHeight="1" x14ac:dyDescent="0.3">
      <c r="A212" s="9">
        <v>211</v>
      </c>
      <c r="B212" s="19">
        <v>44543.249189814815</v>
      </c>
      <c r="C212" s="11" t="s">
        <v>222</v>
      </c>
      <c r="D212" s="12">
        <v>1025.25</v>
      </c>
      <c r="E212" s="12">
        <v>360000</v>
      </c>
      <c r="F212" s="11">
        <v>0</v>
      </c>
      <c r="G212" s="11">
        <v>0</v>
      </c>
      <c r="H212" s="12">
        <v>0</v>
      </c>
      <c r="I212" s="12">
        <v>0</v>
      </c>
      <c r="J212" s="12">
        <v>0</v>
      </c>
      <c r="K212" s="12">
        <v>0</v>
      </c>
      <c r="L212" s="13">
        <v>361025.25</v>
      </c>
    </row>
    <row r="213" spans="1:12" ht="18" customHeight="1" x14ac:dyDescent="0.3">
      <c r="A213" s="9">
        <v>212</v>
      </c>
      <c r="B213" s="19">
        <v>44543.419317129628</v>
      </c>
      <c r="C213" s="11" t="s">
        <v>223</v>
      </c>
      <c r="D213" s="12">
        <v>361025.25</v>
      </c>
      <c r="E213" s="12">
        <v>70000</v>
      </c>
      <c r="F213" s="11">
        <v>0</v>
      </c>
      <c r="G213" s="11">
        <v>0</v>
      </c>
      <c r="H213" s="12">
        <v>0</v>
      </c>
      <c r="I213" s="12">
        <v>0</v>
      </c>
      <c r="J213" s="12">
        <v>0</v>
      </c>
      <c r="K213" s="12">
        <v>0</v>
      </c>
      <c r="L213" s="13">
        <v>431025.25</v>
      </c>
    </row>
    <row r="214" spans="1:12" ht="18" customHeight="1" x14ac:dyDescent="0.3">
      <c r="A214" s="9">
        <v>213</v>
      </c>
      <c r="B214" s="19">
        <v>44543.510057870371</v>
      </c>
      <c r="C214" s="11" t="s">
        <v>224</v>
      </c>
      <c r="D214" s="12">
        <v>431025.25</v>
      </c>
      <c r="E214" s="12">
        <v>0</v>
      </c>
      <c r="F214" s="11">
        <v>0</v>
      </c>
      <c r="G214" s="11">
        <v>369.66</v>
      </c>
      <c r="H214" s="12">
        <v>315773.94</v>
      </c>
      <c r="I214" s="12">
        <v>110520.88</v>
      </c>
      <c r="J214" s="12">
        <v>4263</v>
      </c>
      <c r="K214" s="12">
        <v>430557.82</v>
      </c>
      <c r="L214" s="13">
        <v>467.43</v>
      </c>
    </row>
    <row r="215" spans="1:12" ht="18" customHeight="1" x14ac:dyDescent="0.3">
      <c r="A215" s="9">
        <v>214</v>
      </c>
      <c r="B215" s="19">
        <v>44546.250601851854</v>
      </c>
      <c r="C215" s="11" t="s">
        <v>225</v>
      </c>
      <c r="D215" s="12">
        <v>467.43</v>
      </c>
      <c r="E215" s="12">
        <v>460000</v>
      </c>
      <c r="F215" s="11">
        <v>0</v>
      </c>
      <c r="G215" s="11">
        <v>0</v>
      </c>
      <c r="H215" s="12">
        <v>0</v>
      </c>
      <c r="I215" s="12">
        <v>0</v>
      </c>
      <c r="J215" s="12">
        <v>0</v>
      </c>
      <c r="K215" s="12">
        <v>0</v>
      </c>
      <c r="L215" s="13">
        <v>460467.43</v>
      </c>
    </row>
    <row r="216" spans="1:12" ht="18" customHeight="1" x14ac:dyDescent="0.3">
      <c r="A216" s="9">
        <v>215</v>
      </c>
      <c r="B216" s="19">
        <v>44546.470092592594</v>
      </c>
      <c r="C216" s="11" t="s">
        <v>226</v>
      </c>
      <c r="D216" s="12">
        <v>460467.43</v>
      </c>
      <c r="E216" s="12">
        <v>0</v>
      </c>
      <c r="F216" s="11">
        <v>0</v>
      </c>
      <c r="G216" s="11">
        <v>316.76</v>
      </c>
      <c r="H216" s="12">
        <v>278683.94</v>
      </c>
      <c r="I216" s="12">
        <v>97539.38</v>
      </c>
      <c r="J216" s="12">
        <v>3762</v>
      </c>
      <c r="K216" s="12">
        <v>379985.32</v>
      </c>
      <c r="L216" s="13">
        <v>80482.11</v>
      </c>
    </row>
    <row r="217" spans="1:12" ht="18" customHeight="1" x14ac:dyDescent="0.3">
      <c r="A217" s="9">
        <v>216</v>
      </c>
      <c r="B217" s="19">
        <v>44546.50503472222</v>
      </c>
      <c r="C217" s="11" t="s">
        <v>227</v>
      </c>
      <c r="D217" s="12">
        <v>80482.11</v>
      </c>
      <c r="E217" s="12">
        <v>0</v>
      </c>
      <c r="F217" s="11">
        <v>358.8</v>
      </c>
      <c r="G217" s="11">
        <v>0</v>
      </c>
      <c r="H217" s="12">
        <v>58095.199999999997</v>
      </c>
      <c r="I217" s="12">
        <v>20333.32</v>
      </c>
      <c r="J217" s="12">
        <v>784</v>
      </c>
      <c r="K217" s="12">
        <v>79212.52</v>
      </c>
      <c r="L217" s="13">
        <v>1269.5899999999999</v>
      </c>
    </row>
    <row r="218" spans="1:12" ht="18" customHeight="1" x14ac:dyDescent="0.3">
      <c r="A218" s="9">
        <v>217</v>
      </c>
      <c r="B218" s="19">
        <v>44550.214849537035</v>
      </c>
      <c r="C218" s="11" t="s">
        <v>228</v>
      </c>
      <c r="D218" s="12">
        <v>1269.5899999999999</v>
      </c>
      <c r="E218" s="12">
        <v>415000</v>
      </c>
      <c r="F218" s="11">
        <v>0</v>
      </c>
      <c r="G218" s="11">
        <v>0</v>
      </c>
      <c r="H218" s="12">
        <v>0</v>
      </c>
      <c r="I218" s="12">
        <v>0</v>
      </c>
      <c r="J218" s="12">
        <v>0</v>
      </c>
      <c r="K218" s="12">
        <v>0</v>
      </c>
      <c r="L218" s="13">
        <v>416269.59</v>
      </c>
    </row>
    <row r="219" spans="1:12" ht="18" customHeight="1" x14ac:dyDescent="0.3">
      <c r="A219" s="9">
        <v>218</v>
      </c>
      <c r="B219" s="19">
        <v>44550.49046296296</v>
      </c>
      <c r="C219" s="11" t="s">
        <v>229</v>
      </c>
      <c r="D219" s="12">
        <v>416269.59</v>
      </c>
      <c r="E219" s="12">
        <v>0</v>
      </c>
      <c r="F219" s="11">
        <v>0</v>
      </c>
      <c r="G219" s="11">
        <v>332.65</v>
      </c>
      <c r="H219" s="12">
        <v>305263.05</v>
      </c>
      <c r="I219" s="12">
        <v>106842.07</v>
      </c>
      <c r="J219" s="12">
        <v>4121</v>
      </c>
      <c r="K219" s="12">
        <v>416226.12</v>
      </c>
      <c r="L219" s="13">
        <v>43.47</v>
      </c>
    </row>
    <row r="220" spans="1:12" ht="18" customHeight="1" x14ac:dyDescent="0.3">
      <c r="A220" s="9">
        <v>219</v>
      </c>
      <c r="B220" s="19">
        <v>44553.478946759256</v>
      </c>
      <c r="C220" s="11" t="s">
        <v>230</v>
      </c>
      <c r="D220" s="12">
        <v>43.47</v>
      </c>
      <c r="E220" s="12">
        <v>450000</v>
      </c>
      <c r="F220" s="11">
        <v>0</v>
      </c>
      <c r="G220" s="11">
        <v>0</v>
      </c>
      <c r="H220" s="12">
        <v>0</v>
      </c>
      <c r="I220" s="12">
        <v>0</v>
      </c>
      <c r="J220" s="12">
        <v>0</v>
      </c>
      <c r="K220" s="12">
        <v>0</v>
      </c>
      <c r="L220" s="13">
        <v>450043.47</v>
      </c>
    </row>
    <row r="221" spans="1:12" ht="18" customHeight="1" x14ac:dyDescent="0.3">
      <c r="A221" s="9">
        <v>220</v>
      </c>
      <c r="B221" s="19">
        <v>44553.533726851849</v>
      </c>
      <c r="C221" s="11" t="s">
        <v>231</v>
      </c>
      <c r="D221" s="12">
        <v>450043.47</v>
      </c>
      <c r="E221" s="12">
        <v>0</v>
      </c>
      <c r="F221" s="11">
        <v>0</v>
      </c>
      <c r="G221" s="11">
        <v>389.93</v>
      </c>
      <c r="H221" s="12">
        <v>328505.43</v>
      </c>
      <c r="I221" s="12">
        <v>114976.9</v>
      </c>
      <c r="J221" s="12">
        <v>4435</v>
      </c>
      <c r="K221" s="12">
        <v>447917.33</v>
      </c>
      <c r="L221" s="13">
        <v>2126.14</v>
      </c>
    </row>
    <row r="222" spans="1:12" ht="18" customHeight="1" x14ac:dyDescent="0.3">
      <c r="A222" s="9">
        <v>221</v>
      </c>
      <c r="B222" s="19">
        <v>44556.995150462964</v>
      </c>
      <c r="C222" s="11" t="s">
        <v>232</v>
      </c>
      <c r="D222" s="12">
        <v>2126.14</v>
      </c>
      <c r="E222" s="12">
        <v>100000</v>
      </c>
      <c r="F222" s="11">
        <v>0</v>
      </c>
      <c r="G222" s="11">
        <v>0</v>
      </c>
      <c r="H222" s="12">
        <v>0</v>
      </c>
      <c r="I222" s="12">
        <v>0</v>
      </c>
      <c r="J222" s="12">
        <v>0</v>
      </c>
      <c r="K222" s="12">
        <v>0</v>
      </c>
      <c r="L222" s="13">
        <v>102126.14</v>
      </c>
    </row>
    <row r="223" spans="1:12" ht="18" customHeight="1" x14ac:dyDescent="0.3">
      <c r="A223" s="9">
        <v>222</v>
      </c>
      <c r="B223" s="19">
        <v>44556.997488425928</v>
      </c>
      <c r="C223" s="11" t="s">
        <v>233</v>
      </c>
      <c r="D223" s="12">
        <v>102126.14</v>
      </c>
      <c r="E223" s="12">
        <v>100000</v>
      </c>
      <c r="F223" s="11">
        <v>0</v>
      </c>
      <c r="G223" s="11">
        <v>0</v>
      </c>
      <c r="H223" s="12">
        <v>0</v>
      </c>
      <c r="I223" s="12">
        <v>0</v>
      </c>
      <c r="J223" s="12">
        <v>0</v>
      </c>
      <c r="K223" s="12">
        <v>0</v>
      </c>
      <c r="L223" s="13">
        <v>202126.14</v>
      </c>
    </row>
    <row r="224" spans="1:12" ht="18" customHeight="1" x14ac:dyDescent="0.3">
      <c r="A224" s="9">
        <v>223</v>
      </c>
      <c r="B224" s="19">
        <v>44557.000486111108</v>
      </c>
      <c r="C224" s="11" t="s">
        <v>234</v>
      </c>
      <c r="D224" s="12">
        <v>202126.14</v>
      </c>
      <c r="E224" s="12">
        <v>100000</v>
      </c>
      <c r="F224" s="11">
        <v>0</v>
      </c>
      <c r="G224" s="11">
        <v>0</v>
      </c>
      <c r="H224" s="12">
        <v>0</v>
      </c>
      <c r="I224" s="12">
        <v>0</v>
      </c>
      <c r="J224" s="12">
        <v>0</v>
      </c>
      <c r="K224" s="12">
        <v>0</v>
      </c>
      <c r="L224" s="13">
        <v>302126.14</v>
      </c>
    </row>
    <row r="225" spans="1:12" ht="18" customHeight="1" x14ac:dyDescent="0.3">
      <c r="A225" s="9">
        <v>224</v>
      </c>
      <c r="B225" s="19">
        <v>44557.002222222225</v>
      </c>
      <c r="C225" s="11" t="s">
        <v>235</v>
      </c>
      <c r="D225" s="12">
        <v>302126.14</v>
      </c>
      <c r="E225" s="12">
        <v>113000</v>
      </c>
      <c r="F225" s="11">
        <v>0</v>
      </c>
      <c r="G225" s="11">
        <v>0</v>
      </c>
      <c r="H225" s="12">
        <v>0</v>
      </c>
      <c r="I225" s="12">
        <v>0</v>
      </c>
      <c r="J225" s="12">
        <v>0</v>
      </c>
      <c r="K225" s="12">
        <v>0</v>
      </c>
      <c r="L225" s="13">
        <v>415126.14</v>
      </c>
    </row>
    <row r="226" spans="1:12" ht="18" customHeight="1" x14ac:dyDescent="0.3">
      <c r="A226" s="9">
        <v>225</v>
      </c>
      <c r="B226" s="19">
        <v>44557.489872685182</v>
      </c>
      <c r="C226" s="11" t="s">
        <v>236</v>
      </c>
      <c r="D226" s="12">
        <v>415126.14</v>
      </c>
      <c r="E226" s="12">
        <v>0</v>
      </c>
      <c r="F226" s="11">
        <v>0</v>
      </c>
      <c r="G226" s="11">
        <v>307.52999999999997</v>
      </c>
      <c r="H226" s="12">
        <v>255000.13</v>
      </c>
      <c r="I226" s="12">
        <v>89250.05</v>
      </c>
      <c r="J226" s="12">
        <v>3442</v>
      </c>
      <c r="K226" s="12">
        <v>347692.18</v>
      </c>
      <c r="L226" s="13">
        <v>67433.960000000006</v>
      </c>
    </row>
    <row r="227" spans="1:12" ht="18" customHeight="1" x14ac:dyDescent="0.3">
      <c r="A227" s="9">
        <v>226</v>
      </c>
      <c r="B227" s="19">
        <v>44557.492013888892</v>
      </c>
      <c r="C227" s="11" t="s">
        <v>237</v>
      </c>
      <c r="D227" s="12">
        <v>67433.960000000006</v>
      </c>
      <c r="E227" s="12">
        <v>0</v>
      </c>
      <c r="F227" s="11">
        <v>296.39999999999998</v>
      </c>
      <c r="G227" s="11">
        <v>0</v>
      </c>
      <c r="H227" s="12">
        <v>48888.88</v>
      </c>
      <c r="I227" s="12">
        <v>17111.13</v>
      </c>
      <c r="J227" s="12">
        <v>660</v>
      </c>
      <c r="K227" s="12">
        <v>66660.009999999995</v>
      </c>
      <c r="L227" s="13">
        <v>773.95</v>
      </c>
    </row>
    <row r="228" spans="1:12" ht="18" customHeight="1" x14ac:dyDescent="0.3">
      <c r="A228" s="9">
        <v>227</v>
      </c>
      <c r="B228" s="19">
        <v>44559.67664351852</v>
      </c>
      <c r="C228" s="11" t="s">
        <v>238</v>
      </c>
      <c r="D228" s="12">
        <v>773.95</v>
      </c>
      <c r="E228" s="12">
        <v>350000</v>
      </c>
      <c r="F228" s="11">
        <v>0</v>
      </c>
      <c r="G228" s="11">
        <v>0</v>
      </c>
      <c r="H228" s="12">
        <v>0</v>
      </c>
      <c r="I228" s="12">
        <v>0</v>
      </c>
      <c r="J228" s="12">
        <v>0</v>
      </c>
      <c r="K228" s="12">
        <v>0</v>
      </c>
      <c r="L228" s="13">
        <v>350773.95</v>
      </c>
    </row>
    <row r="229" spans="1:12" ht="18" customHeight="1" x14ac:dyDescent="0.3">
      <c r="A229" s="9">
        <v>228</v>
      </c>
      <c r="B229" s="19">
        <v>44561.482453703706</v>
      </c>
      <c r="C229" s="11" t="s">
        <v>239</v>
      </c>
      <c r="D229" s="12">
        <v>350773.95</v>
      </c>
      <c r="E229" s="12">
        <v>0</v>
      </c>
      <c r="F229" s="11">
        <v>0</v>
      </c>
      <c r="G229" s="11">
        <v>302.88</v>
      </c>
      <c r="H229" s="12">
        <v>257222.27</v>
      </c>
      <c r="I229" s="12">
        <v>90027.79</v>
      </c>
      <c r="J229" s="12">
        <v>3472</v>
      </c>
      <c r="K229" s="12">
        <v>350722.06</v>
      </c>
      <c r="L229" s="13">
        <v>51.89</v>
      </c>
    </row>
    <row r="230" spans="1:12" ht="18" customHeight="1" x14ac:dyDescent="0.3">
      <c r="A230" s="9">
        <v>229</v>
      </c>
      <c r="B230" s="19">
        <v>44561.921168981484</v>
      </c>
      <c r="C230" s="11" t="s">
        <v>240</v>
      </c>
      <c r="D230" s="12">
        <v>51.89</v>
      </c>
      <c r="E230" s="12">
        <v>340000</v>
      </c>
      <c r="F230" s="11">
        <v>0</v>
      </c>
      <c r="G230" s="11">
        <v>0</v>
      </c>
      <c r="H230" s="12">
        <v>0</v>
      </c>
      <c r="I230" s="12">
        <v>0</v>
      </c>
      <c r="J230" s="12">
        <v>0</v>
      </c>
      <c r="K230" s="12">
        <v>0</v>
      </c>
      <c r="L230" s="13">
        <v>340051.89</v>
      </c>
    </row>
    <row r="231" spans="1:12" ht="18" customHeight="1" x14ac:dyDescent="0.3">
      <c r="A231" s="9">
        <v>230</v>
      </c>
      <c r="B231" s="19">
        <v>44562.465312499997</v>
      </c>
      <c r="C231" s="11" t="s">
        <v>241</v>
      </c>
      <c r="D231" s="12">
        <v>340051.89</v>
      </c>
      <c r="E231" s="12">
        <v>0</v>
      </c>
      <c r="F231" s="11">
        <v>0</v>
      </c>
      <c r="G231" s="11">
        <v>283.8</v>
      </c>
      <c r="H231" s="12">
        <v>248492.16</v>
      </c>
      <c r="I231" s="12">
        <v>86972.26</v>
      </c>
      <c r="J231" s="12">
        <v>3355</v>
      </c>
      <c r="K231" s="12">
        <v>338819.42</v>
      </c>
      <c r="L231" s="13">
        <v>1232.47</v>
      </c>
    </row>
    <row r="232" spans="1:12" ht="18" customHeight="1" x14ac:dyDescent="0.3">
      <c r="A232" s="9">
        <v>231</v>
      </c>
      <c r="B232" s="19">
        <v>44565.769687499997</v>
      </c>
      <c r="C232" s="11" t="s">
        <v>242</v>
      </c>
      <c r="D232" s="12">
        <v>1232.47</v>
      </c>
      <c r="E232" s="12">
        <v>60000</v>
      </c>
      <c r="F232" s="11">
        <v>0</v>
      </c>
      <c r="G232" s="11">
        <v>0</v>
      </c>
      <c r="H232" s="12">
        <v>0</v>
      </c>
      <c r="I232" s="12">
        <v>0</v>
      </c>
      <c r="J232" s="12">
        <v>0</v>
      </c>
      <c r="K232" s="12">
        <v>0</v>
      </c>
      <c r="L232" s="13">
        <v>61232.47</v>
      </c>
    </row>
    <row r="233" spans="1:12" ht="18" customHeight="1" x14ac:dyDescent="0.3">
      <c r="A233" s="9">
        <v>232</v>
      </c>
      <c r="B233" s="19">
        <v>44566.453321759262</v>
      </c>
      <c r="C233" s="11" t="s">
        <v>243</v>
      </c>
      <c r="D233" s="12">
        <v>61232.47</v>
      </c>
      <c r="E233" s="12">
        <v>0</v>
      </c>
      <c r="F233" s="11">
        <v>282</v>
      </c>
      <c r="G233" s="11">
        <v>0</v>
      </c>
      <c r="H233" s="12">
        <v>44523.79</v>
      </c>
      <c r="I233" s="12">
        <v>15583.33</v>
      </c>
      <c r="J233" s="12">
        <v>601</v>
      </c>
      <c r="K233" s="12">
        <v>60708.12</v>
      </c>
      <c r="L233" s="13">
        <v>524.35</v>
      </c>
    </row>
    <row r="234" spans="1:12" ht="18" customHeight="1" x14ac:dyDescent="0.3">
      <c r="A234" s="9">
        <v>233</v>
      </c>
      <c r="B234" s="19">
        <v>44568.655069444445</v>
      </c>
      <c r="C234" s="11" t="s">
        <v>244</v>
      </c>
      <c r="D234" s="12">
        <v>524.35</v>
      </c>
      <c r="E234" s="12">
        <v>50000</v>
      </c>
      <c r="F234" s="11">
        <v>0</v>
      </c>
      <c r="G234" s="11">
        <v>0</v>
      </c>
      <c r="H234" s="12">
        <v>0</v>
      </c>
      <c r="I234" s="12">
        <v>0</v>
      </c>
      <c r="J234" s="12">
        <v>0</v>
      </c>
      <c r="K234" s="12">
        <v>0</v>
      </c>
      <c r="L234" s="13">
        <v>50524.35</v>
      </c>
    </row>
    <row r="235" spans="1:12" ht="18" customHeight="1" x14ac:dyDescent="0.3">
      <c r="A235" s="9">
        <v>234</v>
      </c>
      <c r="B235" s="19">
        <v>44569.538506944446</v>
      </c>
      <c r="C235" s="11" t="s">
        <v>245</v>
      </c>
      <c r="D235" s="12">
        <v>50524.35</v>
      </c>
      <c r="E235" s="12">
        <v>0</v>
      </c>
      <c r="F235" s="11">
        <v>0</v>
      </c>
      <c r="G235" s="11">
        <v>47.25</v>
      </c>
      <c r="H235" s="12">
        <v>35793.65</v>
      </c>
      <c r="I235" s="12">
        <v>12527.78</v>
      </c>
      <c r="J235" s="12">
        <v>483</v>
      </c>
      <c r="K235" s="12">
        <v>48804.43</v>
      </c>
      <c r="L235" s="13">
        <v>1719.92</v>
      </c>
    </row>
    <row r="236" spans="1:12" ht="18" customHeight="1" x14ac:dyDescent="0.3">
      <c r="A236" s="9">
        <v>235</v>
      </c>
      <c r="B236" s="19">
        <v>44571.397152777776</v>
      </c>
      <c r="C236" s="11" t="s">
        <v>246</v>
      </c>
      <c r="D236" s="12">
        <v>1719.92</v>
      </c>
      <c r="E236" s="12">
        <v>50000</v>
      </c>
      <c r="F236" s="11">
        <v>0</v>
      </c>
      <c r="G236" s="11">
        <v>0</v>
      </c>
      <c r="H236" s="12">
        <v>0</v>
      </c>
      <c r="I236" s="12">
        <v>0</v>
      </c>
      <c r="J236" s="12">
        <v>0</v>
      </c>
      <c r="K236" s="12">
        <v>0</v>
      </c>
      <c r="L236" s="13">
        <v>51719.92</v>
      </c>
    </row>
    <row r="237" spans="1:12" ht="18" customHeight="1" x14ac:dyDescent="0.3">
      <c r="A237" s="9">
        <v>236</v>
      </c>
      <c r="B237" s="19">
        <v>44571.470057870371</v>
      </c>
      <c r="C237" s="11" t="s">
        <v>247</v>
      </c>
      <c r="D237" s="12">
        <v>51719.92</v>
      </c>
      <c r="E237" s="12">
        <v>0</v>
      </c>
      <c r="F237" s="11">
        <v>0</v>
      </c>
      <c r="G237" s="11">
        <v>47.25</v>
      </c>
      <c r="H237" s="12">
        <v>34920.629999999997</v>
      </c>
      <c r="I237" s="12">
        <v>12222.22</v>
      </c>
      <c r="J237" s="12">
        <v>471</v>
      </c>
      <c r="K237" s="12">
        <v>47613.85</v>
      </c>
      <c r="L237" s="13">
        <v>4106.07</v>
      </c>
    </row>
    <row r="238" spans="1:12" ht="18" customHeight="1" x14ac:dyDescent="0.3">
      <c r="A238" s="9">
        <v>237</v>
      </c>
      <c r="B238" s="19">
        <v>44580.398935185185</v>
      </c>
      <c r="C238" s="11" t="s">
        <v>248</v>
      </c>
      <c r="D238" s="12">
        <v>4106.07</v>
      </c>
      <c r="E238" s="12">
        <v>105000</v>
      </c>
      <c r="F238" s="11">
        <v>0</v>
      </c>
      <c r="G238" s="11">
        <v>0</v>
      </c>
      <c r="H238" s="12">
        <v>0</v>
      </c>
      <c r="I238" s="12">
        <v>0</v>
      </c>
      <c r="J238" s="12">
        <v>0</v>
      </c>
      <c r="K238" s="12">
        <v>0</v>
      </c>
      <c r="L238" s="13">
        <v>109106.07</v>
      </c>
    </row>
    <row r="239" spans="1:12" ht="18" customHeight="1" x14ac:dyDescent="0.3">
      <c r="A239" s="9">
        <v>238</v>
      </c>
      <c r="B239" s="19">
        <v>44580.475208333337</v>
      </c>
      <c r="C239" s="11" t="s">
        <v>249</v>
      </c>
      <c r="D239" s="12">
        <v>109106.07</v>
      </c>
      <c r="E239" s="12">
        <v>0</v>
      </c>
      <c r="F239" s="11">
        <v>0</v>
      </c>
      <c r="G239" s="11">
        <v>67.5</v>
      </c>
      <c r="H239" s="12">
        <v>60476.19</v>
      </c>
      <c r="I239" s="12">
        <v>21166.68</v>
      </c>
      <c r="J239" s="12">
        <v>816</v>
      </c>
      <c r="K239" s="12">
        <v>82458.87</v>
      </c>
      <c r="L239" s="13">
        <v>26647.200000000001</v>
      </c>
    </row>
    <row r="240" spans="1:12" ht="18" customHeight="1" x14ac:dyDescent="0.3">
      <c r="A240" s="9">
        <v>239</v>
      </c>
      <c r="B240" s="19">
        <v>44582.407546296294</v>
      </c>
      <c r="C240" s="11" t="s">
        <v>250</v>
      </c>
      <c r="D240" s="12">
        <v>26647.200000000001</v>
      </c>
      <c r="E240" s="12">
        <v>71500</v>
      </c>
      <c r="F240" s="11">
        <v>0</v>
      </c>
      <c r="G240" s="11">
        <v>0</v>
      </c>
      <c r="H240" s="12">
        <v>0</v>
      </c>
      <c r="I240" s="12">
        <v>0</v>
      </c>
      <c r="J240" s="12">
        <v>0</v>
      </c>
      <c r="K240" s="12">
        <v>0</v>
      </c>
      <c r="L240" s="13">
        <v>98147.199999999997</v>
      </c>
    </row>
    <row r="241" spans="1:12" ht="18" customHeight="1" x14ac:dyDescent="0.3">
      <c r="A241" s="9">
        <v>240</v>
      </c>
      <c r="B241" s="19">
        <v>44582.475023148145</v>
      </c>
      <c r="C241" s="11" t="s">
        <v>251</v>
      </c>
      <c r="D241" s="12">
        <v>98147.199999999997</v>
      </c>
      <c r="E241" s="12">
        <v>0</v>
      </c>
      <c r="F241" s="11">
        <v>0</v>
      </c>
      <c r="G241" s="11">
        <v>82.69</v>
      </c>
      <c r="H241" s="12">
        <v>71190.48</v>
      </c>
      <c r="I241" s="12">
        <v>24916.67</v>
      </c>
      <c r="J241" s="12">
        <v>961</v>
      </c>
      <c r="K241" s="12">
        <v>97068.15</v>
      </c>
      <c r="L241" s="13">
        <v>1079.05</v>
      </c>
    </row>
    <row r="242" spans="1:12" ht="18" customHeight="1" x14ac:dyDescent="0.3">
      <c r="A242" s="9">
        <v>241</v>
      </c>
      <c r="B242" s="19">
        <v>44586.453460648147</v>
      </c>
      <c r="C242" s="11" t="s">
        <v>252</v>
      </c>
      <c r="D242" s="12">
        <v>1079.05</v>
      </c>
      <c r="E242" s="12">
        <v>247000</v>
      </c>
      <c r="F242" s="11">
        <v>0</v>
      </c>
      <c r="G242" s="11">
        <v>0</v>
      </c>
      <c r="H242" s="12">
        <v>0</v>
      </c>
      <c r="I242" s="12">
        <v>0</v>
      </c>
      <c r="J242" s="12">
        <v>0</v>
      </c>
      <c r="K242" s="12">
        <v>0</v>
      </c>
      <c r="L242" s="13">
        <v>248079.05</v>
      </c>
    </row>
    <row r="243" spans="1:12" ht="18" customHeight="1" x14ac:dyDescent="0.3">
      <c r="A243" s="9">
        <v>242</v>
      </c>
      <c r="B243" s="19">
        <v>44586.493993055556</v>
      </c>
      <c r="C243" s="11" t="s">
        <v>253</v>
      </c>
      <c r="D243" s="12">
        <v>248079.05</v>
      </c>
      <c r="E243" s="12">
        <v>0</v>
      </c>
      <c r="F243" s="11">
        <v>0</v>
      </c>
      <c r="G243" s="11">
        <v>102.62</v>
      </c>
      <c r="H243" s="12">
        <v>101011.9</v>
      </c>
      <c r="I243" s="12">
        <v>35354.17</v>
      </c>
      <c r="J243" s="12">
        <v>1364</v>
      </c>
      <c r="K243" s="12">
        <v>137730.07</v>
      </c>
      <c r="L243" s="13">
        <v>110348.98</v>
      </c>
    </row>
    <row r="244" spans="1:12" ht="18" customHeight="1" x14ac:dyDescent="0.3">
      <c r="A244" s="9">
        <v>243</v>
      </c>
      <c r="B244" s="19">
        <v>44588.417164351849</v>
      </c>
      <c r="C244" s="11" t="s">
        <v>254</v>
      </c>
      <c r="D244" s="12">
        <v>110348.98</v>
      </c>
      <c r="E244" s="12">
        <v>258000</v>
      </c>
      <c r="F244" s="11">
        <v>0</v>
      </c>
      <c r="G244" s="11">
        <v>0</v>
      </c>
      <c r="H244" s="12">
        <v>0</v>
      </c>
      <c r="I244" s="12">
        <v>0</v>
      </c>
      <c r="J244" s="12">
        <v>0</v>
      </c>
      <c r="K244" s="12">
        <v>0</v>
      </c>
      <c r="L244" s="13">
        <v>368348.98</v>
      </c>
    </row>
    <row r="245" spans="1:12" ht="18" customHeight="1" x14ac:dyDescent="0.3">
      <c r="A245" s="9">
        <v>244</v>
      </c>
      <c r="B245" s="19">
        <v>44588.488680555558</v>
      </c>
      <c r="C245" s="11" t="s">
        <v>255</v>
      </c>
      <c r="D245" s="12">
        <v>368348.98</v>
      </c>
      <c r="E245" s="12">
        <v>0</v>
      </c>
      <c r="F245" s="11">
        <v>0</v>
      </c>
      <c r="G245" s="11">
        <v>258.19</v>
      </c>
      <c r="H245" s="12">
        <v>210079.37</v>
      </c>
      <c r="I245" s="12">
        <v>73527.78</v>
      </c>
      <c r="J245" s="12">
        <v>2836</v>
      </c>
      <c r="K245" s="12">
        <v>286443.15000000002</v>
      </c>
      <c r="L245" s="13">
        <v>81905.83</v>
      </c>
    </row>
    <row r="246" spans="1:12" ht="18" customHeight="1" x14ac:dyDescent="0.3">
      <c r="A246" s="9">
        <v>245</v>
      </c>
      <c r="B246" s="19">
        <v>44588.48909722222</v>
      </c>
      <c r="C246" s="11" t="s">
        <v>256</v>
      </c>
      <c r="D246" s="12">
        <v>81905.83</v>
      </c>
      <c r="E246" s="12">
        <v>0</v>
      </c>
      <c r="F246" s="11">
        <v>228</v>
      </c>
      <c r="G246" s="11">
        <v>0</v>
      </c>
      <c r="H246" s="12">
        <v>37380.93</v>
      </c>
      <c r="I246" s="12">
        <v>13083.33</v>
      </c>
      <c r="J246" s="12">
        <v>505</v>
      </c>
      <c r="K246" s="12">
        <v>50969.26</v>
      </c>
      <c r="L246" s="13">
        <v>30936.57</v>
      </c>
    </row>
    <row r="247" spans="1:12" ht="18" customHeight="1" x14ac:dyDescent="0.3">
      <c r="A247" s="9">
        <v>246</v>
      </c>
      <c r="B247" s="19">
        <v>44595.459039351852</v>
      </c>
      <c r="C247" s="11" t="s">
        <v>257</v>
      </c>
      <c r="D247" s="12">
        <v>30936.57</v>
      </c>
      <c r="E247" s="12">
        <v>313000</v>
      </c>
      <c r="F247" s="11">
        <v>0</v>
      </c>
      <c r="G247" s="11">
        <v>0</v>
      </c>
      <c r="H247" s="12">
        <v>0</v>
      </c>
      <c r="I247" s="12">
        <v>0</v>
      </c>
      <c r="J247" s="12">
        <v>0</v>
      </c>
      <c r="K247" s="12">
        <v>0</v>
      </c>
      <c r="L247" s="13">
        <v>343936.57</v>
      </c>
    </row>
    <row r="248" spans="1:12" ht="18" customHeight="1" x14ac:dyDescent="0.3">
      <c r="A248" s="9">
        <v>247</v>
      </c>
      <c r="B248" s="19">
        <v>44595.529282407406</v>
      </c>
      <c r="C248" s="11" t="s">
        <v>258</v>
      </c>
      <c r="D248" s="12">
        <v>343936.57</v>
      </c>
      <c r="E248" s="12">
        <v>0</v>
      </c>
      <c r="F248" s="11">
        <v>314.39999999999998</v>
      </c>
      <c r="G248" s="11">
        <v>0</v>
      </c>
      <c r="H248" s="12">
        <v>47619</v>
      </c>
      <c r="I248" s="12">
        <v>16666.650000000001</v>
      </c>
      <c r="J248" s="12">
        <v>643</v>
      </c>
      <c r="K248" s="12">
        <v>64928.65</v>
      </c>
      <c r="L248" s="13">
        <v>279007.92</v>
      </c>
    </row>
    <row r="249" spans="1:12" ht="18" customHeight="1" x14ac:dyDescent="0.3">
      <c r="A249" s="9">
        <v>248</v>
      </c>
      <c r="B249" s="19">
        <v>44595.53</v>
      </c>
      <c r="C249" s="11" t="s">
        <v>259</v>
      </c>
      <c r="D249" s="12">
        <v>279007.92</v>
      </c>
      <c r="E249" s="12">
        <v>0</v>
      </c>
      <c r="F249" s="11">
        <v>0</v>
      </c>
      <c r="G249" s="11">
        <v>168.75</v>
      </c>
      <c r="H249" s="12">
        <v>152182.57</v>
      </c>
      <c r="I249" s="12">
        <v>53263.9</v>
      </c>
      <c r="J249" s="12">
        <v>2054</v>
      </c>
      <c r="K249" s="12">
        <v>207500.47</v>
      </c>
      <c r="L249" s="13">
        <v>71507.45</v>
      </c>
    </row>
    <row r="250" spans="1:12" ht="18" customHeight="1" x14ac:dyDescent="0.3">
      <c r="A250" s="9">
        <v>249</v>
      </c>
      <c r="B250" s="19">
        <v>44602.543379629627</v>
      </c>
      <c r="C250" s="11" t="s">
        <v>260</v>
      </c>
      <c r="D250" s="12">
        <v>71507.45</v>
      </c>
      <c r="E250" s="12">
        <v>0</v>
      </c>
      <c r="F250" s="11">
        <v>319.8</v>
      </c>
      <c r="G250" s="11">
        <v>0</v>
      </c>
      <c r="H250" s="12">
        <v>52380.98</v>
      </c>
      <c r="I250" s="12">
        <v>18333.34</v>
      </c>
      <c r="J250" s="12">
        <v>707</v>
      </c>
      <c r="K250" s="12">
        <v>71421.320000000007</v>
      </c>
      <c r="L250" s="13">
        <v>86.13</v>
      </c>
    </row>
    <row r="251" spans="1:12" ht="18" customHeight="1" x14ac:dyDescent="0.3">
      <c r="A251" s="9">
        <v>250</v>
      </c>
      <c r="B251" s="19">
        <v>44648.522650462961</v>
      </c>
      <c r="C251" s="11" t="s">
        <v>261</v>
      </c>
      <c r="D251" s="12">
        <v>86.13</v>
      </c>
      <c r="E251" s="12">
        <v>100000</v>
      </c>
      <c r="F251" s="11">
        <v>0</v>
      </c>
      <c r="G251" s="11">
        <v>0</v>
      </c>
      <c r="H251" s="12">
        <v>0</v>
      </c>
      <c r="I251" s="12">
        <v>0</v>
      </c>
      <c r="J251" s="12">
        <v>0</v>
      </c>
      <c r="K251" s="12">
        <v>0</v>
      </c>
      <c r="L251" s="13">
        <v>100086.13</v>
      </c>
    </row>
    <row r="252" spans="1:12" ht="18" customHeight="1" x14ac:dyDescent="0.3">
      <c r="A252" s="9">
        <v>251</v>
      </c>
      <c r="B252" s="19">
        <v>44648.524305555555</v>
      </c>
      <c r="C252" s="11" t="s">
        <v>262</v>
      </c>
      <c r="D252" s="12">
        <v>100086.13</v>
      </c>
      <c r="E252" s="12">
        <v>300000</v>
      </c>
      <c r="F252" s="11">
        <v>0</v>
      </c>
      <c r="G252" s="11">
        <v>0</v>
      </c>
      <c r="H252" s="12">
        <v>0</v>
      </c>
      <c r="I252" s="12">
        <v>0</v>
      </c>
      <c r="J252" s="12">
        <v>0</v>
      </c>
      <c r="K252" s="12">
        <v>0</v>
      </c>
      <c r="L252" s="13">
        <v>400086.13</v>
      </c>
    </row>
    <row r="253" spans="1:12" ht="18" customHeight="1" x14ac:dyDescent="0.3">
      <c r="A253" s="9">
        <v>252</v>
      </c>
      <c r="B253" s="19">
        <v>44648.526435185187</v>
      </c>
      <c r="C253" s="11" t="s">
        <v>263</v>
      </c>
      <c r="D253" s="12">
        <v>400086.13</v>
      </c>
      <c r="E253" s="12">
        <v>48000</v>
      </c>
      <c r="F253" s="11">
        <v>0</v>
      </c>
      <c r="G253" s="11">
        <v>0</v>
      </c>
      <c r="H253" s="12">
        <v>0</v>
      </c>
      <c r="I253" s="12">
        <v>0</v>
      </c>
      <c r="J253" s="12">
        <v>0</v>
      </c>
      <c r="K253" s="12">
        <v>0</v>
      </c>
      <c r="L253" s="13">
        <v>448086.13</v>
      </c>
    </row>
    <row r="254" spans="1:12" ht="18" customHeight="1" x14ac:dyDescent="0.3">
      <c r="A254" s="9">
        <v>253</v>
      </c>
      <c r="B254" s="19">
        <v>44650.92728009259</v>
      </c>
      <c r="C254" s="11" t="s">
        <v>264</v>
      </c>
      <c r="D254" s="12">
        <v>448086.13</v>
      </c>
      <c r="E254" s="12">
        <v>0</v>
      </c>
      <c r="F254" s="11">
        <v>0</v>
      </c>
      <c r="G254" s="11">
        <v>188</v>
      </c>
      <c r="H254" s="12">
        <v>153412.71</v>
      </c>
      <c r="I254" s="12">
        <v>53694.45</v>
      </c>
      <c r="J254" s="12">
        <v>2071</v>
      </c>
      <c r="K254" s="12">
        <v>209178.16</v>
      </c>
      <c r="L254" s="13">
        <v>238907.97</v>
      </c>
    </row>
    <row r="255" spans="1:12" ht="18" customHeight="1" x14ac:dyDescent="0.3">
      <c r="A255" s="9">
        <v>254</v>
      </c>
      <c r="B255" s="19">
        <v>44650.927662037036</v>
      </c>
      <c r="C255" s="11" t="s">
        <v>265</v>
      </c>
      <c r="D255" s="12">
        <v>238907.97</v>
      </c>
      <c r="E255" s="12">
        <v>0</v>
      </c>
      <c r="F255" s="11">
        <v>1050</v>
      </c>
      <c r="G255" s="11">
        <v>0</v>
      </c>
      <c r="H255" s="12">
        <v>174761.83</v>
      </c>
      <c r="I255" s="12">
        <v>61166.559999999998</v>
      </c>
      <c r="J255" s="12">
        <v>2359</v>
      </c>
      <c r="K255" s="12">
        <v>238287.39</v>
      </c>
      <c r="L255" s="13">
        <v>620.58000000000004</v>
      </c>
    </row>
    <row r="256" spans="1:12" ht="18" customHeight="1" thickBot="1" x14ac:dyDescent="0.35">
      <c r="A256" s="14">
        <v>255</v>
      </c>
      <c r="B256" s="20"/>
      <c r="C256" s="16"/>
      <c r="D256" s="17"/>
      <c r="E256" s="17">
        <v>21083900</v>
      </c>
      <c r="F256" s="16">
        <v>13729.2</v>
      </c>
      <c r="G256" s="16">
        <v>15723.26</v>
      </c>
      <c r="H256" s="17">
        <v>15463500.26</v>
      </c>
      <c r="I256" s="17">
        <v>5412226.0099999998</v>
      </c>
      <c r="J256" s="17">
        <v>208757.73</v>
      </c>
      <c r="K256" s="17">
        <v>21084483.960000001</v>
      </c>
      <c r="L256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5B47-B400-4C45-B006-6F92388C8BBE}">
  <dimension ref="A1:V521"/>
  <sheetViews>
    <sheetView tabSelected="1" topLeftCell="B1" zoomScale="85" zoomScaleNormal="85" workbookViewId="0">
      <selection activeCell="D2" sqref="D2"/>
    </sheetView>
  </sheetViews>
  <sheetFormatPr defaultRowHeight="14.4" x14ac:dyDescent="0.3"/>
  <cols>
    <col min="1" max="1" width="8" hidden="1" customWidth="1"/>
    <col min="2" max="2" width="15.44140625" style="2" bestFit="1" customWidth="1"/>
    <col min="3" max="3" width="10.21875" customWidth="1"/>
    <col min="4" max="4" width="13.5546875" customWidth="1"/>
    <col min="5" max="5" width="18.77734375" bestFit="1" customWidth="1"/>
    <col min="6" max="6" width="16" bestFit="1" customWidth="1"/>
    <col min="7" max="7" width="8" bestFit="1" customWidth="1"/>
    <col min="8" max="8" width="9" bestFit="1" customWidth="1"/>
    <col min="9" max="9" width="15.33203125" bestFit="1" customWidth="1"/>
    <col min="10" max="10" width="13.88671875" bestFit="1" customWidth="1"/>
    <col min="11" max="11" width="12.77734375" bestFit="1" customWidth="1"/>
    <col min="12" max="12" width="15.33203125" bestFit="1" customWidth="1"/>
    <col min="13" max="13" width="16.88671875" bestFit="1" customWidth="1"/>
    <col min="18" max="18" width="8.88671875" style="27"/>
    <col min="19" max="20" width="22" customWidth="1"/>
    <col min="21" max="21" width="17.6640625" customWidth="1"/>
    <col min="22" max="22" width="12.77734375" bestFit="1" customWidth="1"/>
  </cols>
  <sheetData>
    <row r="1" spans="1:22" x14ac:dyDescent="0.3">
      <c r="A1" s="4" t="s">
        <v>0</v>
      </c>
      <c r="B1" s="5" t="s">
        <v>1</v>
      </c>
      <c r="C1" s="6" t="s">
        <v>2</v>
      </c>
      <c r="D1" s="6" t="s">
        <v>532</v>
      </c>
      <c r="E1" s="7" t="s">
        <v>3</v>
      </c>
      <c r="F1" s="7" t="s">
        <v>4</v>
      </c>
      <c r="G1" s="6" t="s">
        <v>5</v>
      </c>
      <c r="H1" s="6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8" t="s">
        <v>11</v>
      </c>
      <c r="N1" s="22" t="s">
        <v>533</v>
      </c>
      <c r="O1" s="23" t="s">
        <v>534</v>
      </c>
      <c r="P1" s="23" t="s">
        <v>535</v>
      </c>
      <c r="Q1" s="42" t="s">
        <v>537</v>
      </c>
      <c r="R1" s="25" t="s">
        <v>538</v>
      </c>
      <c r="S1" s="31" t="s">
        <v>556</v>
      </c>
      <c r="T1" s="40"/>
      <c r="U1" s="23" t="s">
        <v>536</v>
      </c>
    </row>
    <row r="2" spans="1:22" x14ac:dyDescent="0.3">
      <c r="A2" s="9">
        <v>1</v>
      </c>
      <c r="B2" s="21">
        <v>44302.395162037035</v>
      </c>
      <c r="C2" s="11" t="s">
        <v>12</v>
      </c>
      <c r="D2" s="11" t="str">
        <f>IF(ISNUMBER(SEARCH("OSBC", C2)), "GOVT", "RETAIL")</f>
        <v>GOVT</v>
      </c>
      <c r="E2" s="12">
        <v>1204.54</v>
      </c>
      <c r="F2" s="12">
        <v>40000</v>
      </c>
      <c r="G2" s="11">
        <v>0</v>
      </c>
      <c r="H2" s="11">
        <v>0</v>
      </c>
      <c r="I2" s="12">
        <v>0</v>
      </c>
      <c r="J2" s="12">
        <v>0</v>
      </c>
      <c r="K2" s="12">
        <v>0</v>
      </c>
      <c r="L2" s="12">
        <v>0</v>
      </c>
      <c r="M2" s="13">
        <v>41204.54</v>
      </c>
      <c r="N2">
        <f>YEAR(B2)</f>
        <v>2021</v>
      </c>
      <c r="O2" s="24">
        <f>IFERROR(J2/$I2,0)</f>
        <v>0</v>
      </c>
      <c r="P2" s="43">
        <f>IFERROR(K2/$I2,0)</f>
        <v>0</v>
      </c>
      <c r="Q2" s="44" t="str">
        <f>IF($G2&lt;&gt;0,"Beer",IF($H2&lt;&gt;0,"Liquor","-"))</f>
        <v>-</v>
      </c>
      <c r="R2" s="47">
        <f>IF($G2&lt;&gt;0,$G2,IF($H2&lt;&gt;0,$H2/0.75,0))</f>
        <v>0</v>
      </c>
      <c r="S2" s="32" t="b">
        <f>ISNUMBER(R2)</f>
        <v>1</v>
      </c>
      <c r="T2" s="32"/>
      <c r="V2" s="1"/>
    </row>
    <row r="3" spans="1:22" ht="15" thickBot="1" x14ac:dyDescent="0.35">
      <c r="A3" s="9">
        <v>2</v>
      </c>
      <c r="B3" s="21">
        <v>44302.476805555554</v>
      </c>
      <c r="C3" s="11" t="s">
        <v>13</v>
      </c>
      <c r="D3" s="11" t="str">
        <f>IF(ISNUMBER(SEARCH("OSBC", C3)), "GOVT", "RETAIL")</f>
        <v>RETAIL</v>
      </c>
      <c r="E3" s="12">
        <v>41204.54</v>
      </c>
      <c r="F3" s="12">
        <v>0</v>
      </c>
      <c r="G3" s="11">
        <v>0</v>
      </c>
      <c r="H3" s="11">
        <v>39.69</v>
      </c>
      <c r="I3" s="12">
        <v>29047.599999999999</v>
      </c>
      <c r="J3" s="12">
        <v>10166.66</v>
      </c>
      <c r="K3" s="12">
        <v>392.14</v>
      </c>
      <c r="L3" s="12">
        <v>39606.400000000001</v>
      </c>
      <c r="M3" s="13">
        <v>1598.14</v>
      </c>
      <c r="N3">
        <f>YEAR(B3)</f>
        <v>2021</v>
      </c>
      <c r="O3" s="24">
        <f>IFERROR(J3/$I3,0)</f>
        <v>0.35000000000000003</v>
      </c>
      <c r="P3" s="43">
        <f>IFERROR(K3/$I3,0)</f>
        <v>1.3499910491744585E-2</v>
      </c>
      <c r="Q3" s="45" t="str">
        <f>IF($G3&lt;&gt;0,"Beer",IF($H3&lt;&gt;0,"Liquor","-"))</f>
        <v>Liquor</v>
      </c>
      <c r="R3" s="46">
        <f>IF($G3&lt;&gt;0,$G3,IF($H3&lt;&gt;0,$H3/0.75,0))</f>
        <v>52.919999999999995</v>
      </c>
      <c r="S3" s="32" t="b">
        <f>ISNUMBER(R3)</f>
        <v>1</v>
      </c>
      <c r="T3" s="32"/>
      <c r="V3" s="1"/>
    </row>
    <row r="4" spans="1:22" x14ac:dyDescent="0.3">
      <c r="A4" s="9">
        <v>3</v>
      </c>
      <c r="B4" s="21">
        <v>44303.429375</v>
      </c>
      <c r="C4" s="11" t="s">
        <v>14</v>
      </c>
      <c r="D4" s="11" t="str">
        <f>IF(ISNUMBER(SEARCH("OSBC", C4)), "GOVT", "RETAIL")</f>
        <v>GOVT</v>
      </c>
      <c r="E4" s="12">
        <v>1598.14</v>
      </c>
      <c r="F4" s="12">
        <v>40000</v>
      </c>
      <c r="G4" s="11">
        <v>0</v>
      </c>
      <c r="H4" s="11">
        <v>0</v>
      </c>
      <c r="I4" s="12">
        <v>0</v>
      </c>
      <c r="J4" s="12">
        <v>0</v>
      </c>
      <c r="K4" s="12">
        <v>0</v>
      </c>
      <c r="L4" s="12">
        <v>0</v>
      </c>
      <c r="M4" s="13">
        <v>41598.14</v>
      </c>
      <c r="N4">
        <f>YEAR(B4)</f>
        <v>2021</v>
      </c>
      <c r="O4" s="24">
        <f>IFERROR(J4/$I4,0)</f>
        <v>0</v>
      </c>
      <c r="P4" s="24">
        <f>IFERROR(K4/$I4,0)</f>
        <v>0</v>
      </c>
      <c r="Q4" s="24" t="str">
        <f>IF($G4&lt;&gt;0,"Beer",IF($H4&lt;&gt;0,"Liquor","-"))</f>
        <v>-</v>
      </c>
      <c r="R4" s="26">
        <f>IF($G4&lt;&gt;0,$G4,IF($H4&lt;&gt;0,$H4/0.75,0))</f>
        <v>0</v>
      </c>
      <c r="S4" s="32" t="b">
        <f>ISNUMBER(R4)</f>
        <v>1</v>
      </c>
      <c r="T4" s="32"/>
      <c r="V4" s="3"/>
    </row>
    <row r="5" spans="1:22" x14ac:dyDescent="0.3">
      <c r="A5" s="9">
        <v>4</v>
      </c>
      <c r="B5" s="21">
        <v>44303.526828703703</v>
      </c>
      <c r="C5" s="11" t="s">
        <v>15</v>
      </c>
      <c r="D5" s="11" t="str">
        <f>IF(ISNUMBER(SEARCH("OSBC", C5)), "GOVT", "RETAIL")</f>
        <v>RETAIL</v>
      </c>
      <c r="E5" s="12">
        <v>41598.14</v>
      </c>
      <c r="F5" s="12">
        <v>0</v>
      </c>
      <c r="G5" s="11">
        <v>0</v>
      </c>
      <c r="H5" s="11">
        <v>39.15</v>
      </c>
      <c r="I5" s="12">
        <v>29920.62</v>
      </c>
      <c r="J5" s="12">
        <v>10472.219999999999</v>
      </c>
      <c r="K5" s="12">
        <v>403.93</v>
      </c>
      <c r="L5" s="12">
        <v>40796.769999999997</v>
      </c>
      <c r="M5" s="13">
        <v>801.37</v>
      </c>
      <c r="N5">
        <f>YEAR(B5)</f>
        <v>2021</v>
      </c>
      <c r="O5" s="24">
        <f>IFERROR(J5/$I5,0)</f>
        <v>0.35000010026530198</v>
      </c>
      <c r="P5" s="24">
        <f>IFERROR(K5/$I5,0)</f>
        <v>1.3500054477480749E-2</v>
      </c>
      <c r="Q5" s="24" t="str">
        <f>IF($G5&lt;&gt;0,"Beer",IF($H5&lt;&gt;0,"Liquor","-"))</f>
        <v>Liquor</v>
      </c>
      <c r="R5" s="26">
        <f>IF($G5&lt;&gt;0,$G5,IF($H5&lt;&gt;0,$H5/0.75,0))</f>
        <v>52.199999999999996</v>
      </c>
      <c r="S5" s="32" t="b">
        <f>ISNUMBER(R5)</f>
        <v>1</v>
      </c>
      <c r="T5" s="32"/>
    </row>
    <row r="6" spans="1:22" x14ac:dyDescent="0.3">
      <c r="A6" s="9">
        <v>5</v>
      </c>
      <c r="B6" s="21">
        <v>44305.457245370373</v>
      </c>
      <c r="C6" s="11" t="s">
        <v>16</v>
      </c>
      <c r="D6" s="11" t="str">
        <f>IF(ISNUMBER(SEARCH("OSBC", C6)), "GOVT", "RETAIL")</f>
        <v>GOVT</v>
      </c>
      <c r="E6" s="12">
        <v>801.37</v>
      </c>
      <c r="F6" s="12">
        <v>40000</v>
      </c>
      <c r="G6" s="11">
        <v>0</v>
      </c>
      <c r="H6" s="11">
        <v>0</v>
      </c>
      <c r="I6" s="12">
        <v>0</v>
      </c>
      <c r="J6" s="12">
        <v>0</v>
      </c>
      <c r="K6" s="12">
        <v>0</v>
      </c>
      <c r="L6" s="12">
        <v>0</v>
      </c>
      <c r="M6" s="13">
        <v>40801.370000000003</v>
      </c>
      <c r="N6">
        <f>YEAR(B6)</f>
        <v>2021</v>
      </c>
      <c r="O6" s="24">
        <f>IFERROR(J6/$I6,0)</f>
        <v>0</v>
      </c>
      <c r="P6" s="24">
        <f>IFERROR(K6/$I6,0)</f>
        <v>0</v>
      </c>
      <c r="Q6" s="24" t="str">
        <f>IF($G6&lt;&gt;0,"Beer",IF($H6&lt;&gt;0,"Liquor","-"))</f>
        <v>-</v>
      </c>
      <c r="R6" s="26">
        <f>IF($G6&lt;&gt;0,$G6,IF($H6&lt;&gt;0,$H6/0.75,0))</f>
        <v>0</v>
      </c>
      <c r="S6" s="32" t="b">
        <f>ISNUMBER(R6)</f>
        <v>1</v>
      </c>
      <c r="T6" s="32"/>
    </row>
    <row r="7" spans="1:22" x14ac:dyDescent="0.3">
      <c r="A7" s="9">
        <v>6</v>
      </c>
      <c r="B7" s="21">
        <v>44305.546840277777</v>
      </c>
      <c r="C7" s="11" t="s">
        <v>17</v>
      </c>
      <c r="D7" s="11" t="str">
        <f>IF(ISNUMBER(SEARCH("OSBC", C7)), "GOVT", "RETAIL")</f>
        <v>RETAIL</v>
      </c>
      <c r="E7" s="12">
        <v>40801.370000000003</v>
      </c>
      <c r="F7" s="12">
        <v>0</v>
      </c>
      <c r="G7" s="11">
        <v>0</v>
      </c>
      <c r="H7" s="11">
        <v>38.880000000000003</v>
      </c>
      <c r="I7" s="12">
        <v>29841.26</v>
      </c>
      <c r="J7" s="12">
        <v>10444.459999999999</v>
      </c>
      <c r="K7" s="12">
        <v>403</v>
      </c>
      <c r="L7" s="12">
        <v>40688.720000000001</v>
      </c>
      <c r="M7" s="13">
        <v>112.65</v>
      </c>
      <c r="N7">
        <f>YEAR(B7)</f>
        <v>2021</v>
      </c>
      <c r="O7" s="24">
        <f>IFERROR(J7/$I7,0)</f>
        <v>0.35000063670233761</v>
      </c>
      <c r="P7" s="24">
        <f>IFERROR(K7/$I7,0)</f>
        <v>1.3504791687750451E-2</v>
      </c>
      <c r="Q7" s="24" t="str">
        <f>IF($G7&lt;&gt;0,"Beer",IF($H7&lt;&gt;0,"Liquor","-"))</f>
        <v>Liquor</v>
      </c>
      <c r="R7" s="26">
        <f>IF($G7&lt;&gt;0,$G7,IF($H7&lt;&gt;0,$H7/0.75,0))</f>
        <v>51.84</v>
      </c>
      <c r="S7" s="32" t="b">
        <f>ISNUMBER(R7)</f>
        <v>1</v>
      </c>
      <c r="T7" s="32"/>
    </row>
    <row r="8" spans="1:22" x14ac:dyDescent="0.3">
      <c r="A8" s="9">
        <v>7</v>
      </c>
      <c r="B8" s="21">
        <v>44306.462858796294</v>
      </c>
      <c r="C8" s="11" t="s">
        <v>18</v>
      </c>
      <c r="D8" s="11" t="str">
        <f>IF(ISNUMBER(SEARCH("OSBC", C8)), "GOVT", "RETAIL")</f>
        <v>GOVT</v>
      </c>
      <c r="E8" s="12">
        <v>112.65</v>
      </c>
      <c r="F8" s="12">
        <v>40000</v>
      </c>
      <c r="G8" s="11">
        <v>0</v>
      </c>
      <c r="H8" s="11">
        <v>0</v>
      </c>
      <c r="I8" s="12">
        <v>0</v>
      </c>
      <c r="J8" s="12">
        <v>0</v>
      </c>
      <c r="K8" s="12">
        <v>0</v>
      </c>
      <c r="L8" s="12">
        <v>0</v>
      </c>
      <c r="M8" s="13">
        <v>40112.65</v>
      </c>
      <c r="N8">
        <f>YEAR(B8)</f>
        <v>2021</v>
      </c>
      <c r="O8" s="24">
        <f>IFERROR(J8/$I8,0)</f>
        <v>0</v>
      </c>
      <c r="P8" s="24">
        <f>IFERROR(K8/$I8,0)</f>
        <v>0</v>
      </c>
      <c r="Q8" s="24" t="str">
        <f>IF($G8&lt;&gt;0,"Beer",IF($H8&lt;&gt;0,"Liquor","-"))</f>
        <v>-</v>
      </c>
      <c r="R8" s="26">
        <f>IF($G8&lt;&gt;0,$G8,IF($H8&lt;&gt;0,$H8/0.75,0))</f>
        <v>0</v>
      </c>
      <c r="S8" s="32" t="b">
        <f>ISNUMBER(R8)</f>
        <v>1</v>
      </c>
      <c r="T8" s="32"/>
    </row>
    <row r="9" spans="1:22" x14ac:dyDescent="0.3">
      <c r="A9" s="9">
        <v>8</v>
      </c>
      <c r="B9" s="21">
        <v>44306.626493055555</v>
      </c>
      <c r="C9" s="11" t="s">
        <v>19</v>
      </c>
      <c r="D9" s="11" t="str">
        <f>IF(ISNUMBER(SEARCH("OSBC", C9)), "GOVT", "RETAIL")</f>
        <v>RETAIL</v>
      </c>
      <c r="E9" s="12">
        <v>40112.65</v>
      </c>
      <c r="F9" s="12">
        <v>0</v>
      </c>
      <c r="G9" s="11">
        <v>0</v>
      </c>
      <c r="H9" s="11">
        <v>38.880000000000003</v>
      </c>
      <c r="I9" s="12">
        <v>29206.33</v>
      </c>
      <c r="J9" s="12">
        <v>10222.24</v>
      </c>
      <c r="K9" s="12">
        <v>394</v>
      </c>
      <c r="L9" s="12">
        <v>39822.57</v>
      </c>
      <c r="M9" s="13">
        <v>290.08</v>
      </c>
      <c r="N9">
        <f>YEAR(B9)</f>
        <v>2021</v>
      </c>
      <c r="O9" s="24">
        <f>IFERROR(J9/$I9,0)</f>
        <v>0.35000083885924727</v>
      </c>
      <c r="P9" s="24">
        <f>IFERROR(K9/$I9,0)</f>
        <v>1.3490226262594444E-2</v>
      </c>
      <c r="Q9" s="24" t="str">
        <f>IF($G9&lt;&gt;0,"Beer",IF($H9&lt;&gt;0,"Liquor","-"))</f>
        <v>Liquor</v>
      </c>
      <c r="R9" s="26">
        <f>IF($G9&lt;&gt;0,$G9,IF($H9&lt;&gt;0,$H9/0.75,0))</f>
        <v>51.84</v>
      </c>
      <c r="S9" s="32" t="b">
        <f>ISNUMBER(R9)</f>
        <v>1</v>
      </c>
      <c r="T9" s="32"/>
    </row>
    <row r="10" spans="1:22" x14ac:dyDescent="0.3">
      <c r="A10" s="9">
        <v>9</v>
      </c>
      <c r="B10" s="21">
        <v>44308.442696759259</v>
      </c>
      <c r="C10" s="11" t="s">
        <v>20</v>
      </c>
      <c r="D10" s="11" t="str">
        <f>IF(ISNUMBER(SEARCH("OSBC", C10)), "GOVT", "RETAIL")</f>
        <v>GOVT</v>
      </c>
      <c r="E10" s="12">
        <v>290.08</v>
      </c>
      <c r="F10" s="12">
        <v>18800</v>
      </c>
      <c r="G10" s="11">
        <v>0</v>
      </c>
      <c r="H10" s="11">
        <v>0</v>
      </c>
      <c r="I10" s="12">
        <v>0</v>
      </c>
      <c r="J10" s="12">
        <v>0</v>
      </c>
      <c r="K10" s="12">
        <v>0</v>
      </c>
      <c r="L10" s="12">
        <v>0</v>
      </c>
      <c r="M10" s="13">
        <v>19090.080000000002</v>
      </c>
      <c r="N10">
        <f>YEAR(B10)</f>
        <v>2021</v>
      </c>
      <c r="O10" s="24">
        <f>IFERROR(J10/$I10,0)</f>
        <v>0</v>
      </c>
      <c r="P10" s="24">
        <f>IFERROR(K10/$I10,0)</f>
        <v>0</v>
      </c>
      <c r="Q10" s="24" t="str">
        <f>IF($G10&lt;&gt;0,"Beer",IF($H10&lt;&gt;0,"Liquor","-"))</f>
        <v>-</v>
      </c>
      <c r="R10" s="26">
        <f>IF($G10&lt;&gt;0,$G10,IF($H10&lt;&gt;0,$H10/0.75,0))</f>
        <v>0</v>
      </c>
      <c r="S10" s="32" t="b">
        <f>ISNUMBER(R10)</f>
        <v>1</v>
      </c>
      <c r="T10" s="32"/>
    </row>
    <row r="11" spans="1:22" x14ac:dyDescent="0.3">
      <c r="A11" s="9">
        <v>10</v>
      </c>
      <c r="B11" s="21">
        <v>44308.739016203705</v>
      </c>
      <c r="C11" s="11" t="s">
        <v>21</v>
      </c>
      <c r="D11" s="11" t="str">
        <f>IF(ISNUMBER(SEARCH("OSBC", C11)), "GOVT", "RETAIL")</f>
        <v>RETAIL</v>
      </c>
      <c r="E11" s="12">
        <v>19090.080000000002</v>
      </c>
      <c r="F11" s="12">
        <v>0</v>
      </c>
      <c r="G11" s="11">
        <v>94.2</v>
      </c>
      <c r="H11" s="11">
        <v>0</v>
      </c>
      <c r="I11" s="12">
        <v>13809.51</v>
      </c>
      <c r="J11" s="12">
        <v>4833.3500000000004</v>
      </c>
      <c r="K11" s="12">
        <v>186</v>
      </c>
      <c r="L11" s="12">
        <v>18828.86</v>
      </c>
      <c r="M11" s="13">
        <v>261.22000000000003</v>
      </c>
      <c r="N11">
        <f>YEAR(B11)</f>
        <v>2021</v>
      </c>
      <c r="O11" s="24">
        <f>IFERROR(J11/$I11,0)</f>
        <v>0.35000155689810863</v>
      </c>
      <c r="P11" s="24">
        <f>IFERROR(K11/$I11,0)</f>
        <v>1.3468978986220365E-2</v>
      </c>
      <c r="Q11" s="24" t="str">
        <f>IF($G11&lt;&gt;0,"Beer",IF($H11&lt;&gt;0,"Liquor","-"))</f>
        <v>Beer</v>
      </c>
      <c r="R11" s="26">
        <f>IF($G11&lt;&gt;0,$G11,IF($H11&lt;&gt;0,$H11/0.75,0))</f>
        <v>94.2</v>
      </c>
      <c r="S11" s="32" t="b">
        <f>ISNUMBER(R11)</f>
        <v>1</v>
      </c>
      <c r="T11" s="32"/>
    </row>
    <row r="12" spans="1:22" x14ac:dyDescent="0.3">
      <c r="A12" s="9">
        <v>11</v>
      </c>
      <c r="B12" s="21">
        <v>44309.498356481483</v>
      </c>
      <c r="C12" s="11" t="s">
        <v>22</v>
      </c>
      <c r="D12" s="11" t="str">
        <f>IF(ISNUMBER(SEARCH("OSBC", C12)), "GOVT", "RETAIL")</f>
        <v>GOVT</v>
      </c>
      <c r="E12" s="12">
        <v>261.22000000000003</v>
      </c>
      <c r="F12" s="12">
        <v>19500</v>
      </c>
      <c r="G12" s="11">
        <v>0</v>
      </c>
      <c r="H12" s="11">
        <v>0</v>
      </c>
      <c r="I12" s="12">
        <v>0</v>
      </c>
      <c r="J12" s="12">
        <v>0</v>
      </c>
      <c r="K12" s="12">
        <v>0</v>
      </c>
      <c r="L12" s="12">
        <v>0</v>
      </c>
      <c r="M12" s="13">
        <v>19761.22</v>
      </c>
      <c r="N12">
        <f>YEAR(B12)</f>
        <v>2021</v>
      </c>
      <c r="O12" s="24">
        <f>IFERROR(J12/$I12,0)</f>
        <v>0</v>
      </c>
      <c r="P12" s="24">
        <f>IFERROR(K12/$I12,0)</f>
        <v>0</v>
      </c>
      <c r="Q12" s="24" t="str">
        <f>IF($G12&lt;&gt;0,"Beer",IF($H12&lt;&gt;0,"Liquor","-"))</f>
        <v>-</v>
      </c>
      <c r="R12" s="26">
        <f>IF($G12&lt;&gt;0,$G12,IF($H12&lt;&gt;0,$H12/0.75,0))</f>
        <v>0</v>
      </c>
      <c r="S12" s="32" t="b">
        <f>ISNUMBER(R12)</f>
        <v>1</v>
      </c>
      <c r="T12" s="32"/>
    </row>
    <row r="13" spans="1:22" x14ac:dyDescent="0.3">
      <c r="A13" s="9">
        <v>12</v>
      </c>
      <c r="B13" s="21">
        <v>44309.647627314815</v>
      </c>
      <c r="C13" s="11" t="s">
        <v>23</v>
      </c>
      <c r="D13" s="11" t="str">
        <f>IF(ISNUMBER(SEARCH("OSBC", C13)), "GOVT", "RETAIL")</f>
        <v>RETAIL</v>
      </c>
      <c r="E13" s="12">
        <v>19761.22</v>
      </c>
      <c r="F13" s="12">
        <v>0</v>
      </c>
      <c r="G13" s="11">
        <v>97.8</v>
      </c>
      <c r="H13" s="11">
        <v>0</v>
      </c>
      <c r="I13" s="12">
        <v>14126.97</v>
      </c>
      <c r="J13" s="12">
        <v>4944.46</v>
      </c>
      <c r="K13" s="12">
        <v>191</v>
      </c>
      <c r="L13" s="12">
        <v>19262.43</v>
      </c>
      <c r="M13" s="13">
        <v>498.79</v>
      </c>
      <c r="N13">
        <f>YEAR(B13)</f>
        <v>2021</v>
      </c>
      <c r="O13" s="24">
        <f>IFERROR(J13/$I13,0)</f>
        <v>0.35000145112504666</v>
      </c>
      <c r="P13" s="24">
        <f>IFERROR(K13/$I13,0)</f>
        <v>1.3520238239339363E-2</v>
      </c>
      <c r="Q13" s="24" t="str">
        <f>IF($G13&lt;&gt;0,"Beer",IF($H13&lt;&gt;0,"Liquor","-"))</f>
        <v>Beer</v>
      </c>
      <c r="R13" s="26">
        <f>IF($G13&lt;&gt;0,$G13,IF($H13&lt;&gt;0,$H13/0.75,0))</f>
        <v>97.8</v>
      </c>
      <c r="S13" s="32" t="b">
        <f>ISNUMBER(R13)</f>
        <v>1</v>
      </c>
      <c r="T13" s="32"/>
    </row>
    <row r="14" spans="1:22" x14ac:dyDescent="0.3">
      <c r="A14" s="9">
        <v>13</v>
      </c>
      <c r="B14" s="21">
        <v>44311.861180555556</v>
      </c>
      <c r="C14" s="11" t="s">
        <v>24</v>
      </c>
      <c r="D14" s="11" t="str">
        <f>IF(ISNUMBER(SEARCH("OSBC", C14)), "GOVT", "RETAIL")</f>
        <v>GOVT</v>
      </c>
      <c r="E14" s="12">
        <v>498.79</v>
      </c>
      <c r="F14" s="12">
        <v>200000</v>
      </c>
      <c r="G14" s="11">
        <v>0</v>
      </c>
      <c r="H14" s="11">
        <v>0</v>
      </c>
      <c r="I14" s="12">
        <v>0</v>
      </c>
      <c r="J14" s="12">
        <v>0</v>
      </c>
      <c r="K14" s="12">
        <v>0</v>
      </c>
      <c r="L14" s="12">
        <v>0</v>
      </c>
      <c r="M14" s="13">
        <v>200498.79</v>
      </c>
      <c r="N14">
        <f>YEAR(B14)</f>
        <v>2021</v>
      </c>
      <c r="O14" s="24">
        <f>IFERROR(J14/$I14,0)</f>
        <v>0</v>
      </c>
      <c r="P14" s="24">
        <f>IFERROR(K14/$I14,0)</f>
        <v>0</v>
      </c>
      <c r="Q14" s="24" t="str">
        <f>IF($G14&lt;&gt;0,"Beer",IF($H14&lt;&gt;0,"Liquor","-"))</f>
        <v>-</v>
      </c>
      <c r="R14" s="26">
        <f>IF($G14&lt;&gt;0,$G14,IF($H14&lt;&gt;0,$H14/0.75,0))</f>
        <v>0</v>
      </c>
      <c r="S14" s="32" t="b">
        <f>ISNUMBER(R14)</f>
        <v>1</v>
      </c>
      <c r="T14" s="32"/>
    </row>
    <row r="15" spans="1:22" x14ac:dyDescent="0.3">
      <c r="A15" s="9">
        <v>14</v>
      </c>
      <c r="B15" s="21">
        <v>44311.862638888888</v>
      </c>
      <c r="C15" s="11" t="s">
        <v>25</v>
      </c>
      <c r="D15" s="11" t="str">
        <f>IF(ISNUMBER(SEARCH("OSBC", C15)), "GOVT", "RETAIL")</f>
        <v>GOVT</v>
      </c>
      <c r="E15" s="12">
        <v>200498.79</v>
      </c>
      <c r="F15" s="12">
        <v>209000</v>
      </c>
      <c r="G15" s="11">
        <v>0</v>
      </c>
      <c r="H15" s="11">
        <v>0</v>
      </c>
      <c r="I15" s="12">
        <v>0</v>
      </c>
      <c r="J15" s="12">
        <v>0</v>
      </c>
      <c r="K15" s="12">
        <v>0</v>
      </c>
      <c r="L15" s="12">
        <v>0</v>
      </c>
      <c r="M15" s="13">
        <v>409498.79</v>
      </c>
      <c r="N15">
        <f>YEAR(B15)</f>
        <v>2021</v>
      </c>
      <c r="O15" s="24">
        <f>IFERROR(J15/$I15,0)</f>
        <v>0</v>
      </c>
      <c r="P15" s="24">
        <f>IFERROR(K15/$I15,0)</f>
        <v>0</v>
      </c>
      <c r="Q15" s="24" t="str">
        <f>IF($G15&lt;&gt;0,"Beer",IF($H15&lt;&gt;0,"Liquor","-"))</f>
        <v>-</v>
      </c>
      <c r="R15" s="26">
        <f>IF($G15&lt;&gt;0,$G15,IF($H15&lt;&gt;0,$H15/0.75,0))</f>
        <v>0</v>
      </c>
      <c r="S15" s="32" t="b">
        <f>ISNUMBER(R15)</f>
        <v>1</v>
      </c>
      <c r="T15" s="32"/>
    </row>
    <row r="16" spans="1:22" x14ac:dyDescent="0.3">
      <c r="A16" s="9">
        <v>15</v>
      </c>
      <c r="B16" s="21">
        <v>44312.463078703702</v>
      </c>
      <c r="C16" s="11" t="s">
        <v>26</v>
      </c>
      <c r="D16" s="11" t="str">
        <f>IF(ISNUMBER(SEARCH("OSBC", C16)), "GOVT", "RETAIL")</f>
        <v>RETAIL</v>
      </c>
      <c r="E16" s="12">
        <v>409498.79</v>
      </c>
      <c r="F16" s="12">
        <v>0</v>
      </c>
      <c r="G16" s="11">
        <v>549</v>
      </c>
      <c r="H16" s="11">
        <v>0</v>
      </c>
      <c r="I16" s="12">
        <v>82936.45</v>
      </c>
      <c r="J16" s="12">
        <v>29027.85</v>
      </c>
      <c r="K16" s="12">
        <v>1120</v>
      </c>
      <c r="L16" s="12">
        <v>113084.3</v>
      </c>
      <c r="M16" s="13">
        <v>296414.49</v>
      </c>
      <c r="N16">
        <f>YEAR(B16)</f>
        <v>2021</v>
      </c>
      <c r="O16" s="24">
        <f>IFERROR(J16/$I16,0)</f>
        <v>0.35000111531178391</v>
      </c>
      <c r="P16" s="24">
        <f>IFERROR(K16/$I16,0)</f>
        <v>1.3504315653732467E-2</v>
      </c>
      <c r="Q16" s="24" t="str">
        <f>IF($G16&lt;&gt;0,"Beer",IF($H16&lt;&gt;0,"Liquor","-"))</f>
        <v>Beer</v>
      </c>
      <c r="R16" s="26">
        <f>IF($G16&lt;&gt;0,$G16,IF($H16&lt;&gt;0,$H16/0.75,0))</f>
        <v>549</v>
      </c>
      <c r="S16" s="32" t="b">
        <f>ISNUMBER(R16)</f>
        <v>1</v>
      </c>
      <c r="T16" s="32"/>
    </row>
    <row r="17" spans="1:20" x14ac:dyDescent="0.3">
      <c r="A17" s="9">
        <v>16</v>
      </c>
      <c r="B17" s="21">
        <v>44312.49046296296</v>
      </c>
      <c r="C17" s="11" t="s">
        <v>27</v>
      </c>
      <c r="D17" s="11" t="str">
        <f>IF(ISNUMBER(SEARCH("OSBC", C17)), "GOVT", "RETAIL")</f>
        <v>RETAIL</v>
      </c>
      <c r="E17" s="12">
        <v>296414.49</v>
      </c>
      <c r="F17" s="12">
        <v>0</v>
      </c>
      <c r="G17" s="11">
        <v>0</v>
      </c>
      <c r="H17" s="11">
        <v>267.02999999999997</v>
      </c>
      <c r="I17" s="12">
        <v>216587.35</v>
      </c>
      <c r="J17" s="12">
        <v>75805.62</v>
      </c>
      <c r="K17" s="12">
        <v>2924</v>
      </c>
      <c r="L17" s="12">
        <v>295316.96999999997</v>
      </c>
      <c r="M17" s="13">
        <v>1097.52</v>
      </c>
      <c r="N17">
        <f>YEAR(B17)</f>
        <v>2021</v>
      </c>
      <c r="O17" s="24">
        <f>IFERROR(J17/$I17,0)</f>
        <v>0.35000021931105391</v>
      </c>
      <c r="P17" s="24">
        <f>IFERROR(K17/$I17,0)</f>
        <v>1.350032677347038E-2</v>
      </c>
      <c r="Q17" s="24" t="str">
        <f>IF($G17&lt;&gt;0,"Beer",IF($H17&lt;&gt;0,"Liquor","-"))</f>
        <v>Liquor</v>
      </c>
      <c r="R17" s="26">
        <f>IF($G17&lt;&gt;0,$G17,IF($H17&lt;&gt;0,$H17/0.75,0))</f>
        <v>356.03999999999996</v>
      </c>
      <c r="S17" s="32" t="b">
        <f>ISNUMBER(R17)</f>
        <v>1</v>
      </c>
      <c r="T17" s="32"/>
    </row>
    <row r="18" spans="1:20" x14ac:dyDescent="0.3">
      <c r="A18" s="9">
        <v>17</v>
      </c>
      <c r="B18" s="21">
        <v>44313.447638888887</v>
      </c>
      <c r="C18" s="11" t="s">
        <v>28</v>
      </c>
      <c r="D18" s="11" t="str">
        <f>IF(ISNUMBER(SEARCH("OSBC", C18)), "GOVT", "RETAIL")</f>
        <v>GOVT</v>
      </c>
      <c r="E18" s="12">
        <v>1097.52</v>
      </c>
      <c r="F18" s="12">
        <v>143000</v>
      </c>
      <c r="G18" s="11">
        <v>0</v>
      </c>
      <c r="H18" s="11">
        <v>0</v>
      </c>
      <c r="I18" s="12">
        <v>0</v>
      </c>
      <c r="J18" s="12">
        <v>0</v>
      </c>
      <c r="K18" s="12">
        <v>0</v>
      </c>
      <c r="L18" s="12">
        <v>0</v>
      </c>
      <c r="M18" s="13">
        <v>144097.51999999999</v>
      </c>
      <c r="N18">
        <f>YEAR(B18)</f>
        <v>2021</v>
      </c>
      <c r="O18" s="24">
        <f>IFERROR(J18/$I18,0)</f>
        <v>0</v>
      </c>
      <c r="P18" s="24">
        <f>IFERROR(K18/$I18,0)</f>
        <v>0</v>
      </c>
      <c r="Q18" s="24" t="str">
        <f>IF($G18&lt;&gt;0,"Beer",IF($H18&lt;&gt;0,"Liquor","-"))</f>
        <v>-</v>
      </c>
      <c r="R18" s="26">
        <f>IF($G18&lt;&gt;0,$G18,IF($H18&lt;&gt;0,$H18/0.75,0))</f>
        <v>0</v>
      </c>
      <c r="S18" s="32" t="b">
        <f>ISNUMBER(R18)</f>
        <v>1</v>
      </c>
      <c r="T18" s="32"/>
    </row>
    <row r="19" spans="1:20" x14ac:dyDescent="0.3">
      <c r="A19" s="9">
        <v>18</v>
      </c>
      <c r="B19" s="21">
        <v>44313.674166666664</v>
      </c>
      <c r="C19" s="11" t="s">
        <v>29</v>
      </c>
      <c r="D19" s="11" t="str">
        <f>IF(ISNUMBER(SEARCH("OSBC", C19)), "GOVT", "RETAIL")</f>
        <v>RETAIL</v>
      </c>
      <c r="E19" s="12">
        <v>144097.51999999999</v>
      </c>
      <c r="F19" s="12">
        <v>0</v>
      </c>
      <c r="G19" s="11">
        <v>0</v>
      </c>
      <c r="H19" s="11">
        <v>97.74</v>
      </c>
      <c r="I19" s="12">
        <v>79523.81</v>
      </c>
      <c r="J19" s="12">
        <v>27833.360000000001</v>
      </c>
      <c r="K19" s="12">
        <v>1074</v>
      </c>
      <c r="L19" s="12">
        <v>108431.17</v>
      </c>
      <c r="M19" s="13">
        <v>35666.35</v>
      </c>
      <c r="N19">
        <f>YEAR(B19)</f>
        <v>2021</v>
      </c>
      <c r="O19" s="24">
        <f>IFERROR(J19/$I19,0)</f>
        <v>0.35000033323353097</v>
      </c>
      <c r="P19" s="24">
        <f>IFERROR(K19/$I19,0)</f>
        <v>1.3505389140686294E-2</v>
      </c>
      <c r="Q19" s="24" t="str">
        <f>IF($G19&lt;&gt;0,"Beer",IF($H19&lt;&gt;0,"Liquor","-"))</f>
        <v>Liquor</v>
      </c>
      <c r="R19" s="26">
        <f>IF($G19&lt;&gt;0,$G19,IF($H19&lt;&gt;0,$H19/0.75,0))</f>
        <v>130.32</v>
      </c>
      <c r="S19" s="32" t="b">
        <f>ISNUMBER(R19)</f>
        <v>1</v>
      </c>
      <c r="T19" s="32"/>
    </row>
    <row r="20" spans="1:20" x14ac:dyDescent="0.3">
      <c r="A20" s="9">
        <v>19</v>
      </c>
      <c r="B20" s="21">
        <v>44313.674583333333</v>
      </c>
      <c r="C20" s="11" t="s">
        <v>30</v>
      </c>
      <c r="D20" s="11" t="str">
        <f>IF(ISNUMBER(SEARCH("OSBC", C20)), "GOVT", "RETAIL")</f>
        <v>RETAIL</v>
      </c>
      <c r="E20" s="12">
        <v>35666.35</v>
      </c>
      <c r="F20" s="12">
        <v>0</v>
      </c>
      <c r="G20" s="11">
        <v>173.4</v>
      </c>
      <c r="H20" s="11">
        <v>0</v>
      </c>
      <c r="I20" s="12">
        <v>25872.99</v>
      </c>
      <c r="J20" s="12">
        <v>9055.59</v>
      </c>
      <c r="K20" s="12">
        <v>349</v>
      </c>
      <c r="L20" s="12">
        <v>35277.58</v>
      </c>
      <c r="M20" s="13">
        <v>388.77</v>
      </c>
      <c r="N20">
        <f>YEAR(B20)</f>
        <v>2021</v>
      </c>
      <c r="O20" s="24">
        <f>IFERROR(J20/$I20,0)</f>
        <v>0.35000168129002485</v>
      </c>
      <c r="P20" s="24">
        <f>IFERROR(K20/$I20,0)</f>
        <v>1.3488970544185267E-2</v>
      </c>
      <c r="Q20" s="24" t="str">
        <f>IF($G20&lt;&gt;0,"Beer",IF($H20&lt;&gt;0,"Liquor","-"))</f>
        <v>Beer</v>
      </c>
      <c r="R20" s="26">
        <f>IF($G20&lt;&gt;0,$G20,IF($H20&lt;&gt;0,$H20/0.75,0))</f>
        <v>173.4</v>
      </c>
      <c r="S20" s="32" t="b">
        <f>ISNUMBER(R20)</f>
        <v>1</v>
      </c>
      <c r="T20" s="32"/>
    </row>
    <row r="21" spans="1:20" x14ac:dyDescent="0.3">
      <c r="A21" s="9">
        <v>20</v>
      </c>
      <c r="B21" s="21">
        <v>44314.531064814815</v>
      </c>
      <c r="C21" s="11" t="s">
        <v>31</v>
      </c>
      <c r="D21" s="11" t="str">
        <f>IF(ISNUMBER(SEARCH("OSBC", C21)), "GOVT", "RETAIL")</f>
        <v>GOVT</v>
      </c>
      <c r="E21" s="12">
        <v>388.77</v>
      </c>
      <c r="F21" s="12">
        <v>100000</v>
      </c>
      <c r="G21" s="11">
        <v>0</v>
      </c>
      <c r="H21" s="11">
        <v>0</v>
      </c>
      <c r="I21" s="12">
        <v>0</v>
      </c>
      <c r="J21" s="12">
        <v>0</v>
      </c>
      <c r="K21" s="12">
        <v>0</v>
      </c>
      <c r="L21" s="12">
        <v>0</v>
      </c>
      <c r="M21" s="13">
        <v>100388.77</v>
      </c>
      <c r="N21">
        <f>YEAR(B21)</f>
        <v>2021</v>
      </c>
      <c r="O21" s="24">
        <f>IFERROR(J21/$I21,0)</f>
        <v>0</v>
      </c>
      <c r="P21" s="24">
        <f>IFERROR(K21/$I21,0)</f>
        <v>0</v>
      </c>
      <c r="Q21" s="24" t="str">
        <f>IF($G21&lt;&gt;0,"Beer",IF($H21&lt;&gt;0,"Liquor","-"))</f>
        <v>-</v>
      </c>
      <c r="R21" s="26">
        <f>IF($G21&lt;&gt;0,$G21,IF($H21&lt;&gt;0,$H21/0.75,0))</f>
        <v>0</v>
      </c>
      <c r="S21" s="32" t="b">
        <f>ISNUMBER(R21)</f>
        <v>1</v>
      </c>
      <c r="T21" s="32"/>
    </row>
    <row r="22" spans="1:20" x14ac:dyDescent="0.3">
      <c r="A22" s="9">
        <v>21</v>
      </c>
      <c r="B22" s="21">
        <v>44314.627430555556</v>
      </c>
      <c r="C22" s="11" t="s">
        <v>32</v>
      </c>
      <c r="D22" s="11" t="str">
        <f>IF(ISNUMBER(SEARCH("OSBC", C22)), "GOVT", "RETAIL")</f>
        <v>RETAIL</v>
      </c>
      <c r="E22" s="12">
        <v>100388.77</v>
      </c>
      <c r="F22" s="12">
        <v>0</v>
      </c>
      <c r="G22" s="11">
        <v>0</v>
      </c>
      <c r="H22" s="11">
        <v>78.84</v>
      </c>
      <c r="I22" s="12">
        <v>62380.95</v>
      </c>
      <c r="J22" s="12">
        <v>21833.35</v>
      </c>
      <c r="K22" s="12">
        <v>842</v>
      </c>
      <c r="L22" s="12">
        <v>85056.3</v>
      </c>
      <c r="M22" s="13">
        <v>15332.47</v>
      </c>
      <c r="N22">
        <f>YEAR(B22)</f>
        <v>2021</v>
      </c>
      <c r="O22" s="24">
        <f>IFERROR(J22/$I22,0)</f>
        <v>0.35000028053436183</v>
      </c>
      <c r="P22" s="24">
        <f>IFERROR(K22/$I22,0)</f>
        <v>1.349771043884391E-2</v>
      </c>
      <c r="Q22" s="24" t="str">
        <f>IF($G22&lt;&gt;0,"Beer",IF($H22&lt;&gt;0,"Liquor","-"))</f>
        <v>Liquor</v>
      </c>
      <c r="R22" s="26">
        <f>IF($G22&lt;&gt;0,$G22,IF($H22&lt;&gt;0,$H22/0.75,0))</f>
        <v>105.12</v>
      </c>
      <c r="S22" s="32" t="b">
        <f>ISNUMBER(R22)</f>
        <v>1</v>
      </c>
      <c r="T22" s="32"/>
    </row>
    <row r="23" spans="1:20" x14ac:dyDescent="0.3">
      <c r="A23" s="9">
        <v>22</v>
      </c>
      <c r="B23" s="21">
        <v>44314.627870370372</v>
      </c>
      <c r="C23" s="11" t="s">
        <v>33</v>
      </c>
      <c r="D23" s="11" t="str">
        <f>IF(ISNUMBER(SEARCH("OSBC", C23)), "GOVT", "RETAIL")</f>
        <v>RETAIL</v>
      </c>
      <c r="E23" s="12">
        <v>15332.47</v>
      </c>
      <c r="F23" s="12">
        <v>0</v>
      </c>
      <c r="G23" s="11">
        <v>78</v>
      </c>
      <c r="H23" s="11">
        <v>0</v>
      </c>
      <c r="I23" s="12">
        <v>11111.1</v>
      </c>
      <c r="J23" s="12">
        <v>3888.89</v>
      </c>
      <c r="K23" s="12">
        <v>150</v>
      </c>
      <c r="L23" s="12">
        <v>15149.98</v>
      </c>
      <c r="M23" s="13">
        <v>182.49</v>
      </c>
      <c r="N23">
        <f>YEAR(B23)</f>
        <v>2021</v>
      </c>
      <c r="O23" s="24">
        <f>IFERROR(J23/$I23,0)</f>
        <v>0.35000045000044999</v>
      </c>
      <c r="P23" s="24">
        <f>IFERROR(K23/$I23,0)</f>
        <v>1.3500013500013499E-2</v>
      </c>
      <c r="Q23" s="24" t="str">
        <f>IF($G23&lt;&gt;0,"Beer",IF($H23&lt;&gt;0,"Liquor","-"))</f>
        <v>Beer</v>
      </c>
      <c r="R23" s="26">
        <f>IF($G23&lt;&gt;0,$G23,IF($H23&lt;&gt;0,$H23/0.75,0))</f>
        <v>78</v>
      </c>
      <c r="S23" s="32" t="b">
        <f>ISNUMBER(R23)</f>
        <v>1</v>
      </c>
      <c r="T23" s="32"/>
    </row>
    <row r="24" spans="1:20" x14ac:dyDescent="0.3">
      <c r="A24" s="9">
        <v>23</v>
      </c>
      <c r="B24" s="21">
        <v>44315.477025462962</v>
      </c>
      <c r="C24" s="11" t="s">
        <v>34</v>
      </c>
      <c r="D24" s="11" t="str">
        <f>IF(ISNUMBER(SEARCH("OSBC", C24)), "GOVT", "RETAIL")</f>
        <v>GOVT</v>
      </c>
      <c r="E24" s="12">
        <v>182.49</v>
      </c>
      <c r="F24" s="12">
        <v>20000</v>
      </c>
      <c r="G24" s="11">
        <v>0</v>
      </c>
      <c r="H24" s="11">
        <v>0</v>
      </c>
      <c r="I24" s="12">
        <v>0</v>
      </c>
      <c r="J24" s="12">
        <v>0</v>
      </c>
      <c r="K24" s="12">
        <v>0</v>
      </c>
      <c r="L24" s="12">
        <v>0</v>
      </c>
      <c r="M24" s="13">
        <v>20182.490000000002</v>
      </c>
      <c r="N24">
        <f>YEAR(B24)</f>
        <v>2021</v>
      </c>
      <c r="O24" s="24">
        <f>IFERROR(J24/$I24,0)</f>
        <v>0</v>
      </c>
      <c r="P24" s="24">
        <f>IFERROR(K24/$I24,0)</f>
        <v>0</v>
      </c>
      <c r="Q24" s="24" t="str">
        <f>IF($G24&lt;&gt;0,"Beer",IF($H24&lt;&gt;0,"Liquor","-"))</f>
        <v>-</v>
      </c>
      <c r="R24" s="26">
        <f>IF($G24&lt;&gt;0,$G24,IF($H24&lt;&gt;0,$H24/0.75,0))</f>
        <v>0</v>
      </c>
      <c r="S24" s="32" t="b">
        <f>ISNUMBER(R24)</f>
        <v>1</v>
      </c>
      <c r="T24" s="32"/>
    </row>
    <row r="25" spans="1:20" x14ac:dyDescent="0.3">
      <c r="A25" s="9">
        <v>24</v>
      </c>
      <c r="B25" s="21">
        <v>44315.681631944448</v>
      </c>
      <c r="C25" s="11" t="s">
        <v>35</v>
      </c>
      <c r="D25" s="11" t="str">
        <f>IF(ISNUMBER(SEARCH("OSBC", C25)), "GOVT", "RETAIL")</f>
        <v>RETAIL</v>
      </c>
      <c r="E25" s="12">
        <v>20182.490000000002</v>
      </c>
      <c r="F25" s="12">
        <v>0</v>
      </c>
      <c r="G25" s="11">
        <v>91.2</v>
      </c>
      <c r="H25" s="11">
        <v>0</v>
      </c>
      <c r="I25" s="12">
        <v>14603.16</v>
      </c>
      <c r="J25" s="12">
        <v>5111.1099999999997</v>
      </c>
      <c r="K25" s="12">
        <v>197.14</v>
      </c>
      <c r="L25" s="12">
        <v>19911.41</v>
      </c>
      <c r="M25" s="13">
        <v>271.08</v>
      </c>
      <c r="N25">
        <f>YEAR(B25)</f>
        <v>2021</v>
      </c>
      <c r="O25" s="24">
        <f>IFERROR(J25/$I25,0)</f>
        <v>0.35000027391331739</v>
      </c>
      <c r="P25" s="24">
        <f>IFERROR(K25/$I25,0)</f>
        <v>1.3499817847643933E-2</v>
      </c>
      <c r="Q25" s="24" t="str">
        <f>IF($G25&lt;&gt;0,"Beer",IF($H25&lt;&gt;0,"Liquor","-"))</f>
        <v>Beer</v>
      </c>
      <c r="R25" s="26">
        <f>IF($G25&lt;&gt;0,$G25,IF($H25&lt;&gt;0,$H25/0.75,0))</f>
        <v>91.2</v>
      </c>
      <c r="S25" s="32" t="b">
        <f>ISNUMBER(R25)</f>
        <v>1</v>
      </c>
      <c r="T25" s="32"/>
    </row>
    <row r="26" spans="1:20" x14ac:dyDescent="0.3">
      <c r="A26" s="9">
        <v>25</v>
      </c>
      <c r="B26" s="21">
        <v>44316.448101851849</v>
      </c>
      <c r="C26" s="11" t="s">
        <v>36</v>
      </c>
      <c r="D26" s="11" t="str">
        <f>IF(ISNUMBER(SEARCH("OSBC", C26)), "GOVT", "RETAIL")</f>
        <v>GOVT</v>
      </c>
      <c r="E26" s="12">
        <v>271.08</v>
      </c>
      <c r="F26" s="12">
        <v>56000</v>
      </c>
      <c r="G26" s="11">
        <v>0</v>
      </c>
      <c r="H26" s="11">
        <v>0</v>
      </c>
      <c r="I26" s="12">
        <v>0</v>
      </c>
      <c r="J26" s="12">
        <v>0</v>
      </c>
      <c r="K26" s="12">
        <v>0</v>
      </c>
      <c r="L26" s="12">
        <v>0</v>
      </c>
      <c r="M26" s="13">
        <v>56271.08</v>
      </c>
      <c r="N26">
        <f>YEAR(B26)</f>
        <v>2021</v>
      </c>
      <c r="O26" s="24">
        <f>IFERROR(J26/$I26,0)</f>
        <v>0</v>
      </c>
      <c r="P26" s="24">
        <f>IFERROR(K26/$I26,0)</f>
        <v>0</v>
      </c>
      <c r="Q26" s="24" t="str">
        <f>IF($G26&lt;&gt;0,"Beer",IF($H26&lt;&gt;0,"Liquor","-"))</f>
        <v>-</v>
      </c>
      <c r="R26" s="26">
        <f>IF($G26&lt;&gt;0,$G26,IF($H26&lt;&gt;0,$H26/0.75,0))</f>
        <v>0</v>
      </c>
      <c r="S26" s="32" t="b">
        <f>ISNUMBER(R26)</f>
        <v>1</v>
      </c>
      <c r="T26" s="32"/>
    </row>
    <row r="27" spans="1:20" x14ac:dyDescent="0.3">
      <c r="A27" s="9">
        <v>26</v>
      </c>
      <c r="B27" s="21">
        <v>44316.501539351855</v>
      </c>
      <c r="C27" s="11" t="s">
        <v>37</v>
      </c>
      <c r="D27" s="11" t="str">
        <f>IF(ISNUMBER(SEARCH("OSBC", C27)), "GOVT", "RETAIL")</f>
        <v>RETAIL</v>
      </c>
      <c r="E27" s="12">
        <v>56271.08</v>
      </c>
      <c r="F27" s="12">
        <v>0</v>
      </c>
      <c r="G27" s="11">
        <v>288.60000000000002</v>
      </c>
      <c r="H27" s="11">
        <v>0</v>
      </c>
      <c r="I27" s="12">
        <v>41111.07</v>
      </c>
      <c r="J27" s="12">
        <v>14388.87</v>
      </c>
      <c r="K27" s="12">
        <v>555</v>
      </c>
      <c r="L27" s="12">
        <v>56054.94</v>
      </c>
      <c r="M27" s="13">
        <v>216.14</v>
      </c>
      <c r="N27">
        <f>YEAR(B27)</f>
        <v>2021</v>
      </c>
      <c r="O27" s="24">
        <f>IFERROR(J27/$I27,0)</f>
        <v>0.34999989054043112</v>
      </c>
      <c r="P27" s="24">
        <f>IFERROR(K27/$I27,0)</f>
        <v>1.3500013500013499E-2</v>
      </c>
      <c r="Q27" s="24" t="str">
        <f>IF($G27&lt;&gt;0,"Beer",IF($H27&lt;&gt;0,"Liquor","-"))</f>
        <v>Beer</v>
      </c>
      <c r="R27" s="26">
        <f>IF($G27&lt;&gt;0,$G27,IF($H27&lt;&gt;0,$H27/0.75,0))</f>
        <v>288.60000000000002</v>
      </c>
      <c r="S27" s="32" t="b">
        <f>ISNUMBER(R27)</f>
        <v>1</v>
      </c>
      <c r="T27" s="32"/>
    </row>
    <row r="28" spans="1:20" x14ac:dyDescent="0.3">
      <c r="A28" s="9">
        <v>27</v>
      </c>
      <c r="B28" s="21">
        <v>44317.845706018517</v>
      </c>
      <c r="C28" s="11" t="s">
        <v>38</v>
      </c>
      <c r="D28" s="11" t="str">
        <f>IF(ISNUMBER(SEARCH("OSBC", C28)), "GOVT", "RETAIL")</f>
        <v>GOVT</v>
      </c>
      <c r="E28" s="12">
        <v>216.14</v>
      </c>
      <c r="F28" s="12">
        <v>500000</v>
      </c>
      <c r="G28" s="11">
        <v>0</v>
      </c>
      <c r="H28" s="11">
        <v>0</v>
      </c>
      <c r="I28" s="12">
        <v>0</v>
      </c>
      <c r="J28" s="12">
        <v>0</v>
      </c>
      <c r="K28" s="12">
        <v>0</v>
      </c>
      <c r="L28" s="12">
        <v>0</v>
      </c>
      <c r="M28" s="13">
        <v>500216.14</v>
      </c>
      <c r="N28">
        <f>YEAR(B28)</f>
        <v>2021</v>
      </c>
      <c r="O28" s="24">
        <f>IFERROR(J28/$I28,0)</f>
        <v>0</v>
      </c>
      <c r="P28" s="24">
        <f>IFERROR(K28/$I28,0)</f>
        <v>0</v>
      </c>
      <c r="Q28" s="24" t="str">
        <f>IF($G28&lt;&gt;0,"Beer",IF($H28&lt;&gt;0,"Liquor","-"))</f>
        <v>-</v>
      </c>
      <c r="R28" s="26">
        <f>IF($G28&lt;&gt;0,$G28,IF($H28&lt;&gt;0,$H28/0.75,0))</f>
        <v>0</v>
      </c>
      <c r="S28" s="32" t="b">
        <f>ISNUMBER(R28)</f>
        <v>1</v>
      </c>
      <c r="T28" s="32"/>
    </row>
    <row r="29" spans="1:20" x14ac:dyDescent="0.3">
      <c r="A29" s="9">
        <v>28</v>
      </c>
      <c r="B29" s="21">
        <v>44318.865983796299</v>
      </c>
      <c r="C29" s="11" t="s">
        <v>39</v>
      </c>
      <c r="D29" s="11" t="str">
        <f>IF(ISNUMBER(SEARCH("OSBC", C29)), "GOVT", "RETAIL")</f>
        <v>GOVT</v>
      </c>
      <c r="E29" s="12">
        <v>500216.14</v>
      </c>
      <c r="F29" s="12">
        <v>200000</v>
      </c>
      <c r="G29" s="11">
        <v>0</v>
      </c>
      <c r="H29" s="11">
        <v>0</v>
      </c>
      <c r="I29" s="12">
        <v>0</v>
      </c>
      <c r="J29" s="12">
        <v>0</v>
      </c>
      <c r="K29" s="12">
        <v>0</v>
      </c>
      <c r="L29" s="12">
        <v>0</v>
      </c>
      <c r="M29" s="13">
        <v>700216.14</v>
      </c>
      <c r="N29">
        <f>YEAR(B29)</f>
        <v>2021</v>
      </c>
      <c r="O29" s="24">
        <f>IFERROR(J29/$I29,0)</f>
        <v>0</v>
      </c>
      <c r="P29" s="24">
        <f>IFERROR(K29/$I29,0)</f>
        <v>0</v>
      </c>
      <c r="Q29" s="24" t="str">
        <f>IF($G29&lt;&gt;0,"Beer",IF($H29&lt;&gt;0,"Liquor","-"))</f>
        <v>-</v>
      </c>
      <c r="R29" s="26">
        <f>IF($G29&lt;&gt;0,$G29,IF($H29&lt;&gt;0,$H29/0.75,0))</f>
        <v>0</v>
      </c>
      <c r="S29" s="32" t="b">
        <f>ISNUMBER(R29)</f>
        <v>1</v>
      </c>
      <c r="T29" s="32"/>
    </row>
    <row r="30" spans="1:20" x14ac:dyDescent="0.3">
      <c r="A30" s="9">
        <v>29</v>
      </c>
      <c r="B30" s="21">
        <v>44319.507210648146</v>
      </c>
      <c r="C30" s="11" t="s">
        <v>40</v>
      </c>
      <c r="D30" s="11" t="str">
        <f>IF(ISNUMBER(SEARCH("OSBC", C30)), "GOVT", "RETAIL")</f>
        <v>RETAIL</v>
      </c>
      <c r="E30" s="12">
        <v>700216.14</v>
      </c>
      <c r="F30" s="12">
        <v>0</v>
      </c>
      <c r="G30" s="11">
        <v>0</v>
      </c>
      <c r="H30" s="11">
        <v>421.61</v>
      </c>
      <c r="I30" s="12">
        <v>355912.76</v>
      </c>
      <c r="J30" s="12">
        <v>124569.47</v>
      </c>
      <c r="K30" s="12">
        <v>4804.82</v>
      </c>
      <c r="L30" s="12">
        <v>485287.04</v>
      </c>
      <c r="M30" s="13">
        <v>214929.1</v>
      </c>
      <c r="N30">
        <f>YEAR(B30)</f>
        <v>2021</v>
      </c>
      <c r="O30" s="24">
        <f>IFERROR(J30/$I30,0)</f>
        <v>0.35000001123870916</v>
      </c>
      <c r="P30" s="24">
        <f>IFERROR(K30/$I30,0)</f>
        <v>1.3499993650129317E-2</v>
      </c>
      <c r="Q30" s="24" t="str">
        <f>IF($G30&lt;&gt;0,"Beer",IF($H30&lt;&gt;0,"Liquor","-"))</f>
        <v>Liquor</v>
      </c>
      <c r="R30" s="26">
        <f>IF($G30&lt;&gt;0,$G30,IF($H30&lt;&gt;0,$H30/0.75,0))</f>
        <v>562.14666666666665</v>
      </c>
      <c r="S30" s="32" t="b">
        <f>ISNUMBER(R30)</f>
        <v>1</v>
      </c>
      <c r="T30" s="32"/>
    </row>
    <row r="31" spans="1:20" x14ac:dyDescent="0.3">
      <c r="A31" s="9">
        <v>30</v>
      </c>
      <c r="B31" s="21">
        <v>44319.507638888892</v>
      </c>
      <c r="C31" s="11" t="s">
        <v>41</v>
      </c>
      <c r="D31" s="11" t="str">
        <f>IF(ISNUMBER(SEARCH("OSBC", C31)), "GOVT", "RETAIL")</f>
        <v>RETAIL</v>
      </c>
      <c r="E31" s="12">
        <v>214929.1</v>
      </c>
      <c r="F31" s="12">
        <v>0</v>
      </c>
      <c r="G31" s="11">
        <v>1012.2</v>
      </c>
      <c r="H31" s="11">
        <v>0</v>
      </c>
      <c r="I31" s="12">
        <v>157301.5</v>
      </c>
      <c r="J31" s="12">
        <v>55055.53</v>
      </c>
      <c r="K31" s="12">
        <v>2123.5700000000002</v>
      </c>
      <c r="L31" s="12">
        <v>214480.6</v>
      </c>
      <c r="M31" s="13">
        <v>448.5</v>
      </c>
      <c r="N31">
        <f>YEAR(B31)</f>
        <v>2021</v>
      </c>
      <c r="O31" s="24">
        <f>IFERROR(J31/$I31,0)</f>
        <v>0.35000003178609229</v>
      </c>
      <c r="P31" s="24">
        <f>IFERROR(K31/$I31,0)</f>
        <v>1.3499998410695385E-2</v>
      </c>
      <c r="Q31" s="24" t="str">
        <f>IF($G31&lt;&gt;0,"Beer",IF($H31&lt;&gt;0,"Liquor","-"))</f>
        <v>Beer</v>
      </c>
      <c r="R31" s="26">
        <f>IF($G31&lt;&gt;0,$G31,IF($H31&lt;&gt;0,$H31/0.75,0))</f>
        <v>1012.2</v>
      </c>
      <c r="S31" s="32" t="b">
        <f>ISNUMBER(R31)</f>
        <v>1</v>
      </c>
      <c r="T31" s="32"/>
    </row>
    <row r="32" spans="1:20" x14ac:dyDescent="0.3">
      <c r="A32" s="9">
        <v>31</v>
      </c>
      <c r="B32" s="21">
        <v>44319.923854166664</v>
      </c>
      <c r="C32" s="11" t="s">
        <v>42</v>
      </c>
      <c r="D32" s="11" t="str">
        <f>IF(ISNUMBER(SEARCH("OSBC", C32)), "GOVT", "RETAIL")</f>
        <v>GOVT</v>
      </c>
      <c r="E32" s="12">
        <v>448.5</v>
      </c>
      <c r="F32" s="12">
        <v>450000</v>
      </c>
      <c r="G32" s="11">
        <v>0</v>
      </c>
      <c r="H32" s="11">
        <v>0</v>
      </c>
      <c r="I32" s="12">
        <v>0</v>
      </c>
      <c r="J32" s="12">
        <v>0</v>
      </c>
      <c r="K32" s="12">
        <v>0</v>
      </c>
      <c r="L32" s="12">
        <v>0</v>
      </c>
      <c r="M32" s="13">
        <v>450448.5</v>
      </c>
      <c r="N32">
        <f>YEAR(B32)</f>
        <v>2021</v>
      </c>
      <c r="O32" s="24">
        <f>IFERROR(J32/$I32,0)</f>
        <v>0</v>
      </c>
      <c r="P32" s="24">
        <f>IFERROR(K32/$I32,0)</f>
        <v>0</v>
      </c>
      <c r="Q32" s="24" t="str">
        <f>IF($G32&lt;&gt;0,"Beer",IF($H32&lt;&gt;0,"Liquor","-"))</f>
        <v>-</v>
      </c>
      <c r="R32" s="26">
        <f>IF($G32&lt;&gt;0,$G32,IF($H32&lt;&gt;0,$H32/0.75,0))</f>
        <v>0</v>
      </c>
      <c r="S32" s="32" t="b">
        <f>ISNUMBER(R32)</f>
        <v>1</v>
      </c>
      <c r="T32" s="32"/>
    </row>
    <row r="33" spans="1:20" x14ac:dyDescent="0.3">
      <c r="A33" s="9">
        <v>32</v>
      </c>
      <c r="B33" s="21">
        <v>44319.975972222222</v>
      </c>
      <c r="C33" s="11" t="s">
        <v>43</v>
      </c>
      <c r="D33" s="11" t="str">
        <f>IF(ISNUMBER(SEARCH("OSBC", C33)), "GOVT", "RETAIL")</f>
        <v>GOVT</v>
      </c>
      <c r="E33" s="12">
        <v>450448.5</v>
      </c>
      <c r="F33" s="12">
        <v>314000</v>
      </c>
      <c r="G33" s="11">
        <v>0</v>
      </c>
      <c r="H33" s="11">
        <v>0</v>
      </c>
      <c r="I33" s="12">
        <v>0</v>
      </c>
      <c r="J33" s="12">
        <v>0</v>
      </c>
      <c r="K33" s="12">
        <v>0</v>
      </c>
      <c r="L33" s="12">
        <v>0</v>
      </c>
      <c r="M33" s="13">
        <v>764448.5</v>
      </c>
      <c r="N33">
        <f>YEAR(B33)</f>
        <v>2021</v>
      </c>
      <c r="O33" s="24">
        <f>IFERROR(J33/$I33,0)</f>
        <v>0</v>
      </c>
      <c r="P33" s="24">
        <f>IFERROR(K33/$I33,0)</f>
        <v>0</v>
      </c>
      <c r="Q33" s="24" t="str">
        <f>IF($G33&lt;&gt;0,"Beer",IF($H33&lt;&gt;0,"Liquor","-"))</f>
        <v>-</v>
      </c>
      <c r="R33" s="26">
        <f>IF($G33&lt;&gt;0,$G33,IF($H33&lt;&gt;0,$H33/0.75,0))</f>
        <v>0</v>
      </c>
      <c r="S33" s="32" t="b">
        <f>ISNUMBER(R33)</f>
        <v>1</v>
      </c>
      <c r="T33" s="32"/>
    </row>
    <row r="34" spans="1:20" x14ac:dyDescent="0.3">
      <c r="A34" s="9">
        <v>33</v>
      </c>
      <c r="B34" s="21">
        <v>44320.040682870371</v>
      </c>
      <c r="C34" s="11" t="s">
        <v>44</v>
      </c>
      <c r="D34" s="11" t="str">
        <f>IF(ISNUMBER(SEARCH("OSBC", C34)), "GOVT", "RETAIL")</f>
        <v>GOVT</v>
      </c>
      <c r="E34" s="12">
        <v>764448.5</v>
      </c>
      <c r="F34" s="12">
        <v>389000</v>
      </c>
      <c r="G34" s="11">
        <v>0</v>
      </c>
      <c r="H34" s="11">
        <v>0</v>
      </c>
      <c r="I34" s="12">
        <v>0</v>
      </c>
      <c r="J34" s="12">
        <v>0</v>
      </c>
      <c r="K34" s="12">
        <v>0</v>
      </c>
      <c r="L34" s="12">
        <v>0</v>
      </c>
      <c r="M34" s="13">
        <v>1153448.5</v>
      </c>
      <c r="N34">
        <f>YEAR(B34)</f>
        <v>2021</v>
      </c>
      <c r="O34" s="24">
        <f>IFERROR(J34/$I34,0)</f>
        <v>0</v>
      </c>
      <c r="P34" s="24">
        <f>IFERROR(K34/$I34,0)</f>
        <v>0</v>
      </c>
      <c r="Q34" s="24" t="str">
        <f>IF($G34&lt;&gt;0,"Beer",IF($H34&lt;&gt;0,"Liquor","-"))</f>
        <v>-</v>
      </c>
      <c r="R34" s="26">
        <f>IF($G34&lt;&gt;0,$G34,IF($H34&lt;&gt;0,$H34/0.75,0))</f>
        <v>0</v>
      </c>
      <c r="S34" s="32" t="b">
        <f>ISNUMBER(R34)</f>
        <v>1</v>
      </c>
      <c r="T34" s="32"/>
    </row>
    <row r="35" spans="1:20" x14ac:dyDescent="0.3">
      <c r="A35" s="9">
        <v>34</v>
      </c>
      <c r="B35" s="21">
        <v>44320.372337962966</v>
      </c>
      <c r="C35" s="11" t="s">
        <v>45</v>
      </c>
      <c r="D35" s="11" t="str">
        <f>IF(ISNUMBER(SEARCH("OSBC", C35)), "GOVT", "RETAIL")</f>
        <v>GOVT</v>
      </c>
      <c r="E35" s="12">
        <v>1153448.5</v>
      </c>
      <c r="F35" s="12">
        <v>300000</v>
      </c>
      <c r="G35" s="11">
        <v>0</v>
      </c>
      <c r="H35" s="11">
        <v>0</v>
      </c>
      <c r="I35" s="12">
        <v>0</v>
      </c>
      <c r="J35" s="12">
        <v>0</v>
      </c>
      <c r="K35" s="12">
        <v>0</v>
      </c>
      <c r="L35" s="12">
        <v>0</v>
      </c>
      <c r="M35" s="13">
        <v>1453448.5</v>
      </c>
      <c r="N35">
        <f>YEAR(B35)</f>
        <v>2021</v>
      </c>
      <c r="O35" s="24">
        <f>IFERROR(J35/$I35,0)</f>
        <v>0</v>
      </c>
      <c r="P35" s="24">
        <f>IFERROR(K35/$I35,0)</f>
        <v>0</v>
      </c>
      <c r="Q35" s="24" t="str">
        <f>IF($G35&lt;&gt;0,"Beer",IF($H35&lt;&gt;0,"Liquor","-"))</f>
        <v>-</v>
      </c>
      <c r="R35" s="26">
        <f>IF($G35&lt;&gt;0,$G35,IF($H35&lt;&gt;0,$H35/0.75,0))</f>
        <v>0</v>
      </c>
      <c r="S35" s="32" t="b">
        <f>ISNUMBER(R35)</f>
        <v>1</v>
      </c>
      <c r="T35" s="32"/>
    </row>
    <row r="36" spans="1:20" x14ac:dyDescent="0.3">
      <c r="A36" s="9">
        <v>35</v>
      </c>
      <c r="B36" s="21">
        <v>44320.624351851853</v>
      </c>
      <c r="C36" s="11" t="s">
        <v>46</v>
      </c>
      <c r="D36" s="11" t="str">
        <f>IF(ISNUMBER(SEARCH("OSBC", C36)), "GOVT", "RETAIL")</f>
        <v>RETAIL</v>
      </c>
      <c r="E36" s="12">
        <v>1453448.5</v>
      </c>
      <c r="F36" s="12">
        <v>0</v>
      </c>
      <c r="G36" s="11">
        <v>1392</v>
      </c>
      <c r="H36" s="11">
        <v>0</v>
      </c>
      <c r="I36" s="12">
        <v>220952.16</v>
      </c>
      <c r="J36" s="12">
        <v>77333.259999999995</v>
      </c>
      <c r="K36" s="12">
        <v>2982.85</v>
      </c>
      <c r="L36" s="12">
        <v>301268.27</v>
      </c>
      <c r="M36" s="13">
        <v>1152180.23</v>
      </c>
      <c r="N36">
        <f>YEAR(B36)</f>
        <v>2021</v>
      </c>
      <c r="O36" s="24">
        <f>IFERROR(J36/$I36,0)</f>
        <v>0.35000001810346637</v>
      </c>
      <c r="P36" s="24">
        <f>IFERROR(K36/$I36,0)</f>
        <v>1.3499981172394964E-2</v>
      </c>
      <c r="Q36" s="24" t="str">
        <f>IF($G36&lt;&gt;0,"Beer",IF($H36&lt;&gt;0,"Liquor","-"))</f>
        <v>Beer</v>
      </c>
      <c r="R36" s="26">
        <f>IF($G36&lt;&gt;0,$G36,IF($H36&lt;&gt;0,$H36/0.75,0))</f>
        <v>1392</v>
      </c>
      <c r="S36" s="32" t="b">
        <f>ISNUMBER(R36)</f>
        <v>1</v>
      </c>
      <c r="T36" s="32"/>
    </row>
    <row r="37" spans="1:20" x14ac:dyDescent="0.3">
      <c r="A37" s="9">
        <v>36</v>
      </c>
      <c r="B37" s="21">
        <v>44320.639803240738</v>
      </c>
      <c r="C37" s="11" t="s">
        <v>47</v>
      </c>
      <c r="D37" s="11" t="str">
        <f>IF(ISNUMBER(SEARCH("OSBC", C37)), "GOVT", "RETAIL")</f>
        <v>RETAIL</v>
      </c>
      <c r="E37" s="12">
        <v>1152180.23</v>
      </c>
      <c r="F37" s="12">
        <v>0</v>
      </c>
      <c r="G37" s="11">
        <v>0</v>
      </c>
      <c r="H37" s="11">
        <v>1037.8800000000001</v>
      </c>
      <c r="I37" s="12">
        <v>844682.62</v>
      </c>
      <c r="J37" s="12">
        <v>295638.92</v>
      </c>
      <c r="K37" s="12">
        <v>11403.22</v>
      </c>
      <c r="L37" s="12">
        <v>1151724.75</v>
      </c>
      <c r="M37" s="13">
        <v>455.48</v>
      </c>
      <c r="N37">
        <f>YEAR(B37)</f>
        <v>2021</v>
      </c>
      <c r="O37" s="24">
        <f>IFERROR(J37/$I37,0)</f>
        <v>0.3500000035516298</v>
      </c>
      <c r="P37" s="24">
        <f>IFERROR(K37/$I37,0)</f>
        <v>1.3500005481348722E-2</v>
      </c>
      <c r="Q37" s="24" t="str">
        <f>IF($G37&lt;&gt;0,"Beer",IF($H37&lt;&gt;0,"Liquor","-"))</f>
        <v>Liquor</v>
      </c>
      <c r="R37" s="26">
        <f>IF($G37&lt;&gt;0,$G37,IF($H37&lt;&gt;0,$H37/0.75,0))</f>
        <v>1383.8400000000001</v>
      </c>
      <c r="S37" s="32" t="b">
        <f>ISNUMBER(R37)</f>
        <v>1</v>
      </c>
      <c r="T37" s="32"/>
    </row>
    <row r="38" spans="1:20" x14ac:dyDescent="0.3">
      <c r="A38" s="9">
        <v>37</v>
      </c>
      <c r="B38" s="21">
        <v>44324.691967592589</v>
      </c>
      <c r="C38" s="11" t="s">
        <v>48</v>
      </c>
      <c r="D38" s="11" t="str">
        <f>IF(ISNUMBER(SEARCH("OSBC", C38)), "GOVT", "RETAIL")</f>
        <v>GOVT</v>
      </c>
      <c r="E38" s="12">
        <v>455.48</v>
      </c>
      <c r="F38" s="12">
        <v>500</v>
      </c>
      <c r="G38" s="11">
        <v>0</v>
      </c>
      <c r="H38" s="11">
        <v>0</v>
      </c>
      <c r="I38" s="12">
        <v>0</v>
      </c>
      <c r="J38" s="12">
        <v>0</v>
      </c>
      <c r="K38" s="12">
        <v>0</v>
      </c>
      <c r="L38" s="12">
        <v>0</v>
      </c>
      <c r="M38" s="13">
        <v>955.48</v>
      </c>
      <c r="N38">
        <f>YEAR(B38)</f>
        <v>2021</v>
      </c>
      <c r="O38" s="24">
        <f>IFERROR(J38/$I38,0)</f>
        <v>0</v>
      </c>
      <c r="P38" s="24">
        <f>IFERROR(K38/$I38,0)</f>
        <v>0</v>
      </c>
      <c r="Q38" s="24" t="str">
        <f>IF($G38&lt;&gt;0,"Beer",IF($H38&lt;&gt;0,"Liquor","-"))</f>
        <v>-</v>
      </c>
      <c r="R38" s="26">
        <f>IF($G38&lt;&gt;0,$G38,IF($H38&lt;&gt;0,$H38/0.75,0))</f>
        <v>0</v>
      </c>
      <c r="S38" s="32" t="b">
        <f>ISNUMBER(R38)</f>
        <v>1</v>
      </c>
      <c r="T38" s="32"/>
    </row>
    <row r="39" spans="1:20" x14ac:dyDescent="0.3">
      <c r="A39" s="9">
        <v>38</v>
      </c>
      <c r="B39" s="21">
        <v>44334.299618055556</v>
      </c>
      <c r="C39" s="11" t="s">
        <v>49</v>
      </c>
      <c r="D39" s="11" t="str">
        <f>IF(ISNUMBER(SEARCH("OSBC", C39)), "GOVT", "RETAIL")</f>
        <v>GOVT</v>
      </c>
      <c r="E39" s="12">
        <v>955.48</v>
      </c>
      <c r="F39" s="12">
        <v>145000</v>
      </c>
      <c r="G39" s="11">
        <v>0</v>
      </c>
      <c r="H39" s="11">
        <v>0</v>
      </c>
      <c r="I39" s="12">
        <v>0</v>
      </c>
      <c r="J39" s="12">
        <v>0</v>
      </c>
      <c r="K39" s="12">
        <v>0</v>
      </c>
      <c r="L39" s="12">
        <v>0</v>
      </c>
      <c r="M39" s="13">
        <v>145955.48000000001</v>
      </c>
      <c r="N39">
        <f>YEAR(B39)</f>
        <v>2021</v>
      </c>
      <c r="O39" s="24">
        <f>IFERROR(J39/$I39,0)</f>
        <v>0</v>
      </c>
      <c r="P39" s="24">
        <f>IFERROR(K39/$I39,0)</f>
        <v>0</v>
      </c>
      <c r="Q39" s="24" t="str">
        <f>IF($G39&lt;&gt;0,"Beer",IF($H39&lt;&gt;0,"Liquor","-"))</f>
        <v>-</v>
      </c>
      <c r="R39" s="26">
        <f>IF($G39&lt;&gt;0,$G39,IF($H39&lt;&gt;0,$H39/0.75,0))</f>
        <v>0</v>
      </c>
      <c r="S39" s="32" t="b">
        <f>ISNUMBER(R39)</f>
        <v>1</v>
      </c>
      <c r="T39" s="32"/>
    </row>
    <row r="40" spans="1:20" x14ac:dyDescent="0.3">
      <c r="A40" s="9">
        <v>39</v>
      </c>
      <c r="B40" s="21">
        <v>44334.317384259259</v>
      </c>
      <c r="C40" s="11" t="s">
        <v>50</v>
      </c>
      <c r="D40" s="11" t="str">
        <f>IF(ISNUMBER(SEARCH("OSBC", C40)), "GOVT", "RETAIL")</f>
        <v>GOVT</v>
      </c>
      <c r="E40" s="12">
        <v>145955.48000000001</v>
      </c>
      <c r="F40" s="12">
        <v>16000</v>
      </c>
      <c r="G40" s="11">
        <v>0</v>
      </c>
      <c r="H40" s="11">
        <v>0</v>
      </c>
      <c r="I40" s="12">
        <v>0</v>
      </c>
      <c r="J40" s="12">
        <v>0</v>
      </c>
      <c r="K40" s="12">
        <v>0</v>
      </c>
      <c r="L40" s="12">
        <v>0</v>
      </c>
      <c r="M40" s="13">
        <v>161955.48000000001</v>
      </c>
      <c r="N40">
        <f>YEAR(B40)</f>
        <v>2021</v>
      </c>
      <c r="O40" s="24">
        <f>IFERROR(J40/$I40,0)</f>
        <v>0</v>
      </c>
      <c r="P40" s="24">
        <f>IFERROR(K40/$I40,0)</f>
        <v>0</v>
      </c>
      <c r="Q40" s="24" t="str">
        <f>IF($G40&lt;&gt;0,"Beer",IF($H40&lt;&gt;0,"Liquor","-"))</f>
        <v>-</v>
      </c>
      <c r="R40" s="26">
        <f>IF($G40&lt;&gt;0,$G40,IF($H40&lt;&gt;0,$H40/0.75,0))</f>
        <v>0</v>
      </c>
      <c r="S40" s="32" t="b">
        <f>ISNUMBER(R40)</f>
        <v>1</v>
      </c>
      <c r="T40" s="32"/>
    </row>
    <row r="41" spans="1:20" x14ac:dyDescent="0.3">
      <c r="A41" s="9">
        <v>40</v>
      </c>
      <c r="B41" s="21">
        <v>44334.494606481479</v>
      </c>
      <c r="C41" s="11" t="s">
        <v>51</v>
      </c>
      <c r="D41" s="11" t="str">
        <f>IF(ISNUMBER(SEARCH("OSBC", C41)), "GOVT", "RETAIL")</f>
        <v>RETAIL</v>
      </c>
      <c r="E41" s="12">
        <v>161955.48000000001</v>
      </c>
      <c r="F41" s="12">
        <v>0</v>
      </c>
      <c r="G41" s="11">
        <v>138</v>
      </c>
      <c r="H41" s="11">
        <v>0</v>
      </c>
      <c r="I41" s="12">
        <v>20634.900000000001</v>
      </c>
      <c r="J41" s="12">
        <v>7222.22</v>
      </c>
      <c r="K41" s="12">
        <v>278.57</v>
      </c>
      <c r="L41" s="12">
        <v>28135.69</v>
      </c>
      <c r="M41" s="13">
        <v>133819.79</v>
      </c>
      <c r="N41">
        <f>YEAR(B41)</f>
        <v>2021</v>
      </c>
      <c r="O41" s="24">
        <f>IFERROR(J41/$I41,0)</f>
        <v>0.35000024230793458</v>
      </c>
      <c r="P41" s="24">
        <f>IFERROR(K41/$I41,0)</f>
        <v>1.3499944269175036E-2</v>
      </c>
      <c r="Q41" s="24" t="str">
        <f>IF($G41&lt;&gt;0,"Beer",IF($H41&lt;&gt;0,"Liquor","-"))</f>
        <v>Beer</v>
      </c>
      <c r="R41" s="26">
        <f>IF($G41&lt;&gt;0,$G41,IF($H41&lt;&gt;0,$H41/0.75,0))</f>
        <v>138</v>
      </c>
      <c r="S41" s="32" t="b">
        <f>ISNUMBER(R41)</f>
        <v>1</v>
      </c>
      <c r="T41" s="32"/>
    </row>
    <row r="42" spans="1:20" x14ac:dyDescent="0.3">
      <c r="A42" s="9">
        <v>41</v>
      </c>
      <c r="B42" s="21">
        <v>44334.49523148148</v>
      </c>
      <c r="C42" s="11" t="s">
        <v>52</v>
      </c>
      <c r="D42" s="11" t="str">
        <f>IF(ISNUMBER(SEARCH("OSBC", C42)), "GOVT", "RETAIL")</f>
        <v>RETAIL</v>
      </c>
      <c r="E42" s="12">
        <v>133819.79</v>
      </c>
      <c r="F42" s="12">
        <v>0</v>
      </c>
      <c r="G42" s="11">
        <v>0</v>
      </c>
      <c r="H42" s="11">
        <v>113.13</v>
      </c>
      <c r="I42" s="12">
        <v>93968.29</v>
      </c>
      <c r="J42" s="12">
        <v>32888.870000000003</v>
      </c>
      <c r="K42" s="12">
        <v>1269</v>
      </c>
      <c r="L42" s="12">
        <v>128126.16</v>
      </c>
      <c r="M42" s="13">
        <v>5693.63</v>
      </c>
      <c r="N42">
        <f>YEAR(B42)</f>
        <v>2021</v>
      </c>
      <c r="O42" s="24">
        <f>IFERROR(J42/$I42,0)</f>
        <v>0.34999966478053401</v>
      </c>
      <c r="P42" s="24">
        <f>IFERROR(K42/$I42,0)</f>
        <v>1.3504555632543703E-2</v>
      </c>
      <c r="Q42" s="24" t="str">
        <f>IF($G42&lt;&gt;0,"Beer",IF($H42&lt;&gt;0,"Liquor","-"))</f>
        <v>Liquor</v>
      </c>
      <c r="R42" s="26">
        <f>IF($G42&lt;&gt;0,$G42,IF($H42&lt;&gt;0,$H42/0.75,0))</f>
        <v>150.84</v>
      </c>
      <c r="S42" s="32" t="b">
        <f>ISNUMBER(R42)</f>
        <v>1</v>
      </c>
      <c r="T42" s="32"/>
    </row>
    <row r="43" spans="1:20" x14ac:dyDescent="0.3">
      <c r="A43" s="9">
        <v>42</v>
      </c>
      <c r="B43" s="21">
        <v>44335.912673611114</v>
      </c>
      <c r="C43" s="11" t="s">
        <v>53</v>
      </c>
      <c r="D43" s="11" t="str">
        <f>IF(ISNUMBER(SEARCH("OSBC", C43)), "GOVT", "RETAIL")</f>
        <v>GOVT</v>
      </c>
      <c r="E43" s="12">
        <v>5693.63</v>
      </c>
      <c r="F43" s="12">
        <v>115000</v>
      </c>
      <c r="G43" s="11">
        <v>0</v>
      </c>
      <c r="H43" s="11">
        <v>0</v>
      </c>
      <c r="I43" s="12">
        <v>0</v>
      </c>
      <c r="J43" s="12">
        <v>0</v>
      </c>
      <c r="K43" s="12">
        <v>0</v>
      </c>
      <c r="L43" s="12">
        <v>0</v>
      </c>
      <c r="M43" s="13">
        <v>120693.63</v>
      </c>
      <c r="N43">
        <f>YEAR(B43)</f>
        <v>2021</v>
      </c>
      <c r="O43" s="24">
        <f>IFERROR(J43/$I43,0)</f>
        <v>0</v>
      </c>
      <c r="P43" s="24">
        <f>IFERROR(K43/$I43,0)</f>
        <v>0</v>
      </c>
      <c r="Q43" s="24" t="str">
        <f>IF($G43&lt;&gt;0,"Beer",IF($H43&lt;&gt;0,"Liquor","-"))</f>
        <v>-</v>
      </c>
      <c r="R43" s="26">
        <f>IF($G43&lt;&gt;0,$G43,IF($H43&lt;&gt;0,$H43/0.75,0))</f>
        <v>0</v>
      </c>
      <c r="S43" s="32" t="b">
        <f>ISNUMBER(R43)</f>
        <v>1</v>
      </c>
      <c r="T43" s="32"/>
    </row>
    <row r="44" spans="1:20" x14ac:dyDescent="0.3">
      <c r="A44" s="9">
        <v>43</v>
      </c>
      <c r="B44" s="21">
        <v>44336.009155092594</v>
      </c>
      <c r="C44" s="11" t="s">
        <v>54</v>
      </c>
      <c r="D44" s="11" t="str">
        <f>IF(ISNUMBER(SEARCH("OSBC", C44)), "GOVT", "RETAIL")</f>
        <v>GOVT</v>
      </c>
      <c r="E44" s="12">
        <v>120693.63</v>
      </c>
      <c r="F44" s="12">
        <v>100000</v>
      </c>
      <c r="G44" s="11">
        <v>0</v>
      </c>
      <c r="H44" s="11">
        <v>0</v>
      </c>
      <c r="I44" s="12">
        <v>0</v>
      </c>
      <c r="J44" s="12">
        <v>0</v>
      </c>
      <c r="K44" s="12">
        <v>0</v>
      </c>
      <c r="L44" s="12">
        <v>0</v>
      </c>
      <c r="M44" s="13">
        <v>220693.63</v>
      </c>
      <c r="N44">
        <f>YEAR(B44)</f>
        <v>2021</v>
      </c>
      <c r="O44" s="24">
        <f>IFERROR(J44/$I44,0)</f>
        <v>0</v>
      </c>
      <c r="P44" s="24">
        <f>IFERROR(K44/$I44,0)</f>
        <v>0</v>
      </c>
      <c r="Q44" s="24" t="str">
        <f>IF($G44&lt;&gt;0,"Beer",IF($H44&lt;&gt;0,"Liquor","-"))</f>
        <v>-</v>
      </c>
      <c r="R44" s="26">
        <f>IF($G44&lt;&gt;0,$G44,IF($H44&lt;&gt;0,$H44/0.75,0))</f>
        <v>0</v>
      </c>
      <c r="S44" s="32" t="b">
        <f>ISNUMBER(R44)</f>
        <v>1</v>
      </c>
      <c r="T44" s="32"/>
    </row>
    <row r="45" spans="1:20" x14ac:dyDescent="0.3">
      <c r="A45" s="9">
        <v>44</v>
      </c>
      <c r="B45" s="21">
        <v>44336.4215625</v>
      </c>
      <c r="C45" s="11" t="s">
        <v>55</v>
      </c>
      <c r="D45" s="11" t="str">
        <f>IF(ISNUMBER(SEARCH("OSBC", C45)), "GOVT", "RETAIL")</f>
        <v>RETAIL</v>
      </c>
      <c r="E45" s="12">
        <v>220693.63</v>
      </c>
      <c r="F45" s="12">
        <v>0</v>
      </c>
      <c r="G45" s="11">
        <v>177</v>
      </c>
      <c r="H45" s="11">
        <v>0</v>
      </c>
      <c r="I45" s="12">
        <v>26190.45</v>
      </c>
      <c r="J45" s="12">
        <v>9166.66</v>
      </c>
      <c r="K45" s="12">
        <v>353.57</v>
      </c>
      <c r="L45" s="12">
        <v>35710.68</v>
      </c>
      <c r="M45" s="13">
        <v>184982.95</v>
      </c>
      <c r="N45">
        <f>YEAR(B45)</f>
        <v>2021</v>
      </c>
      <c r="O45" s="24">
        <f>IFERROR(J45/$I45,0)</f>
        <v>0.35000009545464089</v>
      </c>
      <c r="P45" s="24">
        <f>IFERROR(K45/$I45,0)</f>
        <v>1.3499958954504409E-2</v>
      </c>
      <c r="Q45" s="24" t="str">
        <f>IF($G45&lt;&gt;0,"Beer",IF($H45&lt;&gt;0,"Liquor","-"))</f>
        <v>Beer</v>
      </c>
      <c r="R45" s="26">
        <f>IF($G45&lt;&gt;0,$G45,IF($H45&lt;&gt;0,$H45/0.75,0))</f>
        <v>177</v>
      </c>
      <c r="S45" s="32" t="b">
        <f>ISNUMBER(R45)</f>
        <v>1</v>
      </c>
      <c r="T45" s="32"/>
    </row>
    <row r="46" spans="1:20" x14ac:dyDescent="0.3">
      <c r="A46" s="9">
        <v>45</v>
      </c>
      <c r="B46" s="21">
        <v>44336.423090277778</v>
      </c>
      <c r="C46" s="11" t="s">
        <v>56</v>
      </c>
      <c r="D46" s="11" t="str">
        <f>IF(ISNUMBER(SEARCH("OSBC", C46)), "GOVT", "RETAIL")</f>
        <v>RETAIL</v>
      </c>
      <c r="E46" s="12">
        <v>184982.95</v>
      </c>
      <c r="F46" s="12">
        <v>0</v>
      </c>
      <c r="G46" s="11">
        <v>0</v>
      </c>
      <c r="H46" s="11">
        <v>170.91</v>
      </c>
      <c r="I46" s="12">
        <v>134841.26999999999</v>
      </c>
      <c r="J46" s="12">
        <v>47194.49</v>
      </c>
      <c r="K46" s="12">
        <v>1820</v>
      </c>
      <c r="L46" s="12">
        <v>183855.76</v>
      </c>
      <c r="M46" s="13">
        <v>1127.19</v>
      </c>
      <c r="N46">
        <f>YEAR(B46)</f>
        <v>2021</v>
      </c>
      <c r="O46" s="24">
        <f>IFERROR(J46/$I46,0)</f>
        <v>0.35000033743378417</v>
      </c>
      <c r="P46" s="24">
        <f>IFERROR(K46/$I46,0)</f>
        <v>1.3497351367277987E-2</v>
      </c>
      <c r="Q46" s="24" t="str">
        <f>IF($G46&lt;&gt;0,"Beer",IF($H46&lt;&gt;0,"Liquor","-"))</f>
        <v>Liquor</v>
      </c>
      <c r="R46" s="26">
        <f>IF($G46&lt;&gt;0,$G46,IF($H46&lt;&gt;0,$H46/0.75,0))</f>
        <v>227.88</v>
      </c>
      <c r="S46" s="32" t="b">
        <f>ISNUMBER(R46)</f>
        <v>1</v>
      </c>
      <c r="T46" s="32"/>
    </row>
    <row r="47" spans="1:20" x14ac:dyDescent="0.3">
      <c r="A47" s="9">
        <v>46</v>
      </c>
      <c r="B47" s="21">
        <v>44339.730787037035</v>
      </c>
      <c r="C47" s="11" t="s">
        <v>57</v>
      </c>
      <c r="D47" s="11" t="str">
        <f>IF(ISNUMBER(SEARCH("OSBC", C47)), "GOVT", "RETAIL")</f>
        <v>GOVT</v>
      </c>
      <c r="E47" s="12">
        <v>1127.19</v>
      </c>
      <c r="F47" s="12">
        <v>121000</v>
      </c>
      <c r="G47" s="11">
        <v>0</v>
      </c>
      <c r="H47" s="11">
        <v>0</v>
      </c>
      <c r="I47" s="12">
        <v>0</v>
      </c>
      <c r="J47" s="12">
        <v>0</v>
      </c>
      <c r="K47" s="12">
        <v>0</v>
      </c>
      <c r="L47" s="12">
        <v>0</v>
      </c>
      <c r="M47" s="13">
        <v>122127.19</v>
      </c>
      <c r="N47">
        <f>YEAR(B47)</f>
        <v>2021</v>
      </c>
      <c r="O47" s="24">
        <f>IFERROR(J47/$I47,0)</f>
        <v>0</v>
      </c>
      <c r="P47" s="24">
        <f>IFERROR(K47/$I47,0)</f>
        <v>0</v>
      </c>
      <c r="Q47" s="24" t="str">
        <f>IF($G47&lt;&gt;0,"Beer",IF($H47&lt;&gt;0,"Liquor","-"))</f>
        <v>-</v>
      </c>
      <c r="R47" s="26">
        <f>IF($G47&lt;&gt;0,$G47,IF($H47&lt;&gt;0,$H47/0.75,0))</f>
        <v>0</v>
      </c>
      <c r="S47" s="32" t="b">
        <f>ISNUMBER(R47)</f>
        <v>1</v>
      </c>
      <c r="T47" s="32"/>
    </row>
    <row r="48" spans="1:20" x14ac:dyDescent="0.3">
      <c r="A48" s="9">
        <v>47</v>
      </c>
      <c r="B48" s="21">
        <v>44339.973090277781</v>
      </c>
      <c r="C48" s="11" t="s">
        <v>58</v>
      </c>
      <c r="D48" s="11" t="str">
        <f>IF(ISNUMBER(SEARCH("OSBC", C48)), "GOVT", "RETAIL")</f>
        <v>GOVT</v>
      </c>
      <c r="E48" s="12">
        <v>122127.19</v>
      </c>
      <c r="F48" s="12">
        <v>80000</v>
      </c>
      <c r="G48" s="11">
        <v>0</v>
      </c>
      <c r="H48" s="11">
        <v>0</v>
      </c>
      <c r="I48" s="12">
        <v>0</v>
      </c>
      <c r="J48" s="12">
        <v>0</v>
      </c>
      <c r="K48" s="12">
        <v>0</v>
      </c>
      <c r="L48" s="12">
        <v>0</v>
      </c>
      <c r="M48" s="13">
        <v>202127.19</v>
      </c>
      <c r="N48">
        <f>YEAR(B48)</f>
        <v>2021</v>
      </c>
      <c r="O48" s="24">
        <f>IFERROR(J48/$I48,0)</f>
        <v>0</v>
      </c>
      <c r="P48" s="24">
        <f>IFERROR(K48/$I48,0)</f>
        <v>0</v>
      </c>
      <c r="Q48" s="24" t="str">
        <f>IF($G48&lt;&gt;0,"Beer",IF($H48&lt;&gt;0,"Liquor","-"))</f>
        <v>-</v>
      </c>
      <c r="R48" s="26">
        <f>IF($G48&lt;&gt;0,$G48,IF($H48&lt;&gt;0,$H48/0.75,0))</f>
        <v>0</v>
      </c>
      <c r="S48" s="32" t="b">
        <f>ISNUMBER(R48)</f>
        <v>1</v>
      </c>
      <c r="T48" s="32"/>
    </row>
    <row r="49" spans="1:20" x14ac:dyDescent="0.3">
      <c r="A49" s="9">
        <v>48</v>
      </c>
      <c r="B49" s="21">
        <v>44340.385717592595</v>
      </c>
      <c r="C49" s="11" t="s">
        <v>59</v>
      </c>
      <c r="D49" s="11" t="str">
        <f>IF(ISNUMBER(SEARCH("OSBC", C49)), "GOVT", "RETAIL")</f>
        <v>RETAIL</v>
      </c>
      <c r="E49" s="12">
        <v>202127.19</v>
      </c>
      <c r="F49" s="12">
        <v>0</v>
      </c>
      <c r="G49" s="11">
        <v>99</v>
      </c>
      <c r="H49" s="11">
        <v>0</v>
      </c>
      <c r="I49" s="12">
        <v>15079.35</v>
      </c>
      <c r="J49" s="12">
        <v>5277.77</v>
      </c>
      <c r="K49" s="12">
        <v>203.57</v>
      </c>
      <c r="L49" s="12">
        <v>20560.689999999999</v>
      </c>
      <c r="M49" s="13">
        <v>181566.5</v>
      </c>
      <c r="N49">
        <f>YEAR(B49)</f>
        <v>2021</v>
      </c>
      <c r="O49" s="24">
        <f>IFERROR(J49/$I49,0)</f>
        <v>0.34999983421036057</v>
      </c>
      <c r="P49" s="24">
        <f>IFERROR(K49/$I49,0)</f>
        <v>1.3499918763076657E-2</v>
      </c>
      <c r="Q49" s="24" t="str">
        <f>IF($G49&lt;&gt;0,"Beer",IF($H49&lt;&gt;0,"Liquor","-"))</f>
        <v>Beer</v>
      </c>
      <c r="R49" s="26">
        <f>IF($G49&lt;&gt;0,$G49,IF($H49&lt;&gt;0,$H49/0.75,0))</f>
        <v>99</v>
      </c>
      <c r="S49" s="32" t="b">
        <f>ISNUMBER(R49)</f>
        <v>1</v>
      </c>
      <c r="T49" s="32"/>
    </row>
    <row r="50" spans="1:20" x14ac:dyDescent="0.3">
      <c r="A50" s="9">
        <v>49</v>
      </c>
      <c r="B50" s="21">
        <v>44340.386331018519</v>
      </c>
      <c r="C50" s="11" t="s">
        <v>60</v>
      </c>
      <c r="D50" s="11" t="str">
        <f>IF(ISNUMBER(SEARCH("OSBC", C50)), "GOVT", "RETAIL")</f>
        <v>RETAIL</v>
      </c>
      <c r="E50" s="12">
        <v>181566.5</v>
      </c>
      <c r="F50" s="12">
        <v>0</v>
      </c>
      <c r="G50" s="11">
        <v>0</v>
      </c>
      <c r="H50" s="11">
        <v>162.54</v>
      </c>
      <c r="I50" s="12">
        <v>131904.78</v>
      </c>
      <c r="J50" s="12">
        <v>46166.71</v>
      </c>
      <c r="K50" s="12">
        <v>1781</v>
      </c>
      <c r="L50" s="12">
        <v>179852.49</v>
      </c>
      <c r="M50" s="13">
        <v>1714.01</v>
      </c>
      <c r="N50">
        <f>YEAR(B50)</f>
        <v>2021</v>
      </c>
      <c r="O50" s="24">
        <f>IFERROR(J50/$I50,0)</f>
        <v>0.35000028050537668</v>
      </c>
      <c r="P50" s="24">
        <f>IFERROR(K50/$I50,0)</f>
        <v>1.3502164212699494E-2</v>
      </c>
      <c r="Q50" s="24" t="str">
        <f>IF($G50&lt;&gt;0,"Beer",IF($H50&lt;&gt;0,"Liquor","-"))</f>
        <v>Liquor</v>
      </c>
      <c r="R50" s="26">
        <f>IF($G50&lt;&gt;0,$G50,IF($H50&lt;&gt;0,$H50/0.75,0))</f>
        <v>216.72</v>
      </c>
      <c r="S50" s="32" t="b">
        <f>ISNUMBER(R50)</f>
        <v>1</v>
      </c>
      <c r="T50" s="32"/>
    </row>
    <row r="51" spans="1:20" x14ac:dyDescent="0.3">
      <c r="A51" s="9">
        <v>50</v>
      </c>
      <c r="B51" s="21">
        <v>44343.865983796299</v>
      </c>
      <c r="C51" s="11" t="s">
        <v>61</v>
      </c>
      <c r="D51" s="11" t="str">
        <f>IF(ISNUMBER(SEARCH("OSBC", C51)), "GOVT", "RETAIL")</f>
        <v>GOVT</v>
      </c>
      <c r="E51" s="12">
        <v>1714.01</v>
      </c>
      <c r="F51" s="12">
        <v>232000</v>
      </c>
      <c r="G51" s="11">
        <v>0</v>
      </c>
      <c r="H51" s="11">
        <v>0</v>
      </c>
      <c r="I51" s="12">
        <v>0</v>
      </c>
      <c r="J51" s="12">
        <v>0</v>
      </c>
      <c r="K51" s="12">
        <v>0</v>
      </c>
      <c r="L51" s="12">
        <v>0</v>
      </c>
      <c r="M51" s="13">
        <v>233714.01</v>
      </c>
      <c r="N51">
        <f>YEAR(B51)</f>
        <v>2021</v>
      </c>
      <c r="O51" s="24">
        <f>IFERROR(J51/$I51,0)</f>
        <v>0</v>
      </c>
      <c r="P51" s="24">
        <f>IFERROR(K51/$I51,0)</f>
        <v>0</v>
      </c>
      <c r="Q51" s="24" t="str">
        <f>IF($G51&lt;&gt;0,"Beer",IF($H51&lt;&gt;0,"Liquor","-"))</f>
        <v>-</v>
      </c>
      <c r="R51" s="26">
        <f>IF($G51&lt;&gt;0,$G51,IF($H51&lt;&gt;0,$H51/0.75,0))</f>
        <v>0</v>
      </c>
      <c r="S51" s="32" t="b">
        <f>ISNUMBER(R51)</f>
        <v>1</v>
      </c>
      <c r="T51" s="32"/>
    </row>
    <row r="52" spans="1:20" x14ac:dyDescent="0.3">
      <c r="A52" s="9">
        <v>51</v>
      </c>
      <c r="B52" s="21">
        <v>44344.354710648149</v>
      </c>
      <c r="C52" s="11" t="s">
        <v>62</v>
      </c>
      <c r="D52" s="11" t="str">
        <f>IF(ISNUMBER(SEARCH("OSBC", C52)), "GOVT", "RETAIL")</f>
        <v>RETAIL</v>
      </c>
      <c r="E52" s="12">
        <v>233714.01</v>
      </c>
      <c r="F52" s="12">
        <v>0</v>
      </c>
      <c r="G52" s="11">
        <v>0</v>
      </c>
      <c r="H52" s="11">
        <v>150.12</v>
      </c>
      <c r="I52" s="12">
        <v>120079.4</v>
      </c>
      <c r="J52" s="12">
        <v>42027.79</v>
      </c>
      <c r="K52" s="12">
        <v>1621.07</v>
      </c>
      <c r="L52" s="12">
        <v>163728.26</v>
      </c>
      <c r="M52" s="13">
        <v>69985.75</v>
      </c>
      <c r="N52">
        <f>YEAR(B52)</f>
        <v>2021</v>
      </c>
      <c r="O52" s="24">
        <f>IFERROR(J52/$I52,0)</f>
        <v>0.35000000000000003</v>
      </c>
      <c r="P52" s="24">
        <f>IFERROR(K52/$I52,0)</f>
        <v>1.3499984177136128E-2</v>
      </c>
      <c r="Q52" s="24" t="str">
        <f>IF($G52&lt;&gt;0,"Beer",IF($H52&lt;&gt;0,"Liquor","-"))</f>
        <v>Liquor</v>
      </c>
      <c r="R52" s="26">
        <f>IF($G52&lt;&gt;0,$G52,IF($H52&lt;&gt;0,$H52/0.75,0))</f>
        <v>200.16</v>
      </c>
      <c r="S52" s="32" t="b">
        <f>ISNUMBER(R52)</f>
        <v>1</v>
      </c>
      <c r="T52" s="32"/>
    </row>
    <row r="53" spans="1:20" x14ac:dyDescent="0.3">
      <c r="A53" s="9">
        <v>52</v>
      </c>
      <c r="B53" s="21">
        <v>44344.355162037034</v>
      </c>
      <c r="C53" s="11" t="s">
        <v>63</v>
      </c>
      <c r="D53" s="11" t="str">
        <f>IF(ISNUMBER(SEARCH("OSBC", C53)), "GOVT", "RETAIL")</f>
        <v>RETAIL</v>
      </c>
      <c r="E53" s="12">
        <v>69985.75</v>
      </c>
      <c r="F53" s="12">
        <v>0</v>
      </c>
      <c r="G53" s="11">
        <v>174</v>
      </c>
      <c r="H53" s="11">
        <v>0</v>
      </c>
      <c r="I53" s="12">
        <v>26349.18</v>
      </c>
      <c r="J53" s="12">
        <v>9222.2099999999991</v>
      </c>
      <c r="K53" s="12">
        <v>355.71</v>
      </c>
      <c r="L53" s="12">
        <v>35927.11</v>
      </c>
      <c r="M53" s="13">
        <v>34058.639999999999</v>
      </c>
      <c r="N53">
        <f>YEAR(B53)</f>
        <v>2021</v>
      </c>
      <c r="O53" s="24">
        <f>IFERROR(J53/$I53,0)</f>
        <v>0.34999988614446442</v>
      </c>
      <c r="P53" s="24">
        <f>IFERROR(K53/$I53,0)</f>
        <v>1.3499850849248438E-2</v>
      </c>
      <c r="Q53" s="24" t="str">
        <f>IF($G53&lt;&gt;0,"Beer",IF($H53&lt;&gt;0,"Liquor","-"))</f>
        <v>Beer</v>
      </c>
      <c r="R53" s="26">
        <f>IF($G53&lt;&gt;0,$G53,IF($H53&lt;&gt;0,$H53/0.75,0))</f>
        <v>174</v>
      </c>
      <c r="S53" s="32" t="b">
        <f>ISNUMBER(R53)</f>
        <v>1</v>
      </c>
      <c r="T53" s="32"/>
    </row>
    <row r="54" spans="1:20" x14ac:dyDescent="0.3">
      <c r="A54" s="9">
        <v>53</v>
      </c>
      <c r="B54" s="21">
        <v>44347.004212962966</v>
      </c>
      <c r="C54" s="11" t="s">
        <v>64</v>
      </c>
      <c r="D54" s="11" t="str">
        <f>IF(ISNUMBER(SEARCH("OSBC", C54)), "GOVT", "RETAIL")</f>
        <v>GOVT</v>
      </c>
      <c r="E54" s="12">
        <v>34058.639999999999</v>
      </c>
      <c r="F54" s="12">
        <v>74500</v>
      </c>
      <c r="G54" s="11">
        <v>0</v>
      </c>
      <c r="H54" s="11">
        <v>0</v>
      </c>
      <c r="I54" s="12">
        <v>0</v>
      </c>
      <c r="J54" s="12">
        <v>0</v>
      </c>
      <c r="K54" s="12">
        <v>0</v>
      </c>
      <c r="L54" s="12">
        <v>0</v>
      </c>
      <c r="M54" s="13">
        <v>108558.64</v>
      </c>
      <c r="N54">
        <f>YEAR(B54)</f>
        <v>2021</v>
      </c>
      <c r="O54" s="24">
        <f>IFERROR(J54/$I54,0)</f>
        <v>0</v>
      </c>
      <c r="P54" s="24">
        <f>IFERROR(K54/$I54,0)</f>
        <v>0</v>
      </c>
      <c r="Q54" s="24" t="str">
        <f>IF($G54&lt;&gt;0,"Beer",IF($H54&lt;&gt;0,"Liquor","-"))</f>
        <v>-</v>
      </c>
      <c r="R54" s="26">
        <f>IF($G54&lt;&gt;0,$G54,IF($H54&lt;&gt;0,$H54/0.75,0))</f>
        <v>0</v>
      </c>
      <c r="S54" s="32" t="b">
        <f>ISNUMBER(R54)</f>
        <v>1</v>
      </c>
      <c r="T54" s="32"/>
    </row>
    <row r="55" spans="1:20" x14ac:dyDescent="0.3">
      <c r="A55" s="9">
        <v>54</v>
      </c>
      <c r="B55" s="21">
        <v>44347.992349537039</v>
      </c>
      <c r="C55" s="11" t="s">
        <v>65</v>
      </c>
      <c r="D55" s="11" t="str">
        <f>IF(ISNUMBER(SEARCH("OSBC", C55)), "GOVT", "RETAIL")</f>
        <v>GOVT</v>
      </c>
      <c r="E55" s="12">
        <v>108558.64</v>
      </c>
      <c r="F55" s="12">
        <v>132000</v>
      </c>
      <c r="G55" s="11">
        <v>0</v>
      </c>
      <c r="H55" s="11">
        <v>0</v>
      </c>
      <c r="I55" s="12">
        <v>0</v>
      </c>
      <c r="J55" s="12">
        <v>0</v>
      </c>
      <c r="K55" s="12">
        <v>0</v>
      </c>
      <c r="L55" s="12">
        <v>0</v>
      </c>
      <c r="M55" s="13">
        <v>240558.64</v>
      </c>
      <c r="N55">
        <f>YEAR(B55)</f>
        <v>2021</v>
      </c>
      <c r="O55" s="24">
        <f>IFERROR(J55/$I55,0)</f>
        <v>0</v>
      </c>
      <c r="P55" s="24">
        <f>IFERROR(K55/$I55,0)</f>
        <v>0</v>
      </c>
      <c r="Q55" s="24" t="str">
        <f>IF($G55&lt;&gt;0,"Beer",IF($H55&lt;&gt;0,"Liquor","-"))</f>
        <v>-</v>
      </c>
      <c r="R55" s="26">
        <f>IF($G55&lt;&gt;0,$G55,IF($H55&lt;&gt;0,$H55/0.75,0))</f>
        <v>0</v>
      </c>
      <c r="S55" s="32" t="b">
        <f>ISNUMBER(R55)</f>
        <v>1</v>
      </c>
      <c r="T55" s="32"/>
    </row>
    <row r="56" spans="1:20" x14ac:dyDescent="0.3">
      <c r="A56" s="9">
        <v>55</v>
      </c>
      <c r="B56" s="21">
        <v>44350.398564814815</v>
      </c>
      <c r="C56" s="11" t="s">
        <v>66</v>
      </c>
      <c r="D56" s="11" t="str">
        <f>IF(ISNUMBER(SEARCH("OSBC", C56)), "GOVT", "RETAIL")</f>
        <v>RETAIL</v>
      </c>
      <c r="E56" s="12">
        <v>240558.64</v>
      </c>
      <c r="F56" s="12">
        <v>0</v>
      </c>
      <c r="G56" s="11">
        <v>0</v>
      </c>
      <c r="H56" s="11">
        <v>155.25</v>
      </c>
      <c r="I56" s="12">
        <v>119999.96</v>
      </c>
      <c r="J56" s="12">
        <v>42000</v>
      </c>
      <c r="K56" s="12">
        <v>1620</v>
      </c>
      <c r="L56" s="12">
        <v>163619.96</v>
      </c>
      <c r="M56" s="13">
        <v>76938.679999999993</v>
      </c>
      <c r="N56">
        <f>YEAR(B56)</f>
        <v>2021</v>
      </c>
      <c r="O56" s="24">
        <f>IFERROR(J56/$I56,0)</f>
        <v>0.35000011666670555</v>
      </c>
      <c r="P56" s="24">
        <f>IFERROR(K56/$I56,0)</f>
        <v>1.35000045000015E-2</v>
      </c>
      <c r="Q56" s="24" t="str">
        <f>IF($G56&lt;&gt;0,"Beer",IF($H56&lt;&gt;0,"Liquor","-"))</f>
        <v>Liquor</v>
      </c>
      <c r="R56" s="26">
        <f>IF($G56&lt;&gt;0,$G56,IF($H56&lt;&gt;0,$H56/0.75,0))</f>
        <v>207</v>
      </c>
      <c r="S56" s="32" t="b">
        <f>ISNUMBER(R56)</f>
        <v>1</v>
      </c>
      <c r="T56" s="32"/>
    </row>
    <row r="57" spans="1:20" x14ac:dyDescent="0.3">
      <c r="A57" s="9">
        <v>56</v>
      </c>
      <c r="B57" s="21">
        <v>44350.398993055554</v>
      </c>
      <c r="C57" s="11" t="s">
        <v>67</v>
      </c>
      <c r="D57" s="11" t="str">
        <f>IF(ISNUMBER(SEARCH("OSBC", C57)), "GOVT", "RETAIL")</f>
        <v>RETAIL</v>
      </c>
      <c r="E57" s="12">
        <v>76938.679999999993</v>
      </c>
      <c r="F57" s="12">
        <v>0</v>
      </c>
      <c r="G57" s="11">
        <v>138</v>
      </c>
      <c r="H57" s="11">
        <v>0</v>
      </c>
      <c r="I57" s="12">
        <v>20634.900000000001</v>
      </c>
      <c r="J57" s="12">
        <v>7222.22</v>
      </c>
      <c r="K57" s="12">
        <v>278.57</v>
      </c>
      <c r="L57" s="12">
        <v>28135.69</v>
      </c>
      <c r="M57" s="13">
        <v>48802.99</v>
      </c>
      <c r="N57">
        <f>YEAR(B57)</f>
        <v>2021</v>
      </c>
      <c r="O57" s="24">
        <f>IFERROR(J57/$I57,0)</f>
        <v>0.35000024230793458</v>
      </c>
      <c r="P57" s="24">
        <f>IFERROR(K57/$I57,0)</f>
        <v>1.3499944269175036E-2</v>
      </c>
      <c r="Q57" s="24" t="str">
        <f>IF($G57&lt;&gt;0,"Beer",IF($H57&lt;&gt;0,"Liquor","-"))</f>
        <v>Beer</v>
      </c>
      <c r="R57" s="26">
        <f>IF($G57&lt;&gt;0,$G57,IF($H57&lt;&gt;0,$H57/0.75,0))</f>
        <v>138</v>
      </c>
      <c r="S57" s="32" t="b">
        <f>ISNUMBER(R57)</f>
        <v>1</v>
      </c>
      <c r="T57" s="32"/>
    </row>
    <row r="58" spans="1:20" x14ac:dyDescent="0.3">
      <c r="A58" s="9">
        <v>57</v>
      </c>
      <c r="B58" s="21">
        <v>44353.978703703702</v>
      </c>
      <c r="C58" s="11" t="s">
        <v>68</v>
      </c>
      <c r="D58" s="11" t="str">
        <f>IF(ISNUMBER(SEARCH("OSBC", C58)), "GOVT", "RETAIL")</f>
        <v>GOVT</v>
      </c>
      <c r="E58" s="12">
        <v>48802.99</v>
      </c>
      <c r="F58" s="12">
        <v>70000</v>
      </c>
      <c r="G58" s="11">
        <v>0</v>
      </c>
      <c r="H58" s="11">
        <v>0</v>
      </c>
      <c r="I58" s="12">
        <v>0</v>
      </c>
      <c r="J58" s="12">
        <v>0</v>
      </c>
      <c r="K58" s="12">
        <v>0</v>
      </c>
      <c r="L58" s="12">
        <v>0</v>
      </c>
      <c r="M58" s="13">
        <v>118802.99</v>
      </c>
      <c r="N58">
        <f>YEAR(B58)</f>
        <v>2021</v>
      </c>
      <c r="O58" s="24">
        <f>IFERROR(J58/$I58,0)</f>
        <v>0</v>
      </c>
      <c r="P58" s="24">
        <f>IFERROR(K58/$I58,0)</f>
        <v>0</v>
      </c>
      <c r="Q58" s="24" t="str">
        <f>IF($G58&lt;&gt;0,"Beer",IF($H58&lt;&gt;0,"Liquor","-"))</f>
        <v>-</v>
      </c>
      <c r="R58" s="26">
        <f>IF($G58&lt;&gt;0,$G58,IF($H58&lt;&gt;0,$H58/0.75,0))</f>
        <v>0</v>
      </c>
      <c r="S58" s="32" t="b">
        <f>ISNUMBER(R58)</f>
        <v>1</v>
      </c>
      <c r="T58" s="32"/>
    </row>
    <row r="59" spans="1:20" x14ac:dyDescent="0.3">
      <c r="A59" s="9">
        <v>58</v>
      </c>
      <c r="B59" s="21">
        <v>44356.379907407405</v>
      </c>
      <c r="C59" s="11" t="s">
        <v>69</v>
      </c>
      <c r="D59" s="11" t="str">
        <f>IF(ISNUMBER(SEARCH("OSBC", C59)), "GOVT", "RETAIL")</f>
        <v>RETAIL</v>
      </c>
      <c r="E59" s="12">
        <v>118802.99</v>
      </c>
      <c r="F59" s="12">
        <v>0</v>
      </c>
      <c r="G59" s="11">
        <v>0</v>
      </c>
      <c r="H59" s="11">
        <v>33.75</v>
      </c>
      <c r="I59" s="12">
        <v>33492.06</v>
      </c>
      <c r="J59" s="12">
        <v>11722.22</v>
      </c>
      <c r="K59" s="12">
        <v>452.14</v>
      </c>
      <c r="L59" s="12">
        <v>45666.42</v>
      </c>
      <c r="M59" s="13">
        <v>73136.570000000007</v>
      </c>
      <c r="N59">
        <f>YEAR(B59)</f>
        <v>2021</v>
      </c>
      <c r="O59" s="24">
        <f>IFERROR(J59/$I59,0)</f>
        <v>0.34999997014217699</v>
      </c>
      <c r="P59" s="24">
        <f>IFERROR(K59/$I59,0)</f>
        <v>1.3499916099517319E-2</v>
      </c>
      <c r="Q59" s="24" t="str">
        <f>IF($G59&lt;&gt;0,"Beer",IF($H59&lt;&gt;0,"Liquor","-"))</f>
        <v>Liquor</v>
      </c>
      <c r="R59" s="26">
        <f>IF($G59&lt;&gt;0,$G59,IF($H59&lt;&gt;0,$H59/0.75,0))</f>
        <v>45</v>
      </c>
      <c r="S59" s="32" t="b">
        <f>ISNUMBER(R59)</f>
        <v>1</v>
      </c>
      <c r="T59" s="32"/>
    </row>
    <row r="60" spans="1:20" x14ac:dyDescent="0.3">
      <c r="A60" s="9">
        <v>59</v>
      </c>
      <c r="B60" s="21">
        <v>44360.781388888892</v>
      </c>
      <c r="C60" s="11" t="s">
        <v>70</v>
      </c>
      <c r="D60" s="11" t="str">
        <f>IF(ISNUMBER(SEARCH("OSBC", C60)), "GOVT", "RETAIL")</f>
        <v>GOVT</v>
      </c>
      <c r="E60" s="12">
        <v>73136.570000000007</v>
      </c>
      <c r="F60" s="12">
        <v>56000</v>
      </c>
      <c r="G60" s="11">
        <v>0</v>
      </c>
      <c r="H60" s="11">
        <v>0</v>
      </c>
      <c r="I60" s="12">
        <v>0</v>
      </c>
      <c r="J60" s="12">
        <v>0</v>
      </c>
      <c r="K60" s="12">
        <v>0</v>
      </c>
      <c r="L60" s="12">
        <v>0</v>
      </c>
      <c r="M60" s="13">
        <v>129136.57</v>
      </c>
      <c r="N60">
        <f>YEAR(B60)</f>
        <v>2021</v>
      </c>
      <c r="O60" s="24">
        <f>IFERROR(J60/$I60,0)</f>
        <v>0</v>
      </c>
      <c r="P60" s="24">
        <f>IFERROR(K60/$I60,0)</f>
        <v>0</v>
      </c>
      <c r="Q60" s="24" t="str">
        <f>IF($G60&lt;&gt;0,"Beer",IF($H60&lt;&gt;0,"Liquor","-"))</f>
        <v>-</v>
      </c>
      <c r="R60" s="26">
        <f>IF($G60&lt;&gt;0,$G60,IF($H60&lt;&gt;0,$H60/0.75,0))</f>
        <v>0</v>
      </c>
      <c r="S60" s="32" t="b">
        <f>ISNUMBER(R60)</f>
        <v>1</v>
      </c>
      <c r="T60" s="32"/>
    </row>
    <row r="61" spans="1:20" x14ac:dyDescent="0.3">
      <c r="A61" s="9">
        <v>60</v>
      </c>
      <c r="B61" s="21">
        <v>44361.391481481478</v>
      </c>
      <c r="C61" s="11" t="s">
        <v>71</v>
      </c>
      <c r="D61" s="11" t="str">
        <f>IF(ISNUMBER(SEARCH("OSBC", C61)), "GOVT", "RETAIL")</f>
        <v>RETAIL</v>
      </c>
      <c r="E61" s="12">
        <v>129136.57</v>
      </c>
      <c r="F61" s="12">
        <v>0</v>
      </c>
      <c r="G61" s="11">
        <v>0</v>
      </c>
      <c r="H61" s="11">
        <v>104.22</v>
      </c>
      <c r="I61" s="12">
        <v>83095.25</v>
      </c>
      <c r="J61" s="12">
        <v>29083.34</v>
      </c>
      <c r="K61" s="12">
        <v>1121.79</v>
      </c>
      <c r="L61" s="12">
        <v>113300.37</v>
      </c>
      <c r="M61" s="13">
        <v>15836.2</v>
      </c>
      <c r="N61">
        <f>YEAR(B61)</f>
        <v>2021</v>
      </c>
      <c r="O61" s="24">
        <f>IFERROR(J61/$I61,0)</f>
        <v>0.35000003008595559</v>
      </c>
      <c r="P61" s="24">
        <f>IFERROR(K61/$I61,0)</f>
        <v>1.3500049641826698E-2</v>
      </c>
      <c r="Q61" s="24" t="str">
        <f>IF($G61&lt;&gt;0,"Beer",IF($H61&lt;&gt;0,"Liquor","-"))</f>
        <v>Liquor</v>
      </c>
      <c r="R61" s="26">
        <f>IF($G61&lt;&gt;0,$G61,IF($H61&lt;&gt;0,$H61/0.75,0))</f>
        <v>138.96</v>
      </c>
      <c r="S61" s="32" t="b">
        <f>ISNUMBER(R61)</f>
        <v>1</v>
      </c>
      <c r="T61" s="32"/>
    </row>
    <row r="62" spans="1:20" x14ac:dyDescent="0.3">
      <c r="A62" s="9">
        <v>61</v>
      </c>
      <c r="B62" s="21">
        <v>44361.391817129632</v>
      </c>
      <c r="C62" s="11" t="s">
        <v>72</v>
      </c>
      <c r="D62" s="11" t="str">
        <f>IF(ISNUMBER(SEARCH("OSBC", C62)), "GOVT", "RETAIL")</f>
        <v>RETAIL</v>
      </c>
      <c r="E62" s="12">
        <v>15836.2</v>
      </c>
      <c r="F62" s="12">
        <v>0</v>
      </c>
      <c r="G62" s="11">
        <v>78.599999999999994</v>
      </c>
      <c r="H62" s="11">
        <v>0</v>
      </c>
      <c r="I62" s="12">
        <v>11587.29</v>
      </c>
      <c r="J62" s="12">
        <v>4055.55</v>
      </c>
      <c r="K62" s="12">
        <v>156.43</v>
      </c>
      <c r="L62" s="12">
        <v>15799.27</v>
      </c>
      <c r="M62" s="13">
        <v>36.93</v>
      </c>
      <c r="N62">
        <f>YEAR(B62)</f>
        <v>2021</v>
      </c>
      <c r="O62" s="24">
        <f>IFERROR(J62/$I62,0)</f>
        <v>0.34999987054781573</v>
      </c>
      <c r="P62" s="24">
        <f>IFERROR(K62/$I62,0)</f>
        <v>1.350013678780802E-2</v>
      </c>
      <c r="Q62" s="24" t="str">
        <f>IF($G62&lt;&gt;0,"Beer",IF($H62&lt;&gt;0,"Liquor","-"))</f>
        <v>Beer</v>
      </c>
      <c r="R62" s="26">
        <f>IF($G62&lt;&gt;0,$G62,IF($H62&lt;&gt;0,$H62/0.75,0))</f>
        <v>78.599999999999994</v>
      </c>
      <c r="S62" s="32" t="b">
        <f>ISNUMBER(R62)</f>
        <v>1</v>
      </c>
      <c r="T62" s="32"/>
    </row>
    <row r="63" spans="1:20" x14ac:dyDescent="0.3">
      <c r="A63" s="9">
        <v>62</v>
      </c>
      <c r="B63" s="21">
        <v>44364.007881944446</v>
      </c>
      <c r="C63" s="11" t="s">
        <v>73</v>
      </c>
      <c r="D63" s="11" t="str">
        <f>IF(ISNUMBER(SEARCH("OSBC", C63)), "GOVT", "RETAIL")</f>
        <v>GOVT</v>
      </c>
      <c r="E63" s="12">
        <v>36.93</v>
      </c>
      <c r="F63" s="12">
        <v>124000</v>
      </c>
      <c r="G63" s="11">
        <v>0</v>
      </c>
      <c r="H63" s="11">
        <v>0</v>
      </c>
      <c r="I63" s="12">
        <v>0</v>
      </c>
      <c r="J63" s="12">
        <v>0</v>
      </c>
      <c r="K63" s="12">
        <v>0</v>
      </c>
      <c r="L63" s="12">
        <v>0</v>
      </c>
      <c r="M63" s="13">
        <v>124036.93</v>
      </c>
      <c r="N63">
        <f>YEAR(B63)</f>
        <v>2021</v>
      </c>
      <c r="O63" s="24">
        <f>IFERROR(J63/$I63,0)</f>
        <v>0</v>
      </c>
      <c r="P63" s="24">
        <f>IFERROR(K63/$I63,0)</f>
        <v>0</v>
      </c>
      <c r="Q63" s="24" t="str">
        <f>IF($G63&lt;&gt;0,"Beer",IF($H63&lt;&gt;0,"Liquor","-"))</f>
        <v>-</v>
      </c>
      <c r="R63" s="26">
        <f>IF($G63&lt;&gt;0,$G63,IF($H63&lt;&gt;0,$H63/0.75,0))</f>
        <v>0</v>
      </c>
      <c r="S63" s="32" t="b">
        <f>ISNUMBER(R63)</f>
        <v>1</v>
      </c>
      <c r="T63" s="32"/>
    </row>
    <row r="64" spans="1:20" x14ac:dyDescent="0.3">
      <c r="A64" s="9">
        <v>63</v>
      </c>
      <c r="B64" s="21">
        <v>44364.28496527778</v>
      </c>
      <c r="C64" s="11" t="s">
        <v>74</v>
      </c>
      <c r="D64" s="11" t="str">
        <f>IF(ISNUMBER(SEARCH("OSBC", C64)), "GOVT", "RETAIL")</f>
        <v>GOVT</v>
      </c>
      <c r="E64" s="12">
        <v>124036.93</v>
      </c>
      <c r="F64" s="12">
        <v>159000</v>
      </c>
      <c r="G64" s="11">
        <v>0</v>
      </c>
      <c r="H64" s="11">
        <v>0</v>
      </c>
      <c r="I64" s="12">
        <v>0</v>
      </c>
      <c r="J64" s="12">
        <v>0</v>
      </c>
      <c r="K64" s="12">
        <v>0</v>
      </c>
      <c r="L64" s="12">
        <v>0</v>
      </c>
      <c r="M64" s="13">
        <v>283036.93</v>
      </c>
      <c r="N64">
        <f>YEAR(B64)</f>
        <v>2021</v>
      </c>
      <c r="O64" s="24">
        <f>IFERROR(J64/$I64,0)</f>
        <v>0</v>
      </c>
      <c r="P64" s="24">
        <f>IFERROR(K64/$I64,0)</f>
        <v>0</v>
      </c>
      <c r="Q64" s="24" t="str">
        <f>IF($G64&lt;&gt;0,"Beer",IF($H64&lt;&gt;0,"Liquor","-"))</f>
        <v>-</v>
      </c>
      <c r="R64" s="26">
        <f>IF($G64&lt;&gt;0,$G64,IF($H64&lt;&gt;0,$H64/0.75,0))</f>
        <v>0</v>
      </c>
      <c r="S64" s="32" t="b">
        <f>ISNUMBER(R64)</f>
        <v>1</v>
      </c>
      <c r="T64" s="32"/>
    </row>
    <row r="65" spans="1:20" x14ac:dyDescent="0.3">
      <c r="A65" s="9">
        <v>64</v>
      </c>
      <c r="B65" s="21">
        <v>44364.439039351855</v>
      </c>
      <c r="C65" s="11" t="s">
        <v>75</v>
      </c>
      <c r="D65" s="11" t="str">
        <f>IF(ISNUMBER(SEARCH("OSBC", C65)), "GOVT", "RETAIL")</f>
        <v>RETAIL</v>
      </c>
      <c r="E65" s="12">
        <v>283036.93</v>
      </c>
      <c r="F65" s="12">
        <v>0</v>
      </c>
      <c r="G65" s="11">
        <v>0</v>
      </c>
      <c r="H65" s="11">
        <v>202.5</v>
      </c>
      <c r="I65" s="12">
        <v>171031.77</v>
      </c>
      <c r="J65" s="12">
        <v>59861.120000000003</v>
      </c>
      <c r="K65" s="12">
        <v>2308.9299999999998</v>
      </c>
      <c r="L65" s="12">
        <v>233201.82</v>
      </c>
      <c r="M65" s="13">
        <v>49835.11</v>
      </c>
      <c r="N65">
        <f>YEAR(B65)</f>
        <v>2021</v>
      </c>
      <c r="O65" s="24">
        <f>IFERROR(J65/$I65,0)</f>
        <v>0.35000000292343353</v>
      </c>
      <c r="P65" s="24">
        <f>IFERROR(K65/$I65,0)</f>
        <v>1.3500006460787958E-2</v>
      </c>
      <c r="Q65" s="24" t="str">
        <f>IF($G65&lt;&gt;0,"Beer",IF($H65&lt;&gt;0,"Liquor","-"))</f>
        <v>Liquor</v>
      </c>
      <c r="R65" s="26">
        <f>IF($G65&lt;&gt;0,$G65,IF($H65&lt;&gt;0,$H65/0.75,0))</f>
        <v>270</v>
      </c>
      <c r="S65" s="32" t="b">
        <f>ISNUMBER(R65)</f>
        <v>1</v>
      </c>
      <c r="T65" s="32"/>
    </row>
    <row r="66" spans="1:20" x14ac:dyDescent="0.3">
      <c r="A66" s="9">
        <v>65</v>
      </c>
      <c r="B66" s="21">
        <v>44364.439444444448</v>
      </c>
      <c r="C66" s="11" t="s">
        <v>76</v>
      </c>
      <c r="D66" s="11" t="str">
        <f>IF(ISNUMBER(SEARCH("OSBC", C66)), "GOVT", "RETAIL")</f>
        <v>RETAIL</v>
      </c>
      <c r="E66" s="12">
        <v>49835.11</v>
      </c>
      <c r="F66" s="12">
        <v>0</v>
      </c>
      <c r="G66" s="11">
        <v>237</v>
      </c>
      <c r="H66" s="11">
        <v>0</v>
      </c>
      <c r="I66" s="12">
        <v>35714.25</v>
      </c>
      <c r="J66" s="12">
        <v>12499.99</v>
      </c>
      <c r="K66" s="12">
        <v>482.14</v>
      </c>
      <c r="L66" s="12">
        <v>48696.38</v>
      </c>
      <c r="M66" s="13">
        <v>1138.73</v>
      </c>
      <c r="N66">
        <f>YEAR(B66)</f>
        <v>2021</v>
      </c>
      <c r="O66" s="24">
        <f>IFERROR(J66/$I66,0)</f>
        <v>0.35000007000007</v>
      </c>
      <c r="P66" s="24">
        <f>IFERROR(K66/$I66,0)</f>
        <v>1.34999334999335E-2</v>
      </c>
      <c r="Q66" s="24" t="str">
        <f>IF($G66&lt;&gt;0,"Beer",IF($H66&lt;&gt;0,"Liquor","-"))</f>
        <v>Beer</v>
      </c>
      <c r="R66" s="26">
        <f>IF($G66&lt;&gt;0,$G66,IF($H66&lt;&gt;0,$H66/0.75,0))</f>
        <v>237</v>
      </c>
      <c r="S66" s="32" t="b">
        <f>ISNUMBER(R66)</f>
        <v>1</v>
      </c>
      <c r="T66" s="32"/>
    </row>
    <row r="67" spans="1:20" x14ac:dyDescent="0.3">
      <c r="A67" s="9">
        <v>66</v>
      </c>
      <c r="B67" s="21">
        <v>44367.979884259257</v>
      </c>
      <c r="C67" s="11" t="s">
        <v>77</v>
      </c>
      <c r="D67" s="11" t="str">
        <f>IF(ISNUMBER(SEARCH("OSBC", C67)), "GOVT", "RETAIL")</f>
        <v>GOVT</v>
      </c>
      <c r="E67" s="12">
        <v>1138.73</v>
      </c>
      <c r="F67" s="12">
        <v>239000</v>
      </c>
      <c r="G67" s="11">
        <v>0</v>
      </c>
      <c r="H67" s="11">
        <v>0</v>
      </c>
      <c r="I67" s="12">
        <v>0</v>
      </c>
      <c r="J67" s="12">
        <v>0</v>
      </c>
      <c r="K67" s="12">
        <v>0</v>
      </c>
      <c r="L67" s="12">
        <v>0</v>
      </c>
      <c r="M67" s="13">
        <v>240138.73</v>
      </c>
      <c r="N67">
        <f>YEAR(B67)</f>
        <v>2021</v>
      </c>
      <c r="O67" s="24">
        <f>IFERROR(J67/$I67,0)</f>
        <v>0</v>
      </c>
      <c r="P67" s="24">
        <f>IFERROR(K67/$I67,0)</f>
        <v>0</v>
      </c>
      <c r="Q67" s="24" t="str">
        <f>IF($G67&lt;&gt;0,"Beer",IF($H67&lt;&gt;0,"Liquor","-"))</f>
        <v>-</v>
      </c>
      <c r="R67" s="26">
        <f>IF($G67&lt;&gt;0,$G67,IF($H67&lt;&gt;0,$H67/0.75,0))</f>
        <v>0</v>
      </c>
      <c r="S67" s="32" t="b">
        <f>ISNUMBER(R67)</f>
        <v>1</v>
      </c>
      <c r="T67" s="32"/>
    </row>
    <row r="68" spans="1:20" x14ac:dyDescent="0.3">
      <c r="A68" s="9">
        <v>67</v>
      </c>
      <c r="B68" s="21">
        <v>44368.407083333332</v>
      </c>
      <c r="C68" s="11" t="s">
        <v>78</v>
      </c>
      <c r="D68" s="11" t="str">
        <f>IF(ISNUMBER(SEARCH("OSBC", C68)), "GOVT", "RETAIL")</f>
        <v>RETAIL</v>
      </c>
      <c r="E68" s="12">
        <v>240138.73</v>
      </c>
      <c r="F68" s="12">
        <v>0</v>
      </c>
      <c r="G68" s="11">
        <v>0</v>
      </c>
      <c r="H68" s="11">
        <v>182.52</v>
      </c>
      <c r="I68" s="12">
        <v>148174.64000000001</v>
      </c>
      <c r="J68" s="12">
        <v>51861.16</v>
      </c>
      <c r="K68" s="12">
        <v>2000</v>
      </c>
      <c r="L68" s="12">
        <v>202035.8</v>
      </c>
      <c r="M68" s="13">
        <v>38102.93</v>
      </c>
      <c r="N68">
        <f>YEAR(B68)</f>
        <v>2021</v>
      </c>
      <c r="O68" s="24">
        <f>IFERROR(J68/$I68,0)</f>
        <v>0.35000024295655452</v>
      </c>
      <c r="P68" s="24">
        <f>IFERROR(K68/$I68,0)</f>
        <v>1.3497586361606816E-2</v>
      </c>
      <c r="Q68" s="24" t="str">
        <f>IF($G68&lt;&gt;0,"Beer",IF($H68&lt;&gt;0,"Liquor","-"))</f>
        <v>Liquor</v>
      </c>
      <c r="R68" s="26">
        <f>IF($G68&lt;&gt;0,$G68,IF($H68&lt;&gt;0,$H68/0.75,0))</f>
        <v>243.36</v>
      </c>
      <c r="S68" s="32" t="b">
        <f>ISNUMBER(R68)</f>
        <v>1</v>
      </c>
      <c r="T68" s="32"/>
    </row>
    <row r="69" spans="1:20" x14ac:dyDescent="0.3">
      <c r="A69" s="9">
        <v>68</v>
      </c>
      <c r="B69" s="21">
        <v>44368.414085648146</v>
      </c>
      <c r="C69" s="11" t="s">
        <v>79</v>
      </c>
      <c r="D69" s="11" t="str">
        <f>IF(ISNUMBER(SEARCH("OSBC", C69)), "GOVT", "RETAIL")</f>
        <v>RETAIL</v>
      </c>
      <c r="E69" s="12">
        <v>38102.93</v>
      </c>
      <c r="F69" s="12">
        <v>0</v>
      </c>
      <c r="G69" s="11">
        <v>184.8</v>
      </c>
      <c r="H69" s="11">
        <v>0</v>
      </c>
      <c r="I69" s="12">
        <v>27857.119999999999</v>
      </c>
      <c r="J69" s="12">
        <v>9749.99</v>
      </c>
      <c r="K69" s="12">
        <v>376.07</v>
      </c>
      <c r="L69" s="12">
        <v>37983.18</v>
      </c>
      <c r="M69" s="13">
        <v>119.75</v>
      </c>
      <c r="N69">
        <f>YEAR(B69)</f>
        <v>2021</v>
      </c>
      <c r="O69" s="24">
        <f>IFERROR(J69/$I69,0)</f>
        <v>0.34999992820506931</v>
      </c>
      <c r="P69" s="24">
        <f>IFERROR(K69/$I69,0)</f>
        <v>1.3499959794838806E-2</v>
      </c>
      <c r="Q69" s="24" t="str">
        <f>IF($G69&lt;&gt;0,"Beer",IF($H69&lt;&gt;0,"Liquor","-"))</f>
        <v>Beer</v>
      </c>
      <c r="R69" s="26">
        <f>IF($G69&lt;&gt;0,$G69,IF($H69&lt;&gt;0,$H69/0.75,0))</f>
        <v>184.8</v>
      </c>
      <c r="S69" s="32" t="b">
        <f>ISNUMBER(R69)</f>
        <v>1</v>
      </c>
      <c r="T69" s="32"/>
    </row>
    <row r="70" spans="1:20" x14ac:dyDescent="0.3">
      <c r="A70" s="9">
        <v>69</v>
      </c>
      <c r="B70" s="21">
        <v>44370.382326388892</v>
      </c>
      <c r="C70" s="11" t="s">
        <v>80</v>
      </c>
      <c r="D70" s="11" t="str">
        <f>IF(ISNUMBER(SEARCH("OSBC", C70)), "GOVT", "RETAIL")</f>
        <v>GOVT</v>
      </c>
      <c r="E70" s="12">
        <v>119.75</v>
      </c>
      <c r="F70" s="12">
        <v>114000</v>
      </c>
      <c r="G70" s="11">
        <v>0</v>
      </c>
      <c r="H70" s="11">
        <v>0</v>
      </c>
      <c r="I70" s="12">
        <v>0</v>
      </c>
      <c r="J70" s="12">
        <v>0</v>
      </c>
      <c r="K70" s="12">
        <v>0</v>
      </c>
      <c r="L70" s="12">
        <v>0</v>
      </c>
      <c r="M70" s="13">
        <v>114119.75</v>
      </c>
      <c r="N70">
        <f>YEAR(B70)</f>
        <v>2021</v>
      </c>
      <c r="O70" s="24">
        <f>IFERROR(J70/$I70,0)</f>
        <v>0</v>
      </c>
      <c r="P70" s="24">
        <f>IFERROR(K70/$I70,0)</f>
        <v>0</v>
      </c>
      <c r="Q70" s="24" t="str">
        <f>IF($G70&lt;&gt;0,"Beer",IF($H70&lt;&gt;0,"Liquor","-"))</f>
        <v>-</v>
      </c>
      <c r="R70" s="26">
        <f>IF($G70&lt;&gt;0,$G70,IF($H70&lt;&gt;0,$H70/0.75,0))</f>
        <v>0</v>
      </c>
      <c r="S70" s="32" t="b">
        <f>ISNUMBER(R70)</f>
        <v>1</v>
      </c>
      <c r="T70" s="32"/>
    </row>
    <row r="71" spans="1:20" x14ac:dyDescent="0.3">
      <c r="A71" s="9">
        <v>70</v>
      </c>
      <c r="B71" s="21">
        <v>44370.431273148148</v>
      </c>
      <c r="C71" s="11" t="s">
        <v>81</v>
      </c>
      <c r="D71" s="11" t="str">
        <f>IF(ISNUMBER(SEARCH("OSBC", C71)), "GOVT", "RETAIL")</f>
        <v>GOVT</v>
      </c>
      <c r="E71" s="12">
        <v>114119.75</v>
      </c>
      <c r="F71" s="12">
        <v>40000</v>
      </c>
      <c r="G71" s="11">
        <v>0</v>
      </c>
      <c r="H71" s="11">
        <v>0</v>
      </c>
      <c r="I71" s="12">
        <v>0</v>
      </c>
      <c r="J71" s="12">
        <v>0</v>
      </c>
      <c r="K71" s="12">
        <v>0</v>
      </c>
      <c r="L71" s="12">
        <v>0</v>
      </c>
      <c r="M71" s="13">
        <v>154119.75</v>
      </c>
      <c r="N71">
        <f>YEAR(B71)</f>
        <v>2021</v>
      </c>
      <c r="O71" s="24">
        <f>IFERROR(J71/$I71,0)</f>
        <v>0</v>
      </c>
      <c r="P71" s="24">
        <f>IFERROR(K71/$I71,0)</f>
        <v>0</v>
      </c>
      <c r="Q71" s="24" t="str">
        <f>IF($G71&lt;&gt;0,"Beer",IF($H71&lt;&gt;0,"Liquor","-"))</f>
        <v>-</v>
      </c>
      <c r="R71" s="26">
        <f>IF($G71&lt;&gt;0,$G71,IF($H71&lt;&gt;0,$H71/0.75,0))</f>
        <v>0</v>
      </c>
      <c r="S71" s="32" t="b">
        <f>ISNUMBER(R71)</f>
        <v>1</v>
      </c>
      <c r="T71" s="32"/>
    </row>
    <row r="72" spans="1:20" x14ac:dyDescent="0.3">
      <c r="A72" s="9">
        <v>71</v>
      </c>
      <c r="B72" s="21">
        <v>44370.483136574076</v>
      </c>
      <c r="C72" s="11" t="s">
        <v>82</v>
      </c>
      <c r="D72" s="11" t="str">
        <f>IF(ISNUMBER(SEARCH("OSBC", C72)), "GOVT", "RETAIL")</f>
        <v>RETAIL</v>
      </c>
      <c r="E72" s="12">
        <v>154119.75</v>
      </c>
      <c r="F72" s="12">
        <v>0</v>
      </c>
      <c r="G72" s="11">
        <v>0</v>
      </c>
      <c r="H72" s="11">
        <v>128.38999999999999</v>
      </c>
      <c r="I72" s="12">
        <v>109841.3</v>
      </c>
      <c r="J72" s="12">
        <v>38444.46</v>
      </c>
      <c r="K72" s="12">
        <v>1483</v>
      </c>
      <c r="L72" s="12">
        <v>149768.76</v>
      </c>
      <c r="M72" s="13">
        <v>4350.99</v>
      </c>
      <c r="N72">
        <f>YEAR(B72)</f>
        <v>2021</v>
      </c>
      <c r="O72" s="24">
        <f>IFERROR(J72/$I72,0)</f>
        <v>0.35000004552021868</v>
      </c>
      <c r="P72" s="24">
        <f>IFERROR(K72/$I72,0)</f>
        <v>1.3501296871031205E-2</v>
      </c>
      <c r="Q72" s="24" t="str">
        <f>IF($G72&lt;&gt;0,"Beer",IF($H72&lt;&gt;0,"Liquor","-"))</f>
        <v>Liquor</v>
      </c>
      <c r="R72" s="26">
        <f>IF($G72&lt;&gt;0,$G72,IF($H72&lt;&gt;0,$H72/0.75,0))</f>
        <v>171.18666666666664</v>
      </c>
      <c r="S72" s="32" t="b">
        <f>ISNUMBER(R72)</f>
        <v>1</v>
      </c>
      <c r="T72" s="32"/>
    </row>
    <row r="73" spans="1:20" x14ac:dyDescent="0.3">
      <c r="A73" s="9">
        <v>72</v>
      </c>
      <c r="B73" s="21">
        <v>44372.374050925922</v>
      </c>
      <c r="C73" s="11" t="s">
        <v>83</v>
      </c>
      <c r="D73" s="11" t="str">
        <f>IF(ISNUMBER(SEARCH("OSBC", C73)), "GOVT", "RETAIL")</f>
        <v>GOVT</v>
      </c>
      <c r="E73" s="12">
        <v>4350.99</v>
      </c>
      <c r="F73" s="12">
        <v>160000</v>
      </c>
      <c r="G73" s="11">
        <v>0</v>
      </c>
      <c r="H73" s="11">
        <v>0</v>
      </c>
      <c r="I73" s="12">
        <v>0</v>
      </c>
      <c r="J73" s="12">
        <v>0</v>
      </c>
      <c r="K73" s="12">
        <v>0</v>
      </c>
      <c r="L73" s="12">
        <v>0</v>
      </c>
      <c r="M73" s="13">
        <v>164350.99</v>
      </c>
      <c r="N73">
        <f>YEAR(B73)</f>
        <v>2021</v>
      </c>
      <c r="O73" s="24">
        <f>IFERROR(J73/$I73,0)</f>
        <v>0</v>
      </c>
      <c r="P73" s="24">
        <f>IFERROR(K73/$I73,0)</f>
        <v>0</v>
      </c>
      <c r="Q73" s="24" t="str">
        <f>IF($G73&lt;&gt;0,"Beer",IF($H73&lt;&gt;0,"Liquor","-"))</f>
        <v>-</v>
      </c>
      <c r="R73" s="26">
        <f>IF($G73&lt;&gt;0,$G73,IF($H73&lt;&gt;0,$H73/0.75,0))</f>
        <v>0</v>
      </c>
      <c r="S73" s="32" t="b">
        <f>ISNUMBER(R73)</f>
        <v>1</v>
      </c>
      <c r="T73" s="32"/>
    </row>
    <row r="74" spans="1:20" x14ac:dyDescent="0.3">
      <c r="A74" s="9">
        <v>73</v>
      </c>
      <c r="B74" s="21">
        <v>44372.409907407404</v>
      </c>
      <c r="C74" s="11" t="s">
        <v>84</v>
      </c>
      <c r="D74" s="11" t="str">
        <f>IF(ISNUMBER(SEARCH("OSBC", C74)), "GOVT", "RETAIL")</f>
        <v>RETAIL</v>
      </c>
      <c r="E74" s="12">
        <v>164350.99</v>
      </c>
      <c r="F74" s="12">
        <v>0</v>
      </c>
      <c r="G74" s="11">
        <v>169.8</v>
      </c>
      <c r="H74" s="11">
        <v>0</v>
      </c>
      <c r="I74" s="12">
        <v>25555.53</v>
      </c>
      <c r="J74" s="12">
        <v>8944.44</v>
      </c>
      <c r="K74" s="12">
        <v>345</v>
      </c>
      <c r="L74" s="12">
        <v>34844.97</v>
      </c>
      <c r="M74" s="13">
        <v>129506.02</v>
      </c>
      <c r="N74">
        <f>YEAR(B74)</f>
        <v>2021</v>
      </c>
      <c r="O74" s="24">
        <f>IFERROR(J74/$I74,0)</f>
        <v>0.35000017608713263</v>
      </c>
      <c r="P74" s="24">
        <f>IFERROR(K74/$I74,0)</f>
        <v>1.3500013500013501E-2</v>
      </c>
      <c r="Q74" s="24" t="str">
        <f>IF($G74&lt;&gt;0,"Beer",IF($H74&lt;&gt;0,"Liquor","-"))</f>
        <v>Beer</v>
      </c>
      <c r="R74" s="26">
        <f>IF($G74&lt;&gt;0,$G74,IF($H74&lt;&gt;0,$H74/0.75,0))</f>
        <v>169.8</v>
      </c>
      <c r="S74" s="32" t="b">
        <f>ISNUMBER(R74)</f>
        <v>1</v>
      </c>
      <c r="T74" s="32"/>
    </row>
    <row r="75" spans="1:20" x14ac:dyDescent="0.3">
      <c r="A75" s="9">
        <v>74</v>
      </c>
      <c r="B75" s="21">
        <v>44372.42931712963</v>
      </c>
      <c r="C75" s="11" t="s">
        <v>85</v>
      </c>
      <c r="D75" s="11" t="str">
        <f>IF(ISNUMBER(SEARCH("OSBC", C75)), "GOVT", "RETAIL")</f>
        <v>RETAIL</v>
      </c>
      <c r="E75" s="12">
        <v>129506.02</v>
      </c>
      <c r="F75" s="12">
        <v>0</v>
      </c>
      <c r="G75" s="11">
        <v>0</v>
      </c>
      <c r="H75" s="11">
        <v>117.45</v>
      </c>
      <c r="I75" s="12">
        <v>94523.839999999997</v>
      </c>
      <c r="J75" s="12">
        <v>33083.360000000001</v>
      </c>
      <c r="K75" s="12">
        <v>1276</v>
      </c>
      <c r="L75" s="12">
        <v>128883.2</v>
      </c>
      <c r="M75" s="13">
        <v>622.82000000000005</v>
      </c>
      <c r="N75">
        <f>YEAR(B75)</f>
        <v>2021</v>
      </c>
      <c r="O75" s="24">
        <f>IFERROR(J75/$I75,0)</f>
        <v>0.35000016926946687</v>
      </c>
      <c r="P75" s="24">
        <f>IFERROR(K75/$I75,0)</f>
        <v>1.3499239980093912E-2</v>
      </c>
      <c r="Q75" s="24" t="str">
        <f>IF($G75&lt;&gt;0,"Beer",IF($H75&lt;&gt;0,"Liquor","-"))</f>
        <v>Liquor</v>
      </c>
      <c r="R75" s="26">
        <f>IF($G75&lt;&gt;0,$G75,IF($H75&lt;&gt;0,$H75/0.75,0))</f>
        <v>156.6</v>
      </c>
      <c r="S75" s="32" t="b">
        <f>ISNUMBER(R75)</f>
        <v>1</v>
      </c>
      <c r="T75" s="32"/>
    </row>
    <row r="76" spans="1:20" x14ac:dyDescent="0.3">
      <c r="A76" s="9">
        <v>75</v>
      </c>
      <c r="B76" s="21">
        <v>44376.313750000001</v>
      </c>
      <c r="C76" s="11" t="s">
        <v>86</v>
      </c>
      <c r="D76" s="11" t="str">
        <f>IF(ISNUMBER(SEARCH("OSBC", C76)), "GOVT", "RETAIL")</f>
        <v>GOVT</v>
      </c>
      <c r="E76" s="12">
        <v>622.82000000000005</v>
      </c>
      <c r="F76" s="12">
        <v>105500</v>
      </c>
      <c r="G76" s="11">
        <v>0</v>
      </c>
      <c r="H76" s="11">
        <v>0</v>
      </c>
      <c r="I76" s="12">
        <v>0</v>
      </c>
      <c r="J76" s="12">
        <v>0</v>
      </c>
      <c r="K76" s="12">
        <v>0</v>
      </c>
      <c r="L76" s="12">
        <v>0</v>
      </c>
      <c r="M76" s="13">
        <v>106122.82</v>
      </c>
      <c r="N76">
        <f>YEAR(B76)</f>
        <v>2021</v>
      </c>
      <c r="O76" s="24">
        <f>IFERROR(J76/$I76,0)</f>
        <v>0</v>
      </c>
      <c r="P76" s="24">
        <f>IFERROR(K76/$I76,0)</f>
        <v>0</v>
      </c>
      <c r="Q76" s="24" t="str">
        <f>IF($G76&lt;&gt;0,"Beer",IF($H76&lt;&gt;0,"Liquor","-"))</f>
        <v>-</v>
      </c>
      <c r="R76" s="26">
        <f>IF($G76&lt;&gt;0,$G76,IF($H76&lt;&gt;0,$H76/0.75,0))</f>
        <v>0</v>
      </c>
      <c r="S76" s="32" t="b">
        <f>ISNUMBER(R76)</f>
        <v>1</v>
      </c>
      <c r="T76" s="32"/>
    </row>
    <row r="77" spans="1:20" x14ac:dyDescent="0.3">
      <c r="A77" s="9">
        <v>76</v>
      </c>
      <c r="B77" s="21">
        <v>44376.379652777781</v>
      </c>
      <c r="C77" s="11" t="s">
        <v>87</v>
      </c>
      <c r="D77" s="11" t="str">
        <f>IF(ISNUMBER(SEARCH("OSBC", C77)), "GOVT", "RETAIL")</f>
        <v>GOVT</v>
      </c>
      <c r="E77" s="12">
        <v>106122.82</v>
      </c>
      <c r="F77" s="12">
        <v>75000</v>
      </c>
      <c r="G77" s="11">
        <v>0</v>
      </c>
      <c r="H77" s="11">
        <v>0</v>
      </c>
      <c r="I77" s="12">
        <v>0</v>
      </c>
      <c r="J77" s="12">
        <v>0</v>
      </c>
      <c r="K77" s="12">
        <v>0</v>
      </c>
      <c r="L77" s="12">
        <v>0</v>
      </c>
      <c r="M77" s="13">
        <v>181122.82</v>
      </c>
      <c r="N77">
        <f>YEAR(B77)</f>
        <v>2021</v>
      </c>
      <c r="O77" s="24">
        <f>IFERROR(J77/$I77,0)</f>
        <v>0</v>
      </c>
      <c r="P77" s="24">
        <f>IFERROR(K77/$I77,0)</f>
        <v>0</v>
      </c>
      <c r="Q77" s="24" t="str">
        <f>IF($G77&lt;&gt;0,"Beer",IF($H77&lt;&gt;0,"Liquor","-"))</f>
        <v>-</v>
      </c>
      <c r="R77" s="26">
        <f>IF($G77&lt;&gt;0,$G77,IF($H77&lt;&gt;0,$H77/0.75,0))</f>
        <v>0</v>
      </c>
      <c r="S77" s="32" t="b">
        <f>ISNUMBER(R77)</f>
        <v>1</v>
      </c>
      <c r="T77" s="32"/>
    </row>
    <row r="78" spans="1:20" x14ac:dyDescent="0.3">
      <c r="A78" s="9">
        <v>77</v>
      </c>
      <c r="B78" s="21">
        <v>44376.396689814814</v>
      </c>
      <c r="C78" s="11" t="s">
        <v>88</v>
      </c>
      <c r="D78" s="11" t="str">
        <f>IF(ISNUMBER(SEARCH("OSBC", C78)), "GOVT", "RETAIL")</f>
        <v>GOVT</v>
      </c>
      <c r="E78" s="12">
        <v>181122.82</v>
      </c>
      <c r="F78" s="12">
        <v>15000</v>
      </c>
      <c r="G78" s="11">
        <v>0</v>
      </c>
      <c r="H78" s="11">
        <v>0</v>
      </c>
      <c r="I78" s="12">
        <v>0</v>
      </c>
      <c r="J78" s="12">
        <v>0</v>
      </c>
      <c r="K78" s="12">
        <v>0</v>
      </c>
      <c r="L78" s="12">
        <v>0</v>
      </c>
      <c r="M78" s="13">
        <v>196122.82</v>
      </c>
      <c r="N78">
        <f>YEAR(B78)</f>
        <v>2021</v>
      </c>
      <c r="O78" s="24">
        <f>IFERROR(J78/$I78,0)</f>
        <v>0</v>
      </c>
      <c r="P78" s="24">
        <f>IFERROR(K78/$I78,0)</f>
        <v>0</v>
      </c>
      <c r="Q78" s="24" t="str">
        <f>IF($G78&lt;&gt;0,"Beer",IF($H78&lt;&gt;0,"Liquor","-"))</f>
        <v>-</v>
      </c>
      <c r="R78" s="26">
        <f>IF($G78&lt;&gt;0,$G78,IF($H78&lt;&gt;0,$H78/0.75,0))</f>
        <v>0</v>
      </c>
      <c r="S78" s="32" t="b">
        <f>ISNUMBER(R78)</f>
        <v>1</v>
      </c>
      <c r="T78" s="32"/>
    </row>
    <row r="79" spans="1:20" x14ac:dyDescent="0.3">
      <c r="A79" s="9">
        <v>78</v>
      </c>
      <c r="B79" s="21">
        <v>44376.406956018516</v>
      </c>
      <c r="C79" s="11" t="s">
        <v>89</v>
      </c>
      <c r="D79" s="11" t="str">
        <f>IF(ISNUMBER(SEARCH("OSBC", C79)), "GOVT", "RETAIL")</f>
        <v>GOVT</v>
      </c>
      <c r="E79" s="12">
        <v>196122.82</v>
      </c>
      <c r="F79" s="12">
        <v>34000</v>
      </c>
      <c r="G79" s="11">
        <v>0</v>
      </c>
      <c r="H79" s="11">
        <v>0</v>
      </c>
      <c r="I79" s="12">
        <v>0</v>
      </c>
      <c r="J79" s="12">
        <v>0</v>
      </c>
      <c r="K79" s="12">
        <v>0</v>
      </c>
      <c r="L79" s="12">
        <v>0</v>
      </c>
      <c r="M79" s="13">
        <v>230122.82</v>
      </c>
      <c r="N79">
        <f>YEAR(B79)</f>
        <v>2021</v>
      </c>
      <c r="O79" s="24">
        <f>IFERROR(J79/$I79,0)</f>
        <v>0</v>
      </c>
      <c r="P79" s="24">
        <f>IFERROR(K79/$I79,0)</f>
        <v>0</v>
      </c>
      <c r="Q79" s="24" t="str">
        <f>IF($G79&lt;&gt;0,"Beer",IF($H79&lt;&gt;0,"Liquor","-"))</f>
        <v>-</v>
      </c>
      <c r="R79" s="26">
        <f>IF($G79&lt;&gt;0,$G79,IF($H79&lt;&gt;0,$H79/0.75,0))</f>
        <v>0</v>
      </c>
      <c r="S79" s="32" t="b">
        <f>ISNUMBER(R79)</f>
        <v>1</v>
      </c>
      <c r="T79" s="32"/>
    </row>
    <row r="80" spans="1:20" x14ac:dyDescent="0.3">
      <c r="A80" s="9">
        <v>79</v>
      </c>
      <c r="B80" s="21">
        <v>44376.484733796293</v>
      </c>
      <c r="C80" s="11" t="s">
        <v>90</v>
      </c>
      <c r="D80" s="11" t="str">
        <f>IF(ISNUMBER(SEARCH("OSBC", C80)), "GOVT", "RETAIL")</f>
        <v>RETAIL</v>
      </c>
      <c r="E80" s="12">
        <v>230122.82</v>
      </c>
      <c r="F80" s="12">
        <v>0</v>
      </c>
      <c r="G80" s="11">
        <v>0</v>
      </c>
      <c r="H80" s="11">
        <v>195.75</v>
      </c>
      <c r="I80" s="12">
        <v>166349.26999999999</v>
      </c>
      <c r="J80" s="12">
        <v>58222.26</v>
      </c>
      <c r="K80" s="12">
        <v>2246</v>
      </c>
      <c r="L80" s="12">
        <v>226817.53</v>
      </c>
      <c r="M80" s="13">
        <v>3305.29</v>
      </c>
      <c r="N80">
        <f>YEAR(B80)</f>
        <v>2021</v>
      </c>
      <c r="O80" s="24">
        <f>IFERROR(J80/$I80,0)</f>
        <v>0.35000009317744529</v>
      </c>
      <c r="P80" s="24">
        <f>IFERROR(K80/$I80,0)</f>
        <v>1.3501712391043256E-2</v>
      </c>
      <c r="Q80" s="24" t="str">
        <f>IF($G80&lt;&gt;0,"Beer",IF($H80&lt;&gt;0,"Liquor","-"))</f>
        <v>Liquor</v>
      </c>
      <c r="R80" s="26">
        <f>IF($G80&lt;&gt;0,$G80,IF($H80&lt;&gt;0,$H80/0.75,0))</f>
        <v>261</v>
      </c>
      <c r="S80" s="32" t="b">
        <f>ISNUMBER(R80)</f>
        <v>1</v>
      </c>
      <c r="T80" s="32"/>
    </row>
    <row r="81" spans="1:20" x14ac:dyDescent="0.3">
      <c r="A81" s="9">
        <v>80</v>
      </c>
      <c r="B81" s="21">
        <v>44378.364861111113</v>
      </c>
      <c r="C81" s="11" t="s">
        <v>91</v>
      </c>
      <c r="D81" s="11" t="str">
        <f>IF(ISNUMBER(SEARCH("OSBC", C81)), "GOVT", "RETAIL")</f>
        <v>GOVT</v>
      </c>
      <c r="E81" s="12">
        <v>3305.29</v>
      </c>
      <c r="F81" s="12">
        <v>200000</v>
      </c>
      <c r="G81" s="11">
        <v>0</v>
      </c>
      <c r="H81" s="11">
        <v>0</v>
      </c>
      <c r="I81" s="12">
        <v>0</v>
      </c>
      <c r="J81" s="12">
        <v>0</v>
      </c>
      <c r="K81" s="12">
        <v>0</v>
      </c>
      <c r="L81" s="12">
        <v>0</v>
      </c>
      <c r="M81" s="13">
        <v>203305.29</v>
      </c>
      <c r="N81">
        <f>YEAR(B81)</f>
        <v>2021</v>
      </c>
      <c r="O81" s="24">
        <f>IFERROR(J81/$I81,0)</f>
        <v>0</v>
      </c>
      <c r="P81" s="24">
        <f>IFERROR(K81/$I81,0)</f>
        <v>0</v>
      </c>
      <c r="Q81" s="24" t="str">
        <f>IF($G81&lt;&gt;0,"Beer",IF($H81&lt;&gt;0,"Liquor","-"))</f>
        <v>-</v>
      </c>
      <c r="R81" s="26">
        <f>IF($G81&lt;&gt;0,$G81,IF($H81&lt;&gt;0,$H81/0.75,0))</f>
        <v>0</v>
      </c>
      <c r="S81" s="32" t="b">
        <f>ISNUMBER(R81)</f>
        <v>1</v>
      </c>
      <c r="T81" s="32"/>
    </row>
    <row r="82" spans="1:20" x14ac:dyDescent="0.3">
      <c r="A82" s="9">
        <v>81</v>
      </c>
      <c r="B82" s="21">
        <v>44378.419548611113</v>
      </c>
      <c r="C82" s="11" t="s">
        <v>92</v>
      </c>
      <c r="D82" s="11" t="str">
        <f>IF(ISNUMBER(SEARCH("OSBC", C82)), "GOVT", "RETAIL")</f>
        <v>RETAIL</v>
      </c>
      <c r="E82" s="12">
        <v>203305.29</v>
      </c>
      <c r="F82" s="12">
        <v>0</v>
      </c>
      <c r="G82" s="11">
        <v>0</v>
      </c>
      <c r="H82" s="11">
        <v>151.19999999999999</v>
      </c>
      <c r="I82" s="12">
        <v>127936.55</v>
      </c>
      <c r="J82" s="12">
        <v>44777.79</v>
      </c>
      <c r="K82" s="12">
        <v>1727.14</v>
      </c>
      <c r="L82" s="12">
        <v>174441.49</v>
      </c>
      <c r="M82" s="13">
        <v>28863.8</v>
      </c>
      <c r="N82">
        <f>YEAR(B82)</f>
        <v>2021</v>
      </c>
      <c r="O82" s="24">
        <f>IFERROR(J82/$I82,0)</f>
        <v>0.3499999804590635</v>
      </c>
      <c r="P82" s="24">
        <f>IFERROR(K82/$I82,0)</f>
        <v>1.3499973228916991E-2</v>
      </c>
      <c r="Q82" s="24" t="str">
        <f>IF($G82&lt;&gt;0,"Beer",IF($H82&lt;&gt;0,"Liquor","-"))</f>
        <v>Liquor</v>
      </c>
      <c r="R82" s="26">
        <f>IF($G82&lt;&gt;0,$G82,IF($H82&lt;&gt;0,$H82/0.75,0))</f>
        <v>201.6</v>
      </c>
      <c r="S82" s="32" t="b">
        <f>ISNUMBER(R82)</f>
        <v>1</v>
      </c>
      <c r="T82" s="32"/>
    </row>
    <row r="83" spans="1:20" x14ac:dyDescent="0.3">
      <c r="A83" s="9">
        <v>82</v>
      </c>
      <c r="B83" s="21">
        <v>44378.419872685183</v>
      </c>
      <c r="C83" s="11" t="s">
        <v>93</v>
      </c>
      <c r="D83" s="11" t="str">
        <f>IF(ISNUMBER(SEARCH("OSBC", C83)), "GOVT", "RETAIL")</f>
        <v>RETAIL</v>
      </c>
      <c r="E83" s="12">
        <v>28863.8</v>
      </c>
      <c r="F83" s="12">
        <v>0</v>
      </c>
      <c r="G83" s="11">
        <v>138</v>
      </c>
      <c r="H83" s="11">
        <v>0</v>
      </c>
      <c r="I83" s="12">
        <v>20634.900000000001</v>
      </c>
      <c r="J83" s="12">
        <v>7222.22</v>
      </c>
      <c r="K83" s="12">
        <v>278.57</v>
      </c>
      <c r="L83" s="12">
        <v>28135.69</v>
      </c>
      <c r="M83" s="13">
        <v>728.11</v>
      </c>
      <c r="N83">
        <f>YEAR(B83)</f>
        <v>2021</v>
      </c>
      <c r="O83" s="24">
        <f>IFERROR(J83/$I83,0)</f>
        <v>0.35000024230793458</v>
      </c>
      <c r="P83" s="24">
        <f>IFERROR(K83/$I83,0)</f>
        <v>1.3499944269175036E-2</v>
      </c>
      <c r="Q83" s="24" t="str">
        <f>IF($G83&lt;&gt;0,"Beer",IF($H83&lt;&gt;0,"Liquor","-"))</f>
        <v>Beer</v>
      </c>
      <c r="R83" s="26">
        <f>IF($G83&lt;&gt;0,$G83,IF($H83&lt;&gt;0,$H83/0.75,0))</f>
        <v>138</v>
      </c>
      <c r="S83" s="32" t="b">
        <f>ISNUMBER(R83)</f>
        <v>1</v>
      </c>
      <c r="T83" s="32"/>
    </row>
    <row r="84" spans="1:20" x14ac:dyDescent="0.3">
      <c r="A84" s="9">
        <v>83</v>
      </c>
      <c r="B84" s="21">
        <v>44382.371122685188</v>
      </c>
      <c r="C84" s="11" t="s">
        <v>94</v>
      </c>
      <c r="D84" s="11" t="str">
        <f>IF(ISNUMBER(SEARCH("OSBC", C84)), "GOVT", "RETAIL")</f>
        <v>GOVT</v>
      </c>
      <c r="E84" s="12">
        <v>728.11</v>
      </c>
      <c r="F84" s="12">
        <v>25000</v>
      </c>
      <c r="G84" s="11">
        <v>0</v>
      </c>
      <c r="H84" s="11">
        <v>0</v>
      </c>
      <c r="I84" s="12">
        <v>0</v>
      </c>
      <c r="J84" s="12">
        <v>0</v>
      </c>
      <c r="K84" s="12">
        <v>0</v>
      </c>
      <c r="L84" s="12">
        <v>0</v>
      </c>
      <c r="M84" s="13">
        <v>25728.11</v>
      </c>
      <c r="N84">
        <f>YEAR(B84)</f>
        <v>2021</v>
      </c>
      <c r="O84" s="24">
        <f>IFERROR(J84/$I84,0)</f>
        <v>0</v>
      </c>
      <c r="P84" s="24">
        <f>IFERROR(K84/$I84,0)</f>
        <v>0</v>
      </c>
      <c r="Q84" s="24" t="str">
        <f>IF($G84&lt;&gt;0,"Beer",IF($H84&lt;&gt;0,"Liquor","-"))</f>
        <v>-</v>
      </c>
      <c r="R84" s="26">
        <f>IF($G84&lt;&gt;0,$G84,IF($H84&lt;&gt;0,$H84/0.75,0))</f>
        <v>0</v>
      </c>
      <c r="S84" s="32" t="b">
        <f>ISNUMBER(R84)</f>
        <v>1</v>
      </c>
      <c r="T84" s="32"/>
    </row>
    <row r="85" spans="1:20" x14ac:dyDescent="0.3">
      <c r="A85" s="9">
        <v>84</v>
      </c>
      <c r="B85" s="21">
        <v>44382.423310185186</v>
      </c>
      <c r="C85" s="11" t="s">
        <v>95</v>
      </c>
      <c r="D85" s="11" t="str">
        <f>IF(ISNUMBER(SEARCH("OSBC", C85)), "GOVT", "RETAIL")</f>
        <v>RETAIL</v>
      </c>
      <c r="E85" s="12">
        <v>25728.11</v>
      </c>
      <c r="F85" s="12">
        <v>0</v>
      </c>
      <c r="G85" s="11">
        <v>126</v>
      </c>
      <c r="H85" s="11">
        <v>0</v>
      </c>
      <c r="I85" s="12">
        <v>18730.14</v>
      </c>
      <c r="J85" s="12">
        <v>6555.55</v>
      </c>
      <c r="K85" s="12">
        <v>252.86</v>
      </c>
      <c r="L85" s="12">
        <v>25538.55</v>
      </c>
      <c r="M85" s="13">
        <v>189.56</v>
      </c>
      <c r="N85">
        <f>YEAR(B85)</f>
        <v>2021</v>
      </c>
      <c r="O85" s="24">
        <f>IFERROR(J85/$I85,0)</f>
        <v>0.35000005338988394</v>
      </c>
      <c r="P85" s="24">
        <f>IFERROR(K85/$I85,0)</f>
        <v>1.3500166042538925E-2</v>
      </c>
      <c r="Q85" s="24" t="str">
        <f>IF($G85&lt;&gt;0,"Beer",IF($H85&lt;&gt;0,"Liquor","-"))</f>
        <v>Beer</v>
      </c>
      <c r="R85" s="26">
        <f>IF($G85&lt;&gt;0,$G85,IF($H85&lt;&gt;0,$H85/0.75,0))</f>
        <v>126</v>
      </c>
      <c r="S85" s="32" t="b">
        <f>ISNUMBER(R85)</f>
        <v>1</v>
      </c>
      <c r="T85" s="32"/>
    </row>
    <row r="86" spans="1:20" x14ac:dyDescent="0.3">
      <c r="A86" s="9">
        <v>85</v>
      </c>
      <c r="B86" s="21">
        <v>44384.031875000001</v>
      </c>
      <c r="C86" s="11" t="s">
        <v>96</v>
      </c>
      <c r="D86" s="11" t="str">
        <f>IF(ISNUMBER(SEARCH("OSBC", C86)), "GOVT", "RETAIL")</f>
        <v>GOVT</v>
      </c>
      <c r="E86" s="12">
        <v>189.56</v>
      </c>
      <c r="F86" s="12">
        <v>140000</v>
      </c>
      <c r="G86" s="11">
        <v>0</v>
      </c>
      <c r="H86" s="11">
        <v>0</v>
      </c>
      <c r="I86" s="12">
        <v>0</v>
      </c>
      <c r="J86" s="12">
        <v>0</v>
      </c>
      <c r="K86" s="12">
        <v>0</v>
      </c>
      <c r="L86" s="12">
        <v>0</v>
      </c>
      <c r="M86" s="13">
        <v>140189.56</v>
      </c>
      <c r="N86">
        <f>YEAR(B86)</f>
        <v>2021</v>
      </c>
      <c r="O86" s="24">
        <f>IFERROR(J86/$I86,0)</f>
        <v>0</v>
      </c>
      <c r="P86" s="24">
        <f>IFERROR(K86/$I86,0)</f>
        <v>0</v>
      </c>
      <c r="Q86" s="24" t="str">
        <f>IF($G86&lt;&gt;0,"Beer",IF($H86&lt;&gt;0,"Liquor","-"))</f>
        <v>-</v>
      </c>
      <c r="R86" s="26">
        <f>IF($G86&lt;&gt;0,$G86,IF($H86&lt;&gt;0,$H86/0.75,0))</f>
        <v>0</v>
      </c>
      <c r="S86" s="32" t="b">
        <f>ISNUMBER(R86)</f>
        <v>1</v>
      </c>
      <c r="T86" s="32"/>
    </row>
    <row r="87" spans="1:20" x14ac:dyDescent="0.3">
      <c r="A87" s="9">
        <v>86</v>
      </c>
      <c r="B87" s="21">
        <v>44384.375486111108</v>
      </c>
      <c r="C87" s="11" t="s">
        <v>97</v>
      </c>
      <c r="D87" s="11" t="str">
        <f>IF(ISNUMBER(SEARCH("OSBC", C87)), "GOVT", "RETAIL")</f>
        <v>GOVT</v>
      </c>
      <c r="E87" s="12">
        <v>140189.56</v>
      </c>
      <c r="F87" s="12">
        <v>160000</v>
      </c>
      <c r="G87" s="11">
        <v>0</v>
      </c>
      <c r="H87" s="11">
        <v>0</v>
      </c>
      <c r="I87" s="12">
        <v>0</v>
      </c>
      <c r="J87" s="12">
        <v>0</v>
      </c>
      <c r="K87" s="12">
        <v>0</v>
      </c>
      <c r="L87" s="12">
        <v>0</v>
      </c>
      <c r="M87" s="13">
        <v>300189.56</v>
      </c>
      <c r="N87">
        <f>YEAR(B87)</f>
        <v>2021</v>
      </c>
      <c r="O87" s="24">
        <f>IFERROR(J87/$I87,0)</f>
        <v>0</v>
      </c>
      <c r="P87" s="24">
        <f>IFERROR(K87/$I87,0)</f>
        <v>0</v>
      </c>
      <c r="Q87" s="24" t="str">
        <f>IF($G87&lt;&gt;0,"Beer",IF($H87&lt;&gt;0,"Liquor","-"))</f>
        <v>-</v>
      </c>
      <c r="R87" s="26">
        <f>IF($G87&lt;&gt;0,$G87,IF($H87&lt;&gt;0,$H87/0.75,0))</f>
        <v>0</v>
      </c>
      <c r="S87" s="32" t="b">
        <f>ISNUMBER(R87)</f>
        <v>1</v>
      </c>
      <c r="T87" s="32"/>
    </row>
    <row r="88" spans="1:20" x14ac:dyDescent="0.3">
      <c r="A88" s="9">
        <v>87</v>
      </c>
      <c r="B88" s="21">
        <v>44384.425312500003</v>
      </c>
      <c r="C88" s="11" t="s">
        <v>98</v>
      </c>
      <c r="D88" s="11" t="str">
        <f>IF(ISNUMBER(SEARCH("OSBC", C88)), "GOVT", "RETAIL")</f>
        <v>RETAIL</v>
      </c>
      <c r="E88" s="12">
        <v>300189.56</v>
      </c>
      <c r="F88" s="12">
        <v>0</v>
      </c>
      <c r="G88" s="11">
        <v>149.4</v>
      </c>
      <c r="H88" s="11">
        <v>0</v>
      </c>
      <c r="I88" s="12">
        <v>22460.32</v>
      </c>
      <c r="J88" s="12">
        <v>7861.11</v>
      </c>
      <c r="K88" s="12">
        <v>303.20999999999998</v>
      </c>
      <c r="L88" s="12">
        <v>30624.65</v>
      </c>
      <c r="M88" s="13">
        <v>269564.90999999997</v>
      </c>
      <c r="N88">
        <f>YEAR(B88)</f>
        <v>2021</v>
      </c>
      <c r="O88" s="24">
        <f>IFERROR(J88/$I88,0)</f>
        <v>0.34999991095407368</v>
      </c>
      <c r="P88" s="24">
        <f>IFERROR(K88/$I88,0)</f>
        <v>1.3499807660799133E-2</v>
      </c>
      <c r="Q88" s="24" t="str">
        <f>IF($G88&lt;&gt;0,"Beer",IF($H88&lt;&gt;0,"Liquor","-"))</f>
        <v>Beer</v>
      </c>
      <c r="R88" s="26">
        <f>IF($G88&lt;&gt;0,$G88,IF($H88&lt;&gt;0,$H88/0.75,0))</f>
        <v>149.4</v>
      </c>
      <c r="S88" s="32" t="b">
        <f>ISNUMBER(R88)</f>
        <v>1</v>
      </c>
      <c r="T88" s="32"/>
    </row>
    <row r="89" spans="1:20" x14ac:dyDescent="0.3">
      <c r="A89" s="9">
        <v>88</v>
      </c>
      <c r="B89" s="21">
        <v>44384.442106481481</v>
      </c>
      <c r="C89" s="11" t="s">
        <v>99</v>
      </c>
      <c r="D89" s="11" t="str">
        <f>IF(ISNUMBER(SEARCH("OSBC", C89)), "GOVT", "RETAIL")</f>
        <v>RETAIL</v>
      </c>
      <c r="E89" s="12">
        <v>269564.90999999997</v>
      </c>
      <c r="F89" s="12">
        <v>0</v>
      </c>
      <c r="G89" s="11">
        <v>0</v>
      </c>
      <c r="H89" s="11">
        <v>238.55</v>
      </c>
      <c r="I89" s="12">
        <v>197063.53</v>
      </c>
      <c r="J89" s="12">
        <v>68972.289999999994</v>
      </c>
      <c r="K89" s="12">
        <v>2660</v>
      </c>
      <c r="L89" s="12">
        <v>268695.81</v>
      </c>
      <c r="M89" s="13">
        <v>869.1</v>
      </c>
      <c r="N89">
        <f>YEAR(B89)</f>
        <v>2021</v>
      </c>
      <c r="O89" s="24">
        <f>IFERROR(J89/$I89,0)</f>
        <v>0.35000027656055888</v>
      </c>
      <c r="P89" s="24">
        <f>IFERROR(K89/$I89,0)</f>
        <v>1.3498185077675204E-2</v>
      </c>
      <c r="Q89" s="24" t="str">
        <f>IF($G89&lt;&gt;0,"Beer",IF($H89&lt;&gt;0,"Liquor","-"))</f>
        <v>Liquor</v>
      </c>
      <c r="R89" s="26">
        <f>IF($G89&lt;&gt;0,$G89,IF($H89&lt;&gt;0,$H89/0.75,0))</f>
        <v>318.06666666666666</v>
      </c>
      <c r="S89" s="32" t="b">
        <f>ISNUMBER(R89)</f>
        <v>1</v>
      </c>
      <c r="T89" s="32"/>
    </row>
    <row r="90" spans="1:20" x14ac:dyDescent="0.3">
      <c r="A90" s="9">
        <v>89</v>
      </c>
      <c r="B90" s="21">
        <v>44386.343865740739</v>
      </c>
      <c r="C90" s="11" t="s">
        <v>100</v>
      </c>
      <c r="D90" s="11" t="str">
        <f>IF(ISNUMBER(SEARCH("OSBC", C90)), "GOVT", "RETAIL")</f>
        <v>GOVT</v>
      </c>
      <c r="E90" s="12">
        <v>869.1</v>
      </c>
      <c r="F90" s="12">
        <v>199000</v>
      </c>
      <c r="G90" s="11">
        <v>0</v>
      </c>
      <c r="H90" s="11">
        <v>0</v>
      </c>
      <c r="I90" s="12">
        <v>0</v>
      </c>
      <c r="J90" s="12">
        <v>0</v>
      </c>
      <c r="K90" s="12">
        <v>0</v>
      </c>
      <c r="L90" s="12">
        <v>0</v>
      </c>
      <c r="M90" s="13">
        <v>199869.1</v>
      </c>
      <c r="N90">
        <f>YEAR(B90)</f>
        <v>2021</v>
      </c>
      <c r="O90" s="24">
        <f>IFERROR(J90/$I90,0)</f>
        <v>0</v>
      </c>
      <c r="P90" s="24">
        <f>IFERROR(K90/$I90,0)</f>
        <v>0</v>
      </c>
      <c r="Q90" s="24" t="str">
        <f>IF($G90&lt;&gt;0,"Beer",IF($H90&lt;&gt;0,"Liquor","-"))</f>
        <v>-</v>
      </c>
      <c r="R90" s="26">
        <f>IF($G90&lt;&gt;0,$G90,IF($H90&lt;&gt;0,$H90/0.75,0))</f>
        <v>0</v>
      </c>
      <c r="S90" s="32" t="b">
        <f>ISNUMBER(R90)</f>
        <v>1</v>
      </c>
      <c r="T90" s="32"/>
    </row>
    <row r="91" spans="1:20" x14ac:dyDescent="0.3">
      <c r="A91" s="9">
        <v>90</v>
      </c>
      <c r="B91" s="21">
        <v>44386.409212962964</v>
      </c>
      <c r="C91" s="11" t="s">
        <v>101</v>
      </c>
      <c r="D91" s="11" t="str">
        <f>IF(ISNUMBER(SEARCH("OSBC", C91)), "GOVT", "RETAIL")</f>
        <v>RETAIL</v>
      </c>
      <c r="E91" s="12">
        <v>199869.1</v>
      </c>
      <c r="F91" s="12">
        <v>0</v>
      </c>
      <c r="G91" s="11">
        <v>161.4</v>
      </c>
      <c r="H91" s="11">
        <v>0</v>
      </c>
      <c r="I91" s="12">
        <v>25952.37</v>
      </c>
      <c r="J91" s="12">
        <v>9083.33</v>
      </c>
      <c r="K91" s="12">
        <v>350.36</v>
      </c>
      <c r="L91" s="12">
        <v>35386.06</v>
      </c>
      <c r="M91" s="13">
        <v>164483.04</v>
      </c>
      <c r="N91">
        <f>YEAR(B91)</f>
        <v>2021</v>
      </c>
      <c r="O91" s="24">
        <f>IFERROR(J91/$I91,0)</f>
        <v>0.35000001926606317</v>
      </c>
      <c r="P91" s="24">
        <f>IFERROR(K91/$I91,0)</f>
        <v>1.3500115789039691E-2</v>
      </c>
      <c r="Q91" s="24" t="str">
        <f>IF($G91&lt;&gt;0,"Beer",IF($H91&lt;&gt;0,"Liquor","-"))</f>
        <v>Beer</v>
      </c>
      <c r="R91" s="26">
        <f>IF($G91&lt;&gt;0,$G91,IF($H91&lt;&gt;0,$H91/0.75,0))</f>
        <v>161.4</v>
      </c>
      <c r="S91" s="32" t="b">
        <f>ISNUMBER(R91)</f>
        <v>1</v>
      </c>
      <c r="T91" s="32"/>
    </row>
    <row r="92" spans="1:20" x14ac:dyDescent="0.3">
      <c r="A92" s="9">
        <v>91</v>
      </c>
      <c r="B92" s="21">
        <v>44386.409756944442</v>
      </c>
      <c r="C92" s="11" t="s">
        <v>102</v>
      </c>
      <c r="D92" s="11" t="str">
        <f>IF(ISNUMBER(SEARCH("OSBC", C92)), "GOVT", "RETAIL")</f>
        <v>RETAIL</v>
      </c>
      <c r="E92" s="12">
        <v>164483.04</v>
      </c>
      <c r="F92" s="12">
        <v>0</v>
      </c>
      <c r="G92" s="11">
        <v>0</v>
      </c>
      <c r="H92" s="11">
        <v>137.69999999999999</v>
      </c>
      <c r="I92" s="12">
        <v>119920.65</v>
      </c>
      <c r="J92" s="12">
        <v>41972.23</v>
      </c>
      <c r="K92" s="12">
        <v>1618.93</v>
      </c>
      <c r="L92" s="12">
        <v>163511.81</v>
      </c>
      <c r="M92" s="13">
        <v>971.23</v>
      </c>
      <c r="N92">
        <f>YEAR(B92)</f>
        <v>2021</v>
      </c>
      <c r="O92" s="24">
        <f>IFERROR(J92/$I92,0)</f>
        <v>0.35000002084711851</v>
      </c>
      <c r="P92" s="24">
        <f>IFERROR(K92/$I92,0)</f>
        <v>1.3500010215088062E-2</v>
      </c>
      <c r="Q92" s="24" t="str">
        <f>IF($G92&lt;&gt;0,"Beer",IF($H92&lt;&gt;0,"Liquor","-"))</f>
        <v>Liquor</v>
      </c>
      <c r="R92" s="26">
        <f>IF($G92&lt;&gt;0,$G92,IF($H92&lt;&gt;0,$H92/0.75,0))</f>
        <v>183.6</v>
      </c>
      <c r="S92" s="32" t="b">
        <f>ISNUMBER(R92)</f>
        <v>1</v>
      </c>
      <c r="T92" s="32"/>
    </row>
    <row r="93" spans="1:20" x14ac:dyDescent="0.3">
      <c r="A93" s="9">
        <v>92</v>
      </c>
      <c r="B93" s="21">
        <v>44391.334826388891</v>
      </c>
      <c r="C93" s="11" t="s">
        <v>103</v>
      </c>
      <c r="D93" s="11" t="str">
        <f>IF(ISNUMBER(SEARCH("OSBC", C93)), "GOVT", "RETAIL")</f>
        <v>GOVT</v>
      </c>
      <c r="E93" s="12">
        <v>971.23</v>
      </c>
      <c r="F93" s="12">
        <v>332000</v>
      </c>
      <c r="G93" s="11">
        <v>0</v>
      </c>
      <c r="H93" s="11">
        <v>0</v>
      </c>
      <c r="I93" s="12">
        <v>0</v>
      </c>
      <c r="J93" s="12">
        <v>0</v>
      </c>
      <c r="K93" s="12">
        <v>0</v>
      </c>
      <c r="L93" s="12">
        <v>0</v>
      </c>
      <c r="M93" s="13">
        <v>332971.23</v>
      </c>
      <c r="N93">
        <f>YEAR(B93)</f>
        <v>2021</v>
      </c>
      <c r="O93" s="24">
        <f>IFERROR(J93/$I93,0)</f>
        <v>0</v>
      </c>
      <c r="P93" s="24">
        <f>IFERROR(K93/$I93,0)</f>
        <v>0</v>
      </c>
      <c r="Q93" s="24" t="str">
        <f>IF($G93&lt;&gt;0,"Beer",IF($H93&lt;&gt;0,"Liquor","-"))</f>
        <v>-</v>
      </c>
      <c r="R93" s="26">
        <f>IF($G93&lt;&gt;0,$G93,IF($H93&lt;&gt;0,$H93/0.75,0))</f>
        <v>0</v>
      </c>
      <c r="S93" s="32" t="b">
        <f>ISNUMBER(R93)</f>
        <v>1</v>
      </c>
      <c r="T93" s="32"/>
    </row>
    <row r="94" spans="1:20" x14ac:dyDescent="0.3">
      <c r="A94" s="9">
        <v>93</v>
      </c>
      <c r="B94" s="21">
        <v>44391.362870370373</v>
      </c>
      <c r="C94" s="11" t="s">
        <v>104</v>
      </c>
      <c r="D94" s="11" t="str">
        <f>IF(ISNUMBER(SEARCH("OSBC", C94)), "GOVT", "RETAIL")</f>
        <v>GOVT</v>
      </c>
      <c r="E94" s="12">
        <v>332971.23</v>
      </c>
      <c r="F94" s="12">
        <v>200000</v>
      </c>
      <c r="G94" s="11">
        <v>0</v>
      </c>
      <c r="H94" s="11">
        <v>0</v>
      </c>
      <c r="I94" s="12">
        <v>0</v>
      </c>
      <c r="J94" s="12">
        <v>0</v>
      </c>
      <c r="K94" s="12">
        <v>0</v>
      </c>
      <c r="L94" s="12">
        <v>0</v>
      </c>
      <c r="M94" s="13">
        <v>532971.23</v>
      </c>
      <c r="N94">
        <f>YEAR(B94)</f>
        <v>2021</v>
      </c>
      <c r="O94" s="24">
        <f>IFERROR(J94/$I94,0)</f>
        <v>0</v>
      </c>
      <c r="P94" s="24">
        <f>IFERROR(K94/$I94,0)</f>
        <v>0</v>
      </c>
      <c r="Q94" s="24" t="str">
        <f>IF($G94&lt;&gt;0,"Beer",IF($H94&lt;&gt;0,"Liquor","-"))</f>
        <v>-</v>
      </c>
      <c r="R94" s="26">
        <f>IF($G94&lt;&gt;0,$G94,IF($H94&lt;&gt;0,$H94/0.75,0))</f>
        <v>0</v>
      </c>
      <c r="S94" s="32" t="b">
        <f>ISNUMBER(R94)</f>
        <v>1</v>
      </c>
      <c r="T94" s="32"/>
    </row>
    <row r="95" spans="1:20" x14ac:dyDescent="0.3">
      <c r="A95" s="9">
        <v>94</v>
      </c>
      <c r="B95" s="21">
        <v>44391.523923611108</v>
      </c>
      <c r="C95" s="11" t="s">
        <v>105</v>
      </c>
      <c r="D95" s="11" t="str">
        <f>IF(ISNUMBER(SEARCH("OSBC", C95)), "GOVT", "RETAIL")</f>
        <v>RETAIL</v>
      </c>
      <c r="E95" s="12">
        <v>532971.23</v>
      </c>
      <c r="F95" s="12">
        <v>0</v>
      </c>
      <c r="G95" s="11">
        <v>0</v>
      </c>
      <c r="H95" s="11">
        <v>373.14</v>
      </c>
      <c r="I95" s="12">
        <v>311349.24</v>
      </c>
      <c r="J95" s="12">
        <v>108972.32</v>
      </c>
      <c r="K95" s="12">
        <v>4203</v>
      </c>
      <c r="L95" s="12">
        <v>424524.56</v>
      </c>
      <c r="M95" s="13">
        <v>108446.67</v>
      </c>
      <c r="N95">
        <f>YEAR(B95)</f>
        <v>2021</v>
      </c>
      <c r="O95" s="24">
        <f>IFERROR(J95/$I95,0)</f>
        <v>0.35000027621715091</v>
      </c>
      <c r="P95" s="24">
        <f>IFERROR(K95/$I95,0)</f>
        <v>1.3499310292197919E-2</v>
      </c>
      <c r="Q95" s="24" t="str">
        <f>IF($G95&lt;&gt;0,"Beer",IF($H95&lt;&gt;0,"Liquor","-"))</f>
        <v>Liquor</v>
      </c>
      <c r="R95" s="26">
        <f>IF($G95&lt;&gt;0,$G95,IF($H95&lt;&gt;0,$H95/0.75,0))</f>
        <v>497.52</v>
      </c>
      <c r="S95" s="32" t="b">
        <f>ISNUMBER(R95)</f>
        <v>1</v>
      </c>
      <c r="T95" s="32"/>
    </row>
    <row r="96" spans="1:20" x14ac:dyDescent="0.3">
      <c r="A96" s="9">
        <v>95</v>
      </c>
      <c r="B96" s="21">
        <v>44391.524594907409</v>
      </c>
      <c r="C96" s="11" t="s">
        <v>106</v>
      </c>
      <c r="D96" s="11" t="str">
        <f>IF(ISNUMBER(SEARCH("OSBC", C96)), "GOVT", "RETAIL")</f>
        <v>RETAIL</v>
      </c>
      <c r="E96" s="12">
        <v>108446.67</v>
      </c>
      <c r="F96" s="12">
        <v>0</v>
      </c>
      <c r="G96" s="11">
        <v>506.4</v>
      </c>
      <c r="H96" s="11">
        <v>0</v>
      </c>
      <c r="I96" s="12">
        <v>78809.56</v>
      </c>
      <c r="J96" s="12">
        <v>27583.45</v>
      </c>
      <c r="K96" s="12">
        <v>1064</v>
      </c>
      <c r="L96" s="12">
        <v>107457.01</v>
      </c>
      <c r="M96" s="13">
        <v>989.66</v>
      </c>
      <c r="N96">
        <f>YEAR(B96)</f>
        <v>2021</v>
      </c>
      <c r="O96" s="24">
        <f>IFERROR(J96/$I96,0)</f>
        <v>0.35000131963685627</v>
      </c>
      <c r="P96" s="24">
        <f>IFERROR(K96/$I96,0)</f>
        <v>1.3500900144601747E-2</v>
      </c>
      <c r="Q96" s="24" t="str">
        <f>IF($G96&lt;&gt;0,"Beer",IF($H96&lt;&gt;0,"Liquor","-"))</f>
        <v>Beer</v>
      </c>
      <c r="R96" s="26">
        <f>IF($G96&lt;&gt;0,$G96,IF($H96&lt;&gt;0,$H96/0.75,0))</f>
        <v>506.4</v>
      </c>
      <c r="S96" s="32" t="b">
        <f>ISNUMBER(R96)</f>
        <v>1</v>
      </c>
      <c r="T96" s="32"/>
    </row>
    <row r="97" spans="1:20" x14ac:dyDescent="0.3">
      <c r="A97" s="9">
        <v>96</v>
      </c>
      <c r="B97" s="21">
        <v>44393.415914351855</v>
      </c>
      <c r="C97" s="11" t="s">
        <v>107</v>
      </c>
      <c r="D97" s="11" t="str">
        <f>IF(ISNUMBER(SEARCH("OSBC", C97)), "GOVT", "RETAIL")</f>
        <v>GOVT</v>
      </c>
      <c r="E97" s="12">
        <v>989.66</v>
      </c>
      <c r="F97" s="12">
        <v>149000</v>
      </c>
      <c r="G97" s="11">
        <v>0</v>
      </c>
      <c r="H97" s="11">
        <v>0</v>
      </c>
      <c r="I97" s="12">
        <v>0</v>
      </c>
      <c r="J97" s="12">
        <v>0</v>
      </c>
      <c r="K97" s="12">
        <v>0</v>
      </c>
      <c r="L97" s="12">
        <v>0</v>
      </c>
      <c r="M97" s="13">
        <v>149989.66</v>
      </c>
      <c r="N97">
        <f>YEAR(B97)</f>
        <v>2021</v>
      </c>
      <c r="O97" s="24">
        <f>IFERROR(J97/$I97,0)</f>
        <v>0</v>
      </c>
      <c r="P97" s="24">
        <f>IFERROR(K97/$I97,0)</f>
        <v>0</v>
      </c>
      <c r="Q97" s="24" t="str">
        <f>IF($G97&lt;&gt;0,"Beer",IF($H97&lt;&gt;0,"Liquor","-"))</f>
        <v>-</v>
      </c>
      <c r="R97" s="26">
        <f>IF($G97&lt;&gt;0,$G97,IF($H97&lt;&gt;0,$H97/0.75,0))</f>
        <v>0</v>
      </c>
      <c r="S97" s="32" t="b">
        <f>ISNUMBER(R97)</f>
        <v>1</v>
      </c>
      <c r="T97" s="32"/>
    </row>
    <row r="98" spans="1:20" x14ac:dyDescent="0.3">
      <c r="A98" s="9">
        <v>97</v>
      </c>
      <c r="B98" s="21">
        <v>44393.431481481479</v>
      </c>
      <c r="C98" s="11" t="s">
        <v>108</v>
      </c>
      <c r="D98" s="11" t="str">
        <f>IF(ISNUMBER(SEARCH("OSBC", C98)), "GOVT", "RETAIL")</f>
        <v>RETAIL</v>
      </c>
      <c r="E98" s="12">
        <v>149989.66</v>
      </c>
      <c r="F98" s="12">
        <v>0</v>
      </c>
      <c r="G98" s="11">
        <v>60</v>
      </c>
      <c r="H98" s="11">
        <v>0</v>
      </c>
      <c r="I98" s="12">
        <v>9523.7999999999993</v>
      </c>
      <c r="J98" s="12">
        <v>3333.33</v>
      </c>
      <c r="K98" s="12">
        <v>128.57</v>
      </c>
      <c r="L98" s="12">
        <v>12985.7</v>
      </c>
      <c r="M98" s="13">
        <v>137003.96</v>
      </c>
      <c r="N98">
        <f>YEAR(B98)</f>
        <v>2021</v>
      </c>
      <c r="O98" s="24">
        <f>IFERROR(J98/$I98,0)</f>
        <v>0.35000000000000003</v>
      </c>
      <c r="P98" s="24">
        <f>IFERROR(K98/$I98,0)</f>
        <v>1.34998634998635E-2</v>
      </c>
      <c r="Q98" s="24" t="str">
        <f>IF($G98&lt;&gt;0,"Beer",IF($H98&lt;&gt;0,"Liquor","-"))</f>
        <v>Beer</v>
      </c>
      <c r="R98" s="26">
        <f>IF($G98&lt;&gt;0,$G98,IF($H98&lt;&gt;0,$H98/0.75,0))</f>
        <v>60</v>
      </c>
      <c r="S98" s="32" t="b">
        <f>ISNUMBER(R98)</f>
        <v>1</v>
      </c>
      <c r="T98" s="32"/>
    </row>
    <row r="99" spans="1:20" x14ac:dyDescent="0.3">
      <c r="A99" s="9">
        <v>98</v>
      </c>
      <c r="B99" s="21">
        <v>44393.449421296296</v>
      </c>
      <c r="C99" s="11" t="s">
        <v>109</v>
      </c>
      <c r="D99" s="11" t="str">
        <f>IF(ISNUMBER(SEARCH("OSBC", C99)), "GOVT", "RETAIL")</f>
        <v>RETAIL</v>
      </c>
      <c r="E99" s="12">
        <v>137003.96</v>
      </c>
      <c r="F99" s="12">
        <v>0</v>
      </c>
      <c r="G99" s="11">
        <v>0</v>
      </c>
      <c r="H99" s="11">
        <v>123.66</v>
      </c>
      <c r="I99" s="12">
        <v>100396.84</v>
      </c>
      <c r="J99" s="12">
        <v>35138.89</v>
      </c>
      <c r="K99" s="12">
        <v>1355.36</v>
      </c>
      <c r="L99" s="12">
        <v>136891.09</v>
      </c>
      <c r="M99" s="13">
        <v>112.87</v>
      </c>
      <c r="N99">
        <f>YEAR(B99)</f>
        <v>2021</v>
      </c>
      <c r="O99" s="24">
        <f>IFERROR(J99/$I99,0)</f>
        <v>0.34999996015810858</v>
      </c>
      <c r="P99" s="24">
        <f>IFERROR(K99/$I99,0)</f>
        <v>1.3500026494857806E-2</v>
      </c>
      <c r="Q99" s="24" t="str">
        <f>IF($G99&lt;&gt;0,"Beer",IF($H99&lt;&gt;0,"Liquor","-"))</f>
        <v>Liquor</v>
      </c>
      <c r="R99" s="26">
        <f>IF($G99&lt;&gt;0,$G99,IF($H99&lt;&gt;0,$H99/0.75,0))</f>
        <v>164.88</v>
      </c>
      <c r="S99" s="32" t="b">
        <f>ISNUMBER(R99)</f>
        <v>1</v>
      </c>
      <c r="T99" s="32"/>
    </row>
    <row r="100" spans="1:20" x14ac:dyDescent="0.3">
      <c r="A100" s="9">
        <v>99</v>
      </c>
      <c r="B100" s="21">
        <v>44397.38994212963</v>
      </c>
      <c r="C100" s="11" t="s">
        <v>110</v>
      </c>
      <c r="D100" s="11" t="str">
        <f>IF(ISNUMBER(SEARCH("OSBC", C100)), "GOVT", "RETAIL")</f>
        <v>GOVT</v>
      </c>
      <c r="E100" s="12">
        <v>112.87</v>
      </c>
      <c r="F100" s="12">
        <v>150000</v>
      </c>
      <c r="G100" s="11">
        <v>0</v>
      </c>
      <c r="H100" s="11">
        <v>0</v>
      </c>
      <c r="I100" s="12">
        <v>0</v>
      </c>
      <c r="J100" s="12">
        <v>0</v>
      </c>
      <c r="K100" s="12">
        <v>0</v>
      </c>
      <c r="L100" s="12">
        <v>0</v>
      </c>
      <c r="M100" s="13">
        <v>150112.87</v>
      </c>
      <c r="N100">
        <f>YEAR(B100)</f>
        <v>2021</v>
      </c>
      <c r="O100" s="24">
        <f>IFERROR(J100/$I100,0)</f>
        <v>0</v>
      </c>
      <c r="P100" s="24">
        <f>IFERROR(K100/$I100,0)</f>
        <v>0</v>
      </c>
      <c r="Q100" s="24" t="str">
        <f>IF($G100&lt;&gt;0,"Beer",IF($H100&lt;&gt;0,"Liquor","-"))</f>
        <v>-</v>
      </c>
      <c r="R100" s="26">
        <f>IF($G100&lt;&gt;0,$G100,IF($H100&lt;&gt;0,$H100/0.75,0))</f>
        <v>0</v>
      </c>
      <c r="S100" s="32" t="b">
        <f>ISNUMBER(R100)</f>
        <v>1</v>
      </c>
      <c r="T100" s="32"/>
    </row>
    <row r="101" spans="1:20" x14ac:dyDescent="0.3">
      <c r="A101" s="9">
        <v>100</v>
      </c>
      <c r="B101" s="21">
        <v>44397.448784722219</v>
      </c>
      <c r="C101" s="11" t="s">
        <v>111</v>
      </c>
      <c r="D101" s="11" t="str">
        <f>IF(ISNUMBER(SEARCH("OSBC", C101)), "GOVT", "RETAIL")</f>
        <v>RETAIL</v>
      </c>
      <c r="E101" s="12">
        <v>150112.87</v>
      </c>
      <c r="F101" s="12">
        <v>0</v>
      </c>
      <c r="G101" s="11">
        <v>0</v>
      </c>
      <c r="H101" s="11">
        <v>117.72</v>
      </c>
      <c r="I101" s="12">
        <v>93888.9</v>
      </c>
      <c r="J101" s="12">
        <v>32861.120000000003</v>
      </c>
      <c r="K101" s="12">
        <v>1267.5</v>
      </c>
      <c r="L101" s="12">
        <v>128017.52</v>
      </c>
      <c r="M101" s="13">
        <v>22095.35</v>
      </c>
      <c r="N101">
        <f>YEAR(B101)</f>
        <v>2021</v>
      </c>
      <c r="O101" s="24">
        <f>IFERROR(J101/$I101,0)</f>
        <v>0.35000005325443162</v>
      </c>
      <c r="P101" s="24">
        <f>IFERROR(K101/$I101,0)</f>
        <v>1.3499998402367054E-2</v>
      </c>
      <c r="Q101" s="24" t="str">
        <f>IF($G101&lt;&gt;0,"Beer",IF($H101&lt;&gt;0,"Liquor","-"))</f>
        <v>Liquor</v>
      </c>
      <c r="R101" s="26">
        <f>IF($G101&lt;&gt;0,$G101,IF($H101&lt;&gt;0,$H101/0.75,0))</f>
        <v>156.96</v>
      </c>
      <c r="S101" s="32" t="b">
        <f>ISNUMBER(R101)</f>
        <v>1</v>
      </c>
      <c r="T101" s="32"/>
    </row>
    <row r="102" spans="1:20" x14ac:dyDescent="0.3">
      <c r="A102" s="9">
        <v>101</v>
      </c>
      <c r="B102" s="21">
        <v>44397.449282407404</v>
      </c>
      <c r="C102" s="11" t="s">
        <v>112</v>
      </c>
      <c r="D102" s="11" t="str">
        <f>IF(ISNUMBER(SEARCH("OSBC", C102)), "GOVT", "RETAIL")</f>
        <v>RETAIL</v>
      </c>
      <c r="E102" s="12">
        <v>22095.35</v>
      </c>
      <c r="F102" s="12">
        <v>0</v>
      </c>
      <c r="G102" s="11">
        <v>106.2</v>
      </c>
      <c r="H102" s="11">
        <v>0</v>
      </c>
      <c r="I102" s="12">
        <v>15714.27</v>
      </c>
      <c r="J102" s="12">
        <v>5499.99</v>
      </c>
      <c r="K102" s="12">
        <v>212.14</v>
      </c>
      <c r="L102" s="12">
        <v>21426.41</v>
      </c>
      <c r="M102" s="13">
        <v>668.94</v>
      </c>
      <c r="N102">
        <f>YEAR(B102)</f>
        <v>2021</v>
      </c>
      <c r="O102" s="24">
        <f>IFERROR(J102/$I102,0)</f>
        <v>0.34999971363607724</v>
      </c>
      <c r="P102" s="24">
        <f>IFERROR(K102/$I102,0)</f>
        <v>1.3499831681649862E-2</v>
      </c>
      <c r="Q102" s="24" t="str">
        <f>IF($G102&lt;&gt;0,"Beer",IF($H102&lt;&gt;0,"Liquor","-"))</f>
        <v>Beer</v>
      </c>
      <c r="R102" s="26">
        <f>IF($G102&lt;&gt;0,$G102,IF($H102&lt;&gt;0,$H102/0.75,0))</f>
        <v>106.2</v>
      </c>
      <c r="S102" s="32" t="b">
        <f>ISNUMBER(R102)</f>
        <v>1</v>
      </c>
      <c r="T102" s="32"/>
    </row>
    <row r="103" spans="1:20" x14ac:dyDescent="0.3">
      <c r="A103" s="9">
        <v>102</v>
      </c>
      <c r="B103" s="21">
        <v>44403.455081018517</v>
      </c>
      <c r="C103" s="11" t="s">
        <v>113</v>
      </c>
      <c r="D103" s="11" t="str">
        <f>IF(ISNUMBER(SEARCH("OSBC", C103)), "GOVT", "RETAIL")</f>
        <v>GOVT</v>
      </c>
      <c r="E103" s="12">
        <v>668.94</v>
      </c>
      <c r="F103" s="12">
        <v>126500</v>
      </c>
      <c r="G103" s="11">
        <v>0</v>
      </c>
      <c r="H103" s="11">
        <v>0</v>
      </c>
      <c r="I103" s="12">
        <v>0</v>
      </c>
      <c r="J103" s="12">
        <v>0</v>
      </c>
      <c r="K103" s="12">
        <v>0</v>
      </c>
      <c r="L103" s="12">
        <v>0</v>
      </c>
      <c r="M103" s="13">
        <v>127168.94</v>
      </c>
      <c r="N103">
        <f>YEAR(B103)</f>
        <v>2021</v>
      </c>
      <c r="O103" s="24">
        <f>IFERROR(J103/$I103,0)</f>
        <v>0</v>
      </c>
      <c r="P103" s="24">
        <f>IFERROR(K103/$I103,0)</f>
        <v>0</v>
      </c>
      <c r="Q103" s="24" t="str">
        <f>IF($G103&lt;&gt;0,"Beer",IF($H103&lt;&gt;0,"Liquor","-"))</f>
        <v>-</v>
      </c>
      <c r="R103" s="26">
        <f>IF($G103&lt;&gt;0,$G103,IF($H103&lt;&gt;0,$H103/0.75,0))</f>
        <v>0</v>
      </c>
      <c r="S103" s="32" t="b">
        <f>ISNUMBER(R103)</f>
        <v>1</v>
      </c>
      <c r="T103" s="32"/>
    </row>
    <row r="104" spans="1:20" x14ac:dyDescent="0.3">
      <c r="A104" s="9">
        <v>103</v>
      </c>
      <c r="B104" s="21">
        <v>44403.499224537038</v>
      </c>
      <c r="C104" s="11" t="s">
        <v>114</v>
      </c>
      <c r="D104" s="11" t="str">
        <f>IF(ISNUMBER(SEARCH("OSBC", C104)), "GOVT", "RETAIL")</f>
        <v>RETAIL</v>
      </c>
      <c r="E104" s="12">
        <v>127168.94</v>
      </c>
      <c r="F104" s="12">
        <v>0</v>
      </c>
      <c r="G104" s="11">
        <v>0</v>
      </c>
      <c r="H104" s="11">
        <v>97.47</v>
      </c>
      <c r="I104" s="12">
        <v>77857.149999999994</v>
      </c>
      <c r="J104" s="12">
        <v>27250</v>
      </c>
      <c r="K104" s="12">
        <v>1051.07</v>
      </c>
      <c r="L104" s="12">
        <v>106158.22</v>
      </c>
      <c r="M104" s="13">
        <v>21010.720000000001</v>
      </c>
      <c r="N104">
        <f>YEAR(B104)</f>
        <v>2021</v>
      </c>
      <c r="O104" s="24">
        <f>IFERROR(J104/$I104,0)</f>
        <v>0.34999996788991122</v>
      </c>
      <c r="P104" s="24">
        <f>IFERROR(K104/$I104,0)</f>
        <v>1.3499980412845834E-2</v>
      </c>
      <c r="Q104" s="24" t="str">
        <f>IF($G104&lt;&gt;0,"Beer",IF($H104&lt;&gt;0,"Liquor","-"))</f>
        <v>Liquor</v>
      </c>
      <c r="R104" s="26">
        <f>IF($G104&lt;&gt;0,$G104,IF($H104&lt;&gt;0,$H104/0.75,0))</f>
        <v>129.96</v>
      </c>
      <c r="S104" s="32" t="b">
        <f>ISNUMBER(R104)</f>
        <v>1</v>
      </c>
      <c r="T104" s="32"/>
    </row>
    <row r="105" spans="1:20" x14ac:dyDescent="0.3">
      <c r="A105" s="9">
        <v>104</v>
      </c>
      <c r="B105" s="21">
        <v>44403.500208333331</v>
      </c>
      <c r="C105" s="11" t="s">
        <v>115</v>
      </c>
      <c r="D105" s="11" t="str">
        <f>IF(ISNUMBER(SEARCH("OSBC", C105)), "GOVT", "RETAIL")</f>
        <v>RETAIL</v>
      </c>
      <c r="E105" s="12">
        <v>21010.720000000001</v>
      </c>
      <c r="F105" s="12">
        <v>0</v>
      </c>
      <c r="G105" s="11">
        <v>98.4</v>
      </c>
      <c r="H105" s="11">
        <v>0</v>
      </c>
      <c r="I105" s="12">
        <v>14603.16</v>
      </c>
      <c r="J105" s="12">
        <v>5111.1099999999997</v>
      </c>
      <c r="K105" s="12">
        <v>197.14</v>
      </c>
      <c r="L105" s="12">
        <v>19911.41</v>
      </c>
      <c r="M105" s="13">
        <v>1099.31</v>
      </c>
      <c r="N105">
        <f>YEAR(B105)</f>
        <v>2021</v>
      </c>
      <c r="O105" s="24">
        <f>IFERROR(J105/$I105,0)</f>
        <v>0.35000027391331739</v>
      </c>
      <c r="P105" s="24">
        <f>IFERROR(K105/$I105,0)</f>
        <v>1.3499817847643933E-2</v>
      </c>
      <c r="Q105" s="24" t="str">
        <f>IF($G105&lt;&gt;0,"Beer",IF($H105&lt;&gt;0,"Liquor","-"))</f>
        <v>Beer</v>
      </c>
      <c r="R105" s="26">
        <f>IF($G105&lt;&gt;0,$G105,IF($H105&lt;&gt;0,$H105/0.75,0))</f>
        <v>98.4</v>
      </c>
      <c r="S105" s="32" t="b">
        <f>ISNUMBER(R105)</f>
        <v>1</v>
      </c>
      <c r="T105" s="32"/>
    </row>
    <row r="106" spans="1:20" x14ac:dyDescent="0.3">
      <c r="A106" s="9">
        <v>105</v>
      </c>
      <c r="B106" s="21">
        <v>44405.390648148146</v>
      </c>
      <c r="C106" s="11" t="s">
        <v>116</v>
      </c>
      <c r="D106" s="11" t="str">
        <f>IF(ISNUMBER(SEARCH("OSBC", C106)), "GOVT", "RETAIL")</f>
        <v>GOVT</v>
      </c>
      <c r="E106" s="12">
        <v>1099.31</v>
      </c>
      <c r="F106" s="12">
        <v>62000</v>
      </c>
      <c r="G106" s="11">
        <v>0</v>
      </c>
      <c r="H106" s="11">
        <v>0</v>
      </c>
      <c r="I106" s="12">
        <v>0</v>
      </c>
      <c r="J106" s="12">
        <v>0</v>
      </c>
      <c r="K106" s="12">
        <v>0</v>
      </c>
      <c r="L106" s="12">
        <v>0</v>
      </c>
      <c r="M106" s="13">
        <v>63099.31</v>
      </c>
      <c r="N106">
        <f>YEAR(B106)</f>
        <v>2021</v>
      </c>
      <c r="O106" s="24">
        <f>IFERROR(J106/$I106,0)</f>
        <v>0</v>
      </c>
      <c r="P106" s="24">
        <f>IFERROR(K106/$I106,0)</f>
        <v>0</v>
      </c>
      <c r="Q106" s="24" t="str">
        <f>IF($G106&lt;&gt;0,"Beer",IF($H106&lt;&gt;0,"Liquor","-"))</f>
        <v>-</v>
      </c>
      <c r="R106" s="26">
        <f>IF($G106&lt;&gt;0,$G106,IF($H106&lt;&gt;0,$H106/0.75,0))</f>
        <v>0</v>
      </c>
      <c r="S106" s="32" t="b">
        <f>ISNUMBER(R106)</f>
        <v>1</v>
      </c>
      <c r="T106" s="32"/>
    </row>
    <row r="107" spans="1:20" x14ac:dyDescent="0.3">
      <c r="A107" s="9">
        <v>106</v>
      </c>
      <c r="B107" s="21">
        <v>44405.41883101852</v>
      </c>
      <c r="C107" s="11" t="s">
        <v>117</v>
      </c>
      <c r="D107" s="11" t="str">
        <f>IF(ISNUMBER(SEARCH("OSBC", C107)), "GOVT", "RETAIL")</f>
        <v>GOVT</v>
      </c>
      <c r="E107" s="12">
        <v>63099.31</v>
      </c>
      <c r="F107" s="12">
        <v>70000</v>
      </c>
      <c r="G107" s="11">
        <v>0</v>
      </c>
      <c r="H107" s="11">
        <v>0</v>
      </c>
      <c r="I107" s="12">
        <v>0</v>
      </c>
      <c r="J107" s="12">
        <v>0</v>
      </c>
      <c r="K107" s="12">
        <v>0</v>
      </c>
      <c r="L107" s="12">
        <v>0</v>
      </c>
      <c r="M107" s="13">
        <v>133099.31</v>
      </c>
      <c r="N107">
        <f>YEAR(B107)</f>
        <v>2021</v>
      </c>
      <c r="O107" s="24">
        <f>IFERROR(J107/$I107,0)</f>
        <v>0</v>
      </c>
      <c r="P107" s="24">
        <f>IFERROR(K107/$I107,0)</f>
        <v>0</v>
      </c>
      <c r="Q107" s="24" t="str">
        <f>IF($G107&lt;&gt;0,"Beer",IF($H107&lt;&gt;0,"Liquor","-"))</f>
        <v>-</v>
      </c>
      <c r="R107" s="26">
        <f>IF($G107&lt;&gt;0,$G107,IF($H107&lt;&gt;0,$H107/0.75,0))</f>
        <v>0</v>
      </c>
      <c r="S107" s="32" t="b">
        <f>ISNUMBER(R107)</f>
        <v>1</v>
      </c>
      <c r="T107" s="32"/>
    </row>
    <row r="108" spans="1:20" x14ac:dyDescent="0.3">
      <c r="A108" s="9">
        <v>107</v>
      </c>
      <c r="B108" s="21">
        <v>44405.426249999997</v>
      </c>
      <c r="C108" s="11" t="s">
        <v>118</v>
      </c>
      <c r="D108" s="11" t="str">
        <f>IF(ISNUMBER(SEARCH("OSBC", C108)), "GOVT", "RETAIL")</f>
        <v>GOVT</v>
      </c>
      <c r="E108" s="12">
        <v>133099.31</v>
      </c>
      <c r="F108" s="12">
        <v>1000</v>
      </c>
      <c r="G108" s="11">
        <v>0</v>
      </c>
      <c r="H108" s="11">
        <v>0</v>
      </c>
      <c r="I108" s="12">
        <v>0</v>
      </c>
      <c r="J108" s="12">
        <v>0</v>
      </c>
      <c r="K108" s="12">
        <v>0</v>
      </c>
      <c r="L108" s="12">
        <v>0</v>
      </c>
      <c r="M108" s="13">
        <v>134099.31</v>
      </c>
      <c r="N108">
        <f>YEAR(B108)</f>
        <v>2021</v>
      </c>
      <c r="O108" s="24">
        <f>IFERROR(J108/$I108,0)</f>
        <v>0</v>
      </c>
      <c r="P108" s="24">
        <f>IFERROR(K108/$I108,0)</f>
        <v>0</v>
      </c>
      <c r="Q108" s="24" t="str">
        <f>IF($G108&lt;&gt;0,"Beer",IF($H108&lt;&gt;0,"Liquor","-"))</f>
        <v>-</v>
      </c>
      <c r="R108" s="26">
        <f>IF($G108&lt;&gt;0,$G108,IF($H108&lt;&gt;0,$H108/0.75,0))</f>
        <v>0</v>
      </c>
      <c r="S108" s="32" t="b">
        <f>ISNUMBER(R108)</f>
        <v>1</v>
      </c>
      <c r="T108" s="32"/>
    </row>
    <row r="109" spans="1:20" x14ac:dyDescent="0.3">
      <c r="A109" s="9">
        <v>108</v>
      </c>
      <c r="B109" s="21">
        <v>44405.479027777779</v>
      </c>
      <c r="C109" s="11" t="s">
        <v>119</v>
      </c>
      <c r="D109" s="11" t="str">
        <f>IF(ISNUMBER(SEARCH("OSBC", C109)), "GOVT", "RETAIL")</f>
        <v>RETAIL</v>
      </c>
      <c r="E109" s="12">
        <v>134099.31</v>
      </c>
      <c r="F109" s="12">
        <v>0</v>
      </c>
      <c r="G109" s="11">
        <v>48</v>
      </c>
      <c r="H109" s="11">
        <v>0</v>
      </c>
      <c r="I109" s="12">
        <v>7619.04</v>
      </c>
      <c r="J109" s="12">
        <v>2666.66</v>
      </c>
      <c r="K109" s="12">
        <v>102.86</v>
      </c>
      <c r="L109" s="12">
        <v>10388.56</v>
      </c>
      <c r="M109" s="13">
        <v>123710.75</v>
      </c>
      <c r="N109">
        <f>YEAR(B109)</f>
        <v>2021</v>
      </c>
      <c r="O109" s="24">
        <f>IFERROR(J109/$I109,0)</f>
        <v>0.34999947499947498</v>
      </c>
      <c r="P109" s="24">
        <f>IFERROR(K109/$I109,0)</f>
        <v>1.35003885003885E-2</v>
      </c>
      <c r="Q109" s="24" t="str">
        <f>IF($G109&lt;&gt;0,"Beer",IF($H109&lt;&gt;0,"Liquor","-"))</f>
        <v>Beer</v>
      </c>
      <c r="R109" s="26">
        <f>IF($G109&lt;&gt;0,$G109,IF($H109&lt;&gt;0,$H109/0.75,0))</f>
        <v>48</v>
      </c>
      <c r="S109" s="32" t="b">
        <f>ISNUMBER(R109)</f>
        <v>1</v>
      </c>
      <c r="T109" s="32"/>
    </row>
    <row r="110" spans="1:20" x14ac:dyDescent="0.3">
      <c r="A110" s="9">
        <v>109</v>
      </c>
      <c r="B110" s="21">
        <v>44405.487812500003</v>
      </c>
      <c r="C110" s="11" t="s">
        <v>120</v>
      </c>
      <c r="D110" s="11" t="str">
        <f>IF(ISNUMBER(SEARCH("OSBC", C110)), "GOVT", "RETAIL")</f>
        <v>RETAIL</v>
      </c>
      <c r="E110" s="12">
        <v>123710.75</v>
      </c>
      <c r="F110" s="12">
        <v>0</v>
      </c>
      <c r="G110" s="11">
        <v>0</v>
      </c>
      <c r="H110" s="11">
        <v>110.43</v>
      </c>
      <c r="I110" s="12">
        <v>90158.75</v>
      </c>
      <c r="J110" s="12">
        <v>31555.56</v>
      </c>
      <c r="K110" s="12">
        <v>1217.1400000000001</v>
      </c>
      <c r="L110" s="12">
        <v>122931.46</v>
      </c>
      <c r="M110" s="13">
        <v>779.29</v>
      </c>
      <c r="N110">
        <f>YEAR(B110)</f>
        <v>2021</v>
      </c>
      <c r="O110" s="24">
        <f>IFERROR(J110/$I110,0)</f>
        <v>0.34999997227113289</v>
      </c>
      <c r="P110" s="24">
        <f>IFERROR(K110/$I110,0)</f>
        <v>1.349996533891608E-2</v>
      </c>
      <c r="Q110" s="24" t="str">
        <f>IF($G110&lt;&gt;0,"Beer",IF($H110&lt;&gt;0,"Liquor","-"))</f>
        <v>Liquor</v>
      </c>
      <c r="R110" s="26">
        <f>IF($G110&lt;&gt;0,$G110,IF($H110&lt;&gt;0,$H110/0.75,0))</f>
        <v>147.24</v>
      </c>
      <c r="S110" s="32" t="b">
        <f>ISNUMBER(R110)</f>
        <v>1</v>
      </c>
      <c r="T110" s="32"/>
    </row>
    <row r="111" spans="1:20" x14ac:dyDescent="0.3">
      <c r="A111" s="9">
        <v>110</v>
      </c>
      <c r="B111" s="21">
        <v>44407.427465277775</v>
      </c>
      <c r="C111" s="11" t="s">
        <v>121</v>
      </c>
      <c r="D111" s="11" t="str">
        <f>IF(ISNUMBER(SEARCH("OSBC", C111)), "GOVT", "RETAIL")</f>
        <v>GOVT</v>
      </c>
      <c r="E111" s="12">
        <v>779.29</v>
      </c>
      <c r="F111" s="12">
        <v>100500</v>
      </c>
      <c r="G111" s="11">
        <v>0</v>
      </c>
      <c r="H111" s="11">
        <v>0</v>
      </c>
      <c r="I111" s="12">
        <v>0</v>
      </c>
      <c r="J111" s="12">
        <v>0</v>
      </c>
      <c r="K111" s="12">
        <v>0</v>
      </c>
      <c r="L111" s="12">
        <v>0</v>
      </c>
      <c r="M111" s="13">
        <v>101279.29</v>
      </c>
      <c r="N111">
        <f>YEAR(B111)</f>
        <v>2021</v>
      </c>
      <c r="O111" s="24">
        <f>IFERROR(J111/$I111,0)</f>
        <v>0</v>
      </c>
      <c r="P111" s="24">
        <f>IFERROR(K111/$I111,0)</f>
        <v>0</v>
      </c>
      <c r="Q111" s="24" t="str">
        <f>IF($G111&lt;&gt;0,"Beer",IF($H111&lt;&gt;0,"Liquor","-"))</f>
        <v>-</v>
      </c>
      <c r="R111" s="26">
        <f>IF($G111&lt;&gt;0,$G111,IF($H111&lt;&gt;0,$H111/0.75,0))</f>
        <v>0</v>
      </c>
      <c r="S111" s="32" t="b">
        <f>ISNUMBER(R111)</f>
        <v>1</v>
      </c>
      <c r="T111" s="32"/>
    </row>
    <row r="112" spans="1:20" x14ac:dyDescent="0.3">
      <c r="A112" s="9">
        <v>111</v>
      </c>
      <c r="B112" s="21">
        <v>44407.458726851852</v>
      </c>
      <c r="C112" s="11" t="s">
        <v>122</v>
      </c>
      <c r="D112" s="11" t="str">
        <f>IF(ISNUMBER(SEARCH("OSBC", C112)), "GOVT", "RETAIL")</f>
        <v>RETAIL</v>
      </c>
      <c r="E112" s="12">
        <v>101279.29</v>
      </c>
      <c r="F112" s="12">
        <v>0</v>
      </c>
      <c r="G112" s="11">
        <v>0</v>
      </c>
      <c r="H112" s="11">
        <v>84.51</v>
      </c>
      <c r="I112" s="12">
        <v>70952.39</v>
      </c>
      <c r="J112" s="12">
        <v>24833.34</v>
      </c>
      <c r="K112" s="12">
        <v>957.86</v>
      </c>
      <c r="L112" s="12">
        <v>96743.58</v>
      </c>
      <c r="M112" s="13">
        <v>4535.71</v>
      </c>
      <c r="N112">
        <f>YEAR(B112)</f>
        <v>2021</v>
      </c>
      <c r="O112" s="24">
        <f>IFERROR(J112/$I112,0)</f>
        <v>0.35000004932885276</v>
      </c>
      <c r="P112" s="24">
        <f>IFERROR(K112/$I112,0)</f>
        <v>1.350003854697495E-2</v>
      </c>
      <c r="Q112" s="24" t="str">
        <f>IF($G112&lt;&gt;0,"Beer",IF($H112&lt;&gt;0,"Liquor","-"))</f>
        <v>Liquor</v>
      </c>
      <c r="R112" s="26">
        <f>IF($G112&lt;&gt;0,$G112,IF($H112&lt;&gt;0,$H112/0.75,0))</f>
        <v>112.68</v>
      </c>
      <c r="S112" s="32" t="b">
        <f>ISNUMBER(R112)</f>
        <v>1</v>
      </c>
      <c r="T112" s="32"/>
    </row>
    <row r="113" spans="1:20" x14ac:dyDescent="0.3">
      <c r="A113" s="9">
        <v>112</v>
      </c>
      <c r="B113" s="21">
        <v>44411.364259259259</v>
      </c>
      <c r="C113" s="11" t="s">
        <v>123</v>
      </c>
      <c r="D113" s="11" t="str">
        <f>IF(ISNUMBER(SEARCH("OSBC", C113)), "GOVT", "RETAIL")</f>
        <v>GOVT</v>
      </c>
      <c r="E113" s="12">
        <v>4535.71</v>
      </c>
      <c r="F113" s="12">
        <v>107500</v>
      </c>
      <c r="G113" s="11">
        <v>0</v>
      </c>
      <c r="H113" s="11">
        <v>0</v>
      </c>
      <c r="I113" s="12">
        <v>0</v>
      </c>
      <c r="J113" s="12">
        <v>0</v>
      </c>
      <c r="K113" s="12">
        <v>0</v>
      </c>
      <c r="L113" s="12">
        <v>0</v>
      </c>
      <c r="M113" s="13">
        <v>112035.71</v>
      </c>
      <c r="N113">
        <f>YEAR(B113)</f>
        <v>2021</v>
      </c>
      <c r="O113" s="24">
        <f>IFERROR(J113/$I113,0)</f>
        <v>0</v>
      </c>
      <c r="P113" s="24">
        <f>IFERROR(K113/$I113,0)</f>
        <v>0</v>
      </c>
      <c r="Q113" s="24" t="str">
        <f>IF($G113&lt;&gt;0,"Beer",IF($H113&lt;&gt;0,"Liquor","-"))</f>
        <v>-</v>
      </c>
      <c r="R113" s="26">
        <f>IF($G113&lt;&gt;0,$G113,IF($H113&lt;&gt;0,$H113/0.75,0))</f>
        <v>0</v>
      </c>
      <c r="S113" s="32" t="b">
        <f>ISNUMBER(R113)</f>
        <v>1</v>
      </c>
      <c r="T113" s="32"/>
    </row>
    <row r="114" spans="1:20" x14ac:dyDescent="0.3">
      <c r="A114" s="9">
        <v>113</v>
      </c>
      <c r="B114" s="21">
        <v>44411.368171296293</v>
      </c>
      <c r="C114" s="11" t="s">
        <v>124</v>
      </c>
      <c r="D114" s="11" t="str">
        <f>IF(ISNUMBER(SEARCH("OSBC", C114)), "GOVT", "RETAIL")</f>
        <v>GOVT</v>
      </c>
      <c r="E114" s="12">
        <v>112035.71</v>
      </c>
      <c r="F114" s="12">
        <v>25000</v>
      </c>
      <c r="G114" s="11">
        <v>0</v>
      </c>
      <c r="H114" s="11">
        <v>0</v>
      </c>
      <c r="I114" s="12">
        <v>0</v>
      </c>
      <c r="J114" s="12">
        <v>0</v>
      </c>
      <c r="K114" s="12">
        <v>0</v>
      </c>
      <c r="L114" s="12">
        <v>0</v>
      </c>
      <c r="M114" s="13">
        <v>137035.71</v>
      </c>
      <c r="N114">
        <f>YEAR(B114)</f>
        <v>2021</v>
      </c>
      <c r="O114" s="24">
        <f>IFERROR(J114/$I114,0)</f>
        <v>0</v>
      </c>
      <c r="P114" s="24">
        <f>IFERROR(K114/$I114,0)</f>
        <v>0</v>
      </c>
      <c r="Q114" s="24" t="str">
        <f>IF($G114&lt;&gt;0,"Beer",IF($H114&lt;&gt;0,"Liquor","-"))</f>
        <v>-</v>
      </c>
      <c r="R114" s="26">
        <f>IF($G114&lt;&gt;0,$G114,IF($H114&lt;&gt;0,$H114/0.75,0))</f>
        <v>0</v>
      </c>
      <c r="S114" s="32" t="b">
        <f>ISNUMBER(R114)</f>
        <v>1</v>
      </c>
      <c r="T114" s="32"/>
    </row>
    <row r="115" spans="1:20" x14ac:dyDescent="0.3">
      <c r="A115" s="9">
        <v>114</v>
      </c>
      <c r="B115" s="21">
        <v>44411.445243055554</v>
      </c>
      <c r="C115" s="11" t="s">
        <v>125</v>
      </c>
      <c r="D115" s="11" t="str">
        <f>IF(ISNUMBER(SEARCH("OSBC", C115)), "GOVT", "RETAIL")</f>
        <v>RETAIL</v>
      </c>
      <c r="E115" s="12">
        <v>137035.71</v>
      </c>
      <c r="F115" s="12">
        <v>0</v>
      </c>
      <c r="G115" s="11">
        <v>165.6</v>
      </c>
      <c r="H115" s="11">
        <v>0</v>
      </c>
      <c r="I115" s="12">
        <v>26111.1</v>
      </c>
      <c r="J115" s="12">
        <v>9138.89</v>
      </c>
      <c r="K115" s="12">
        <v>352.5</v>
      </c>
      <c r="L115" s="12">
        <v>35602.480000000003</v>
      </c>
      <c r="M115" s="13">
        <v>101433.23</v>
      </c>
      <c r="N115">
        <f>YEAR(B115)</f>
        <v>2021</v>
      </c>
      <c r="O115" s="24">
        <f>IFERROR(J115/$I115,0)</f>
        <v>0.35000019148944317</v>
      </c>
      <c r="P115" s="24">
        <f>IFERROR(K115/$I115,0)</f>
        <v>1.3500005744683297E-2</v>
      </c>
      <c r="Q115" s="24" t="str">
        <f>IF($G115&lt;&gt;0,"Beer",IF($H115&lt;&gt;0,"Liquor","-"))</f>
        <v>Beer</v>
      </c>
      <c r="R115" s="26">
        <f>IF($G115&lt;&gt;0,$G115,IF($H115&lt;&gt;0,$H115/0.75,0))</f>
        <v>165.6</v>
      </c>
      <c r="S115" s="32" t="b">
        <f>ISNUMBER(R115)</f>
        <v>1</v>
      </c>
      <c r="T115" s="32"/>
    </row>
    <row r="116" spans="1:20" x14ac:dyDescent="0.3">
      <c r="A116" s="9">
        <v>115</v>
      </c>
      <c r="B116" s="21">
        <v>44411.445891203701</v>
      </c>
      <c r="C116" s="11" t="s">
        <v>126</v>
      </c>
      <c r="D116" s="11" t="str">
        <f>IF(ISNUMBER(SEARCH("OSBC", C116)), "GOVT", "RETAIL")</f>
        <v>RETAIL</v>
      </c>
      <c r="E116" s="12">
        <v>101433.23</v>
      </c>
      <c r="F116" s="12">
        <v>0</v>
      </c>
      <c r="G116" s="11">
        <v>0</v>
      </c>
      <c r="H116" s="11">
        <v>92.07</v>
      </c>
      <c r="I116" s="12">
        <v>73809.53</v>
      </c>
      <c r="J116" s="12">
        <v>25833.34</v>
      </c>
      <c r="K116" s="12">
        <v>996.43</v>
      </c>
      <c r="L116" s="12">
        <v>100639.29</v>
      </c>
      <c r="M116" s="13">
        <v>793.94</v>
      </c>
      <c r="N116">
        <f>YEAR(B116)</f>
        <v>2021</v>
      </c>
      <c r="O116" s="24">
        <f>IFERROR(J116/$I116,0)</f>
        <v>0.35000006096773684</v>
      </c>
      <c r="P116" s="24">
        <f>IFERROR(K116/$I116,0)</f>
        <v>1.3500018222579116E-2</v>
      </c>
      <c r="Q116" s="24" t="str">
        <f>IF($G116&lt;&gt;0,"Beer",IF($H116&lt;&gt;0,"Liquor","-"))</f>
        <v>Liquor</v>
      </c>
      <c r="R116" s="26">
        <f>IF($G116&lt;&gt;0,$G116,IF($H116&lt;&gt;0,$H116/0.75,0))</f>
        <v>122.75999999999999</v>
      </c>
      <c r="S116" s="32" t="b">
        <f>ISNUMBER(R116)</f>
        <v>1</v>
      </c>
      <c r="T116" s="32"/>
    </row>
    <row r="117" spans="1:20" x14ac:dyDescent="0.3">
      <c r="A117" s="9">
        <v>116</v>
      </c>
      <c r="B117" s="21">
        <v>44415.333587962959</v>
      </c>
      <c r="C117" s="11" t="s">
        <v>127</v>
      </c>
      <c r="D117" s="11" t="str">
        <f>IF(ISNUMBER(SEARCH("OSBC", C117)), "GOVT", "RETAIL")</f>
        <v>GOVT</v>
      </c>
      <c r="E117" s="12">
        <v>793.94</v>
      </c>
      <c r="F117" s="12">
        <v>152000</v>
      </c>
      <c r="G117" s="11">
        <v>0</v>
      </c>
      <c r="H117" s="11">
        <v>0</v>
      </c>
      <c r="I117" s="12">
        <v>0</v>
      </c>
      <c r="J117" s="12">
        <v>0</v>
      </c>
      <c r="K117" s="12">
        <v>0</v>
      </c>
      <c r="L117" s="12">
        <v>0</v>
      </c>
      <c r="M117" s="13">
        <v>152793.94</v>
      </c>
      <c r="N117">
        <f>YEAR(B117)</f>
        <v>2021</v>
      </c>
      <c r="O117" s="24">
        <f>IFERROR(J117/$I117,0)</f>
        <v>0</v>
      </c>
      <c r="P117" s="24">
        <f>IFERROR(K117/$I117,0)</f>
        <v>0</v>
      </c>
      <c r="Q117" s="24" t="str">
        <f>IF($G117&lt;&gt;0,"Beer",IF($H117&lt;&gt;0,"Liquor","-"))</f>
        <v>-</v>
      </c>
      <c r="R117" s="26">
        <f>IF($G117&lt;&gt;0,$G117,IF($H117&lt;&gt;0,$H117/0.75,0))</f>
        <v>0</v>
      </c>
      <c r="S117" s="32" t="b">
        <f>ISNUMBER(R117)</f>
        <v>1</v>
      </c>
      <c r="T117" s="32"/>
    </row>
    <row r="118" spans="1:20" x14ac:dyDescent="0.3">
      <c r="A118" s="9">
        <v>117</v>
      </c>
      <c r="B118" s="21">
        <v>44415.371516203704</v>
      </c>
      <c r="C118" s="11" t="s">
        <v>128</v>
      </c>
      <c r="D118" s="11" t="str">
        <f>IF(ISNUMBER(SEARCH("OSBC", C118)), "GOVT", "RETAIL")</f>
        <v>GOVT</v>
      </c>
      <c r="E118" s="12">
        <v>152793.94</v>
      </c>
      <c r="F118" s="12">
        <v>25000</v>
      </c>
      <c r="G118" s="11">
        <v>0</v>
      </c>
      <c r="H118" s="11">
        <v>0</v>
      </c>
      <c r="I118" s="12">
        <v>0</v>
      </c>
      <c r="J118" s="12">
        <v>0</v>
      </c>
      <c r="K118" s="12">
        <v>0</v>
      </c>
      <c r="L118" s="12">
        <v>0</v>
      </c>
      <c r="M118" s="13">
        <v>177793.94</v>
      </c>
      <c r="N118">
        <f>YEAR(B118)</f>
        <v>2021</v>
      </c>
      <c r="O118" s="24">
        <f>IFERROR(J118/$I118,0)</f>
        <v>0</v>
      </c>
      <c r="P118" s="24">
        <f>IFERROR(K118/$I118,0)</f>
        <v>0</v>
      </c>
      <c r="Q118" s="24" t="str">
        <f>IF($G118&lt;&gt;0,"Beer",IF($H118&lt;&gt;0,"Liquor","-"))</f>
        <v>-</v>
      </c>
      <c r="R118" s="26">
        <f>IF($G118&lt;&gt;0,$G118,IF($H118&lt;&gt;0,$H118/0.75,0))</f>
        <v>0</v>
      </c>
      <c r="S118" s="32" t="b">
        <f>ISNUMBER(R118)</f>
        <v>1</v>
      </c>
      <c r="T118" s="32"/>
    </row>
    <row r="119" spans="1:20" x14ac:dyDescent="0.3">
      <c r="A119" s="9">
        <v>118</v>
      </c>
      <c r="B119" s="21">
        <v>44415.408159722225</v>
      </c>
      <c r="C119" s="11" t="s">
        <v>129</v>
      </c>
      <c r="D119" s="11" t="str">
        <f>IF(ISNUMBER(SEARCH("OSBC", C119)), "GOVT", "RETAIL")</f>
        <v>RETAIL</v>
      </c>
      <c r="E119" s="12">
        <v>177793.94</v>
      </c>
      <c r="F119" s="12">
        <v>0</v>
      </c>
      <c r="G119" s="11">
        <v>82.8</v>
      </c>
      <c r="H119" s="11">
        <v>0</v>
      </c>
      <c r="I119" s="12">
        <v>12380.94</v>
      </c>
      <c r="J119" s="12">
        <v>4333.33</v>
      </c>
      <c r="K119" s="12">
        <v>167.14</v>
      </c>
      <c r="L119" s="12">
        <v>16881.41</v>
      </c>
      <c r="M119" s="13">
        <v>160912.53</v>
      </c>
      <c r="N119">
        <f>YEAR(B119)</f>
        <v>2021</v>
      </c>
      <c r="O119" s="24">
        <f>IFERROR(J119/$I119,0)</f>
        <v>0.35000008076931149</v>
      </c>
      <c r="P119" s="24">
        <f>IFERROR(K119/$I119,0)</f>
        <v>1.3499782730551959E-2</v>
      </c>
      <c r="Q119" s="24" t="str">
        <f>IF($G119&lt;&gt;0,"Beer",IF($H119&lt;&gt;0,"Liquor","-"))</f>
        <v>Beer</v>
      </c>
      <c r="R119" s="26">
        <f>IF($G119&lt;&gt;0,$G119,IF($H119&lt;&gt;0,$H119/0.75,0))</f>
        <v>82.8</v>
      </c>
      <c r="S119" s="32" t="b">
        <f>ISNUMBER(R119)</f>
        <v>1</v>
      </c>
      <c r="T119" s="32"/>
    </row>
    <row r="120" spans="1:20" x14ac:dyDescent="0.3">
      <c r="A120" s="9">
        <v>119</v>
      </c>
      <c r="B120" s="21">
        <v>44415.412175925929</v>
      </c>
      <c r="C120" s="11" t="s">
        <v>130</v>
      </c>
      <c r="D120" s="11" t="str">
        <f>IF(ISNUMBER(SEARCH("OSBC", C120)), "GOVT", "RETAIL")</f>
        <v>RETAIL</v>
      </c>
      <c r="E120" s="12">
        <v>160912.53</v>
      </c>
      <c r="F120" s="12">
        <v>0</v>
      </c>
      <c r="G120" s="11">
        <v>0</v>
      </c>
      <c r="H120" s="11">
        <v>143.91</v>
      </c>
      <c r="I120" s="12">
        <v>117698.42</v>
      </c>
      <c r="J120" s="12">
        <v>41194.449999999997</v>
      </c>
      <c r="K120" s="12">
        <v>1588.93</v>
      </c>
      <c r="L120" s="12">
        <v>160481.79999999999</v>
      </c>
      <c r="M120" s="13">
        <v>430.73</v>
      </c>
      <c r="N120">
        <f>YEAR(B120)</f>
        <v>2021</v>
      </c>
      <c r="O120" s="24">
        <f>IFERROR(J120/$I120,0)</f>
        <v>0.35000002548887232</v>
      </c>
      <c r="P120" s="24">
        <f>IFERROR(K120/$I120,0)</f>
        <v>1.3500011300066731E-2</v>
      </c>
      <c r="Q120" s="24" t="str">
        <f>IF($G120&lt;&gt;0,"Beer",IF($H120&lt;&gt;0,"Liquor","-"))</f>
        <v>Liquor</v>
      </c>
      <c r="R120" s="26">
        <f>IF($G120&lt;&gt;0,$G120,IF($H120&lt;&gt;0,$H120/0.75,0))</f>
        <v>191.88</v>
      </c>
      <c r="S120" s="32" t="b">
        <f>ISNUMBER(R120)</f>
        <v>1</v>
      </c>
      <c r="T120" s="32"/>
    </row>
    <row r="121" spans="1:20" x14ac:dyDescent="0.3">
      <c r="A121" s="9">
        <v>120</v>
      </c>
      <c r="B121" s="21">
        <v>44418.403645833336</v>
      </c>
      <c r="C121" s="11" t="s">
        <v>131</v>
      </c>
      <c r="D121" s="11" t="str">
        <f>IF(ISNUMBER(SEARCH("OSBC", C121)), "GOVT", "RETAIL")</f>
        <v>GOVT</v>
      </c>
      <c r="E121" s="12">
        <v>430.73</v>
      </c>
      <c r="F121" s="12">
        <v>156000</v>
      </c>
      <c r="G121" s="11">
        <v>0</v>
      </c>
      <c r="H121" s="11">
        <v>0</v>
      </c>
      <c r="I121" s="12">
        <v>0</v>
      </c>
      <c r="J121" s="12">
        <v>0</v>
      </c>
      <c r="K121" s="12">
        <v>0</v>
      </c>
      <c r="L121" s="12">
        <v>0</v>
      </c>
      <c r="M121" s="13">
        <v>156430.73000000001</v>
      </c>
      <c r="N121">
        <f>YEAR(B121)</f>
        <v>2021</v>
      </c>
      <c r="O121" s="24">
        <f>IFERROR(J121/$I121,0)</f>
        <v>0</v>
      </c>
      <c r="P121" s="24">
        <f>IFERROR(K121/$I121,0)</f>
        <v>0</v>
      </c>
      <c r="Q121" s="24" t="str">
        <f>IF($G121&lt;&gt;0,"Beer",IF($H121&lt;&gt;0,"Liquor","-"))</f>
        <v>-</v>
      </c>
      <c r="R121" s="26">
        <f>IF($G121&lt;&gt;0,$G121,IF($H121&lt;&gt;0,$H121/0.75,0))</f>
        <v>0</v>
      </c>
      <c r="S121" s="32" t="b">
        <f>ISNUMBER(R121)</f>
        <v>1</v>
      </c>
      <c r="T121" s="32"/>
    </row>
    <row r="122" spans="1:20" x14ac:dyDescent="0.3">
      <c r="A122" s="9">
        <v>121</v>
      </c>
      <c r="B122" s="21">
        <v>44418.451655092591</v>
      </c>
      <c r="C122" s="11" t="s">
        <v>132</v>
      </c>
      <c r="D122" s="11" t="str">
        <f>IF(ISNUMBER(SEARCH("OSBC", C122)), "GOVT", "RETAIL")</f>
        <v>RETAIL</v>
      </c>
      <c r="E122" s="12">
        <v>156430.73000000001</v>
      </c>
      <c r="F122" s="12">
        <v>0</v>
      </c>
      <c r="G122" s="11">
        <v>70.8</v>
      </c>
      <c r="H122" s="11">
        <v>0</v>
      </c>
      <c r="I122" s="12">
        <v>10476.18</v>
      </c>
      <c r="J122" s="12">
        <v>3666.66</v>
      </c>
      <c r="K122" s="12">
        <v>141.43</v>
      </c>
      <c r="L122" s="12">
        <v>14284.27</v>
      </c>
      <c r="M122" s="13">
        <v>142146.46</v>
      </c>
      <c r="N122">
        <f>YEAR(B122)</f>
        <v>2021</v>
      </c>
      <c r="O122" s="24">
        <f>IFERROR(J122/$I122,0)</f>
        <v>0.34999971363607724</v>
      </c>
      <c r="P122" s="24">
        <f>IFERROR(K122/$I122,0)</f>
        <v>1.3500149863786228E-2</v>
      </c>
      <c r="Q122" s="24" t="str">
        <f>IF($G122&lt;&gt;0,"Beer",IF($H122&lt;&gt;0,"Liquor","-"))</f>
        <v>Beer</v>
      </c>
      <c r="R122" s="26">
        <f>IF($G122&lt;&gt;0,$G122,IF($H122&lt;&gt;0,$H122/0.75,0))</f>
        <v>70.8</v>
      </c>
      <c r="S122" s="32" t="b">
        <f>ISNUMBER(R122)</f>
        <v>1</v>
      </c>
      <c r="T122" s="32"/>
    </row>
    <row r="123" spans="1:20" x14ac:dyDescent="0.3">
      <c r="A123" s="9">
        <v>122</v>
      </c>
      <c r="B123" s="21">
        <v>44418.452291666668</v>
      </c>
      <c r="C123" s="11" t="s">
        <v>133</v>
      </c>
      <c r="D123" s="11" t="str">
        <f>IF(ISNUMBER(SEARCH("OSBC", C123)), "GOVT", "RETAIL")</f>
        <v>RETAIL</v>
      </c>
      <c r="E123" s="12">
        <v>142146.46</v>
      </c>
      <c r="F123" s="12">
        <v>0</v>
      </c>
      <c r="G123" s="11">
        <v>0</v>
      </c>
      <c r="H123" s="11">
        <v>123.66</v>
      </c>
      <c r="I123" s="12">
        <v>103650.8</v>
      </c>
      <c r="J123" s="12">
        <v>36277.78</v>
      </c>
      <c r="K123" s="12">
        <v>1399.29</v>
      </c>
      <c r="L123" s="12">
        <v>141327.87</v>
      </c>
      <c r="M123" s="13">
        <v>818.59</v>
      </c>
      <c r="N123">
        <f>YEAR(B123)</f>
        <v>2021</v>
      </c>
      <c r="O123" s="24">
        <f>IFERROR(J123/$I123,0)</f>
        <v>0.35</v>
      </c>
      <c r="P123" s="24">
        <f>IFERROR(K123/$I123,0)</f>
        <v>1.350004052067133E-2</v>
      </c>
      <c r="Q123" s="24" t="str">
        <f>IF($G123&lt;&gt;0,"Beer",IF($H123&lt;&gt;0,"Liquor","-"))</f>
        <v>Liquor</v>
      </c>
      <c r="R123" s="26">
        <f>IF($G123&lt;&gt;0,$G123,IF($H123&lt;&gt;0,$H123/0.75,0))</f>
        <v>164.88</v>
      </c>
      <c r="S123" s="32" t="b">
        <f>ISNUMBER(R123)</f>
        <v>1</v>
      </c>
      <c r="T123" s="32"/>
    </row>
    <row r="124" spans="1:20" x14ac:dyDescent="0.3">
      <c r="A124" s="9">
        <v>123</v>
      </c>
      <c r="B124" s="21">
        <v>44422.364722222221</v>
      </c>
      <c r="C124" s="11" t="s">
        <v>134</v>
      </c>
      <c r="D124" s="11" t="str">
        <f>IF(ISNUMBER(SEARCH("OSBC", C124)), "GOVT", "RETAIL")</f>
        <v>GOVT</v>
      </c>
      <c r="E124" s="12">
        <v>818.59</v>
      </c>
      <c r="F124" s="12">
        <v>147000</v>
      </c>
      <c r="G124" s="11">
        <v>0</v>
      </c>
      <c r="H124" s="11">
        <v>0</v>
      </c>
      <c r="I124" s="12">
        <v>0</v>
      </c>
      <c r="J124" s="12">
        <v>0</v>
      </c>
      <c r="K124" s="12">
        <v>0</v>
      </c>
      <c r="L124" s="12">
        <v>0</v>
      </c>
      <c r="M124" s="13">
        <v>147818.59</v>
      </c>
      <c r="N124">
        <f>YEAR(B124)</f>
        <v>2021</v>
      </c>
      <c r="O124" s="24">
        <f>IFERROR(J124/$I124,0)</f>
        <v>0</v>
      </c>
      <c r="P124" s="24">
        <f>IFERROR(K124/$I124,0)</f>
        <v>0</v>
      </c>
      <c r="Q124" s="24" t="str">
        <f>IF($G124&lt;&gt;0,"Beer",IF($H124&lt;&gt;0,"Liquor","-"))</f>
        <v>-</v>
      </c>
      <c r="R124" s="26">
        <f>IF($G124&lt;&gt;0,$G124,IF($H124&lt;&gt;0,$H124/0.75,0))</f>
        <v>0</v>
      </c>
      <c r="S124" s="32" t="b">
        <f>ISNUMBER(R124)</f>
        <v>1</v>
      </c>
      <c r="T124" s="32"/>
    </row>
    <row r="125" spans="1:20" x14ac:dyDescent="0.3">
      <c r="A125" s="9">
        <v>124</v>
      </c>
      <c r="B125" s="21">
        <v>44422.427754629629</v>
      </c>
      <c r="C125" s="11" t="s">
        <v>135</v>
      </c>
      <c r="D125" s="11" t="str">
        <f>IF(ISNUMBER(SEARCH("OSBC", C125)), "GOVT", "RETAIL")</f>
        <v>RETAIL</v>
      </c>
      <c r="E125" s="12">
        <v>147818.59</v>
      </c>
      <c r="F125" s="12">
        <v>0</v>
      </c>
      <c r="G125" s="11">
        <v>0</v>
      </c>
      <c r="H125" s="11">
        <v>117.45</v>
      </c>
      <c r="I125" s="12">
        <v>94920.639999999999</v>
      </c>
      <c r="J125" s="12">
        <v>33222.22</v>
      </c>
      <c r="K125" s="12">
        <v>1281.43</v>
      </c>
      <c r="L125" s="12">
        <v>129424.29</v>
      </c>
      <c r="M125" s="13">
        <v>18394.3</v>
      </c>
      <c r="N125">
        <f>YEAR(B125)</f>
        <v>2021</v>
      </c>
      <c r="O125" s="24">
        <f>IFERROR(J125/$I125,0)</f>
        <v>0.34999995785953403</v>
      </c>
      <c r="P125" s="24">
        <f>IFERROR(K125/$I125,0)</f>
        <v>1.3500014327758431E-2</v>
      </c>
      <c r="Q125" s="24" t="str">
        <f>IF($G125&lt;&gt;0,"Beer",IF($H125&lt;&gt;0,"Liquor","-"))</f>
        <v>Liquor</v>
      </c>
      <c r="R125" s="26">
        <f>IF($G125&lt;&gt;0,$G125,IF($H125&lt;&gt;0,$H125/0.75,0))</f>
        <v>156.6</v>
      </c>
      <c r="S125" s="32" t="b">
        <f>ISNUMBER(R125)</f>
        <v>1</v>
      </c>
      <c r="T125" s="32"/>
    </row>
    <row r="126" spans="1:20" x14ac:dyDescent="0.3">
      <c r="A126" s="9">
        <v>125</v>
      </c>
      <c r="B126" s="21">
        <v>44422.428148148145</v>
      </c>
      <c r="C126" s="11" t="s">
        <v>136</v>
      </c>
      <c r="D126" s="11" t="str">
        <f>IF(ISNUMBER(SEARCH("OSBC", C126)), "GOVT", "RETAIL")</f>
        <v>RETAIL</v>
      </c>
      <c r="E126" s="12">
        <v>18394.3</v>
      </c>
      <c r="F126" s="12">
        <v>0</v>
      </c>
      <c r="G126" s="11">
        <v>82.8</v>
      </c>
      <c r="H126" s="11">
        <v>0</v>
      </c>
      <c r="I126" s="12">
        <v>12936.5</v>
      </c>
      <c r="J126" s="12">
        <v>4527.78</v>
      </c>
      <c r="K126" s="12">
        <v>174.64</v>
      </c>
      <c r="L126" s="12">
        <v>17638.919999999998</v>
      </c>
      <c r="M126" s="13">
        <v>755.38</v>
      </c>
      <c r="N126">
        <f>YEAR(B126)</f>
        <v>2021</v>
      </c>
      <c r="O126" s="24">
        <f>IFERROR(J126/$I126,0)</f>
        <v>0.35000038650330456</v>
      </c>
      <c r="P126" s="24">
        <f>IFERROR(K126/$I126,0)</f>
        <v>1.3499787423182467E-2</v>
      </c>
      <c r="Q126" s="24" t="str">
        <f>IF($G126&lt;&gt;0,"Beer",IF($H126&lt;&gt;0,"Liquor","-"))</f>
        <v>Beer</v>
      </c>
      <c r="R126" s="26">
        <f>IF($G126&lt;&gt;0,$G126,IF($H126&lt;&gt;0,$H126/0.75,0))</f>
        <v>82.8</v>
      </c>
      <c r="S126" s="32" t="b">
        <f>ISNUMBER(R126)</f>
        <v>1</v>
      </c>
      <c r="T126" s="32"/>
    </row>
    <row r="127" spans="1:20" x14ac:dyDescent="0.3">
      <c r="A127" s="9">
        <v>126</v>
      </c>
      <c r="B127" s="21">
        <v>44425.401435185187</v>
      </c>
      <c r="C127" s="11" t="s">
        <v>137</v>
      </c>
      <c r="D127" s="11" t="str">
        <f>IF(ISNUMBER(SEARCH("OSBC", C127)), "GOVT", "RETAIL")</f>
        <v>GOVT</v>
      </c>
      <c r="E127" s="12">
        <v>755.38</v>
      </c>
      <c r="F127" s="12">
        <v>25000</v>
      </c>
      <c r="G127" s="11">
        <v>0</v>
      </c>
      <c r="H127" s="11">
        <v>0</v>
      </c>
      <c r="I127" s="12">
        <v>0</v>
      </c>
      <c r="J127" s="12">
        <v>0</v>
      </c>
      <c r="K127" s="12">
        <v>0</v>
      </c>
      <c r="L127" s="12">
        <v>0</v>
      </c>
      <c r="M127" s="13">
        <v>25755.38</v>
      </c>
      <c r="N127">
        <f>YEAR(B127)</f>
        <v>2021</v>
      </c>
      <c r="O127" s="24">
        <f>IFERROR(J127/$I127,0)</f>
        <v>0</v>
      </c>
      <c r="P127" s="24">
        <f>IFERROR(K127/$I127,0)</f>
        <v>0</v>
      </c>
      <c r="Q127" s="24" t="str">
        <f>IF($G127&lt;&gt;0,"Beer",IF($H127&lt;&gt;0,"Liquor","-"))</f>
        <v>-</v>
      </c>
      <c r="R127" s="26">
        <f>IF($G127&lt;&gt;0,$G127,IF($H127&lt;&gt;0,$H127/0.75,0))</f>
        <v>0</v>
      </c>
      <c r="S127" s="32" t="b">
        <f>ISNUMBER(R127)</f>
        <v>1</v>
      </c>
      <c r="T127" s="32"/>
    </row>
    <row r="128" spans="1:20" x14ac:dyDescent="0.3">
      <c r="A128" s="9">
        <v>127</v>
      </c>
      <c r="B128" s="21">
        <v>44425.405729166669</v>
      </c>
      <c r="C128" s="11" t="s">
        <v>138</v>
      </c>
      <c r="D128" s="11" t="str">
        <f>IF(ISNUMBER(SEARCH("OSBC", C128)), "GOVT", "RETAIL")</f>
        <v>GOVT</v>
      </c>
      <c r="E128" s="12">
        <v>25755.38</v>
      </c>
      <c r="F128" s="12">
        <v>115500</v>
      </c>
      <c r="G128" s="11">
        <v>0</v>
      </c>
      <c r="H128" s="11">
        <v>0</v>
      </c>
      <c r="I128" s="12">
        <v>0</v>
      </c>
      <c r="J128" s="12">
        <v>0</v>
      </c>
      <c r="K128" s="12">
        <v>0</v>
      </c>
      <c r="L128" s="12">
        <v>0</v>
      </c>
      <c r="M128" s="13">
        <v>141255.38</v>
      </c>
      <c r="N128">
        <f>YEAR(B128)</f>
        <v>2021</v>
      </c>
      <c r="O128" s="24">
        <f>IFERROR(J128/$I128,0)</f>
        <v>0</v>
      </c>
      <c r="P128" s="24">
        <f>IFERROR(K128/$I128,0)</f>
        <v>0</v>
      </c>
      <c r="Q128" s="24" t="str">
        <f>IF($G128&lt;&gt;0,"Beer",IF($H128&lt;&gt;0,"Liquor","-"))</f>
        <v>-</v>
      </c>
      <c r="R128" s="26">
        <f>IF($G128&lt;&gt;0,$G128,IF($H128&lt;&gt;0,$H128/0.75,0))</f>
        <v>0</v>
      </c>
      <c r="S128" s="32" t="b">
        <f>ISNUMBER(R128)</f>
        <v>1</v>
      </c>
      <c r="T128" s="32"/>
    </row>
    <row r="129" spans="1:20" x14ac:dyDescent="0.3">
      <c r="A129" s="9">
        <v>128</v>
      </c>
      <c r="B129" s="21">
        <v>44425.442488425928</v>
      </c>
      <c r="C129" s="11" t="s">
        <v>139</v>
      </c>
      <c r="D129" s="11" t="str">
        <f>IF(ISNUMBER(SEARCH("OSBC", C129)), "GOVT", "RETAIL")</f>
        <v>RETAIL</v>
      </c>
      <c r="E129" s="12">
        <v>141255.38</v>
      </c>
      <c r="F129" s="12">
        <v>0</v>
      </c>
      <c r="G129" s="11">
        <v>0</v>
      </c>
      <c r="H129" s="11">
        <v>123.93</v>
      </c>
      <c r="I129" s="12">
        <v>101904.76</v>
      </c>
      <c r="J129" s="12">
        <v>35666.67</v>
      </c>
      <c r="K129" s="12">
        <v>1375.71</v>
      </c>
      <c r="L129" s="12">
        <v>138947.14000000001</v>
      </c>
      <c r="M129" s="13">
        <v>2308.2399999999998</v>
      </c>
      <c r="N129">
        <f>YEAR(B129)</f>
        <v>2021</v>
      </c>
      <c r="O129" s="24">
        <f>IFERROR(J129/$I129,0)</f>
        <v>0.35000003925233719</v>
      </c>
      <c r="P129" s="24">
        <f>IFERROR(K129/$I129,0)</f>
        <v>1.3499958196260903E-2</v>
      </c>
      <c r="Q129" s="24" t="str">
        <f>IF($G129&lt;&gt;0,"Beer",IF($H129&lt;&gt;0,"Liquor","-"))</f>
        <v>Liquor</v>
      </c>
      <c r="R129" s="26">
        <f>IF($G129&lt;&gt;0,$G129,IF($H129&lt;&gt;0,$H129/0.75,0))</f>
        <v>165.24</v>
      </c>
      <c r="S129" s="32" t="b">
        <f>ISNUMBER(R129)</f>
        <v>1</v>
      </c>
      <c r="T129" s="32"/>
    </row>
    <row r="130" spans="1:20" x14ac:dyDescent="0.3">
      <c r="A130" s="9">
        <v>129</v>
      </c>
      <c r="B130" s="21">
        <v>44429.319965277777</v>
      </c>
      <c r="C130" s="11" t="s">
        <v>140</v>
      </c>
      <c r="D130" s="11" t="str">
        <f>IF(ISNUMBER(SEARCH("OSBC", C130)), "GOVT", "RETAIL")</f>
        <v>GOVT</v>
      </c>
      <c r="E130" s="12">
        <v>2308.2399999999998</v>
      </c>
      <c r="F130" s="12">
        <v>170000</v>
      </c>
      <c r="G130" s="11">
        <v>0</v>
      </c>
      <c r="H130" s="11">
        <v>0</v>
      </c>
      <c r="I130" s="12">
        <v>0</v>
      </c>
      <c r="J130" s="12">
        <v>0</v>
      </c>
      <c r="K130" s="12">
        <v>0</v>
      </c>
      <c r="L130" s="12">
        <v>0</v>
      </c>
      <c r="M130" s="13">
        <v>172308.24</v>
      </c>
      <c r="N130">
        <f>YEAR(B130)</f>
        <v>2021</v>
      </c>
      <c r="O130" s="24">
        <f>IFERROR(J130/$I130,0)</f>
        <v>0</v>
      </c>
      <c r="P130" s="24">
        <f>IFERROR(K130/$I130,0)</f>
        <v>0</v>
      </c>
      <c r="Q130" s="24" t="str">
        <f>IF($G130&lt;&gt;0,"Beer",IF($H130&lt;&gt;0,"Liquor","-"))</f>
        <v>-</v>
      </c>
      <c r="R130" s="26">
        <f>IF($G130&lt;&gt;0,$G130,IF($H130&lt;&gt;0,$H130/0.75,0))</f>
        <v>0</v>
      </c>
      <c r="S130" s="32" t="b">
        <f>ISNUMBER(R130)</f>
        <v>1</v>
      </c>
      <c r="T130" s="32"/>
    </row>
    <row r="131" spans="1:20" x14ac:dyDescent="0.3">
      <c r="A131" s="9">
        <v>130</v>
      </c>
      <c r="B131" s="21">
        <v>44429.421400462961</v>
      </c>
      <c r="C131" s="11" t="s">
        <v>141</v>
      </c>
      <c r="D131" s="11" t="str">
        <f>IF(ISNUMBER(SEARCH("OSBC", C131)), "GOVT", "RETAIL")</f>
        <v>RETAIL</v>
      </c>
      <c r="E131" s="12">
        <v>172308.24</v>
      </c>
      <c r="F131" s="12">
        <v>0</v>
      </c>
      <c r="G131" s="11">
        <v>0</v>
      </c>
      <c r="H131" s="11">
        <v>130.41</v>
      </c>
      <c r="I131" s="12">
        <v>107063.5</v>
      </c>
      <c r="J131" s="12">
        <v>37472.230000000003</v>
      </c>
      <c r="K131" s="12">
        <v>1445.36</v>
      </c>
      <c r="L131" s="12">
        <v>145981.07999999999</v>
      </c>
      <c r="M131" s="13">
        <v>26327.16</v>
      </c>
      <c r="N131">
        <f>YEAR(B131)</f>
        <v>2021</v>
      </c>
      <c r="O131" s="24">
        <f>IFERROR(J131/$I131,0)</f>
        <v>0.35000004670125678</v>
      </c>
      <c r="P131" s="24">
        <f>IFERROR(K131/$I131,0)</f>
        <v>1.3500025685691201E-2</v>
      </c>
      <c r="Q131" s="24" t="str">
        <f>IF($G131&lt;&gt;0,"Beer",IF($H131&lt;&gt;0,"Liquor","-"))</f>
        <v>Liquor</v>
      </c>
      <c r="R131" s="26">
        <f>IF($G131&lt;&gt;0,$G131,IF($H131&lt;&gt;0,$H131/0.75,0))</f>
        <v>173.88</v>
      </c>
      <c r="S131" s="32" t="b">
        <f>ISNUMBER(R131)</f>
        <v>1</v>
      </c>
      <c r="T131" s="32"/>
    </row>
    <row r="132" spans="1:20" x14ac:dyDescent="0.3">
      <c r="A132" s="9">
        <v>131</v>
      </c>
      <c r="B132" s="21">
        <v>44429.421863425923</v>
      </c>
      <c r="C132" s="11" t="s">
        <v>142</v>
      </c>
      <c r="D132" s="11" t="str">
        <f>IF(ISNUMBER(SEARCH("OSBC", C132)), "GOVT", "RETAIL")</f>
        <v>RETAIL</v>
      </c>
      <c r="E132" s="12">
        <v>26327.16</v>
      </c>
      <c r="F132" s="12">
        <v>0</v>
      </c>
      <c r="G132" s="11">
        <v>118.2</v>
      </c>
      <c r="H132" s="11">
        <v>0</v>
      </c>
      <c r="I132" s="12">
        <v>18809.509999999998</v>
      </c>
      <c r="J132" s="12">
        <v>6583.33</v>
      </c>
      <c r="K132" s="12">
        <v>253.93</v>
      </c>
      <c r="L132" s="12">
        <v>25646.77</v>
      </c>
      <c r="M132" s="13">
        <v>680.39</v>
      </c>
      <c r="N132">
        <f>YEAR(B132)</f>
        <v>2021</v>
      </c>
      <c r="O132" s="24">
        <f>IFERROR(J132/$I132,0)</f>
        <v>0.35000007974689401</v>
      </c>
      <c r="P132" s="24">
        <f>IFERROR(K132/$I132,0)</f>
        <v>1.3500085860822532E-2</v>
      </c>
      <c r="Q132" s="24" t="str">
        <f>IF($G132&lt;&gt;0,"Beer",IF($H132&lt;&gt;0,"Liquor","-"))</f>
        <v>Beer</v>
      </c>
      <c r="R132" s="26">
        <f>IF($G132&lt;&gt;0,$G132,IF($H132&lt;&gt;0,$H132/0.75,0))</f>
        <v>118.2</v>
      </c>
      <c r="S132" s="32" t="b">
        <f>ISNUMBER(R132)</f>
        <v>1</v>
      </c>
      <c r="T132" s="32"/>
    </row>
    <row r="133" spans="1:20" x14ac:dyDescent="0.3">
      <c r="A133" s="9">
        <v>132</v>
      </c>
      <c r="B133" s="21">
        <v>44432.38244212963</v>
      </c>
      <c r="C133" s="11" t="s">
        <v>143</v>
      </c>
      <c r="D133" s="11" t="str">
        <f>IF(ISNUMBER(SEARCH("OSBC", C133)), "GOVT", "RETAIL")</f>
        <v>GOVT</v>
      </c>
      <c r="E133" s="12">
        <v>680.39</v>
      </c>
      <c r="F133" s="12">
        <v>136000</v>
      </c>
      <c r="G133" s="11">
        <v>0</v>
      </c>
      <c r="H133" s="11">
        <v>0</v>
      </c>
      <c r="I133" s="12">
        <v>0</v>
      </c>
      <c r="J133" s="12">
        <v>0</v>
      </c>
      <c r="K133" s="12">
        <v>0</v>
      </c>
      <c r="L133" s="12">
        <v>0</v>
      </c>
      <c r="M133" s="13">
        <v>136680.39000000001</v>
      </c>
      <c r="N133">
        <f>YEAR(B133)</f>
        <v>2021</v>
      </c>
      <c r="O133" s="24">
        <f>IFERROR(J133/$I133,0)</f>
        <v>0</v>
      </c>
      <c r="P133" s="24">
        <f>IFERROR(K133/$I133,0)</f>
        <v>0</v>
      </c>
      <c r="Q133" s="24" t="str">
        <f>IF($G133&lt;&gt;0,"Beer",IF($H133&lt;&gt;0,"Liquor","-"))</f>
        <v>-</v>
      </c>
      <c r="R133" s="26">
        <f>IF($G133&lt;&gt;0,$G133,IF($H133&lt;&gt;0,$H133/0.75,0))</f>
        <v>0</v>
      </c>
      <c r="S133" s="32" t="b">
        <f>ISNUMBER(R133)</f>
        <v>1</v>
      </c>
      <c r="T133" s="32"/>
    </row>
    <row r="134" spans="1:20" x14ac:dyDescent="0.3">
      <c r="A134" s="9">
        <v>133</v>
      </c>
      <c r="B134" s="21">
        <v>44432.403310185182</v>
      </c>
      <c r="C134" s="11" t="s">
        <v>144</v>
      </c>
      <c r="D134" s="11" t="str">
        <f>IF(ISNUMBER(SEARCH("OSBC", C134)), "GOVT", "RETAIL")</f>
        <v>GOVT</v>
      </c>
      <c r="E134" s="12">
        <v>136680.39000000001</v>
      </c>
      <c r="F134" s="12">
        <v>15000</v>
      </c>
      <c r="G134" s="11">
        <v>0</v>
      </c>
      <c r="H134" s="11">
        <v>0</v>
      </c>
      <c r="I134" s="12">
        <v>0</v>
      </c>
      <c r="J134" s="12">
        <v>0</v>
      </c>
      <c r="K134" s="12">
        <v>0</v>
      </c>
      <c r="L134" s="12">
        <v>0</v>
      </c>
      <c r="M134" s="13">
        <v>151680.39000000001</v>
      </c>
      <c r="N134">
        <f>YEAR(B134)</f>
        <v>2021</v>
      </c>
      <c r="O134" s="24">
        <f>IFERROR(J134/$I134,0)</f>
        <v>0</v>
      </c>
      <c r="P134" s="24">
        <f>IFERROR(K134/$I134,0)</f>
        <v>0</v>
      </c>
      <c r="Q134" s="24" t="str">
        <f>IF($G134&lt;&gt;0,"Beer",IF($H134&lt;&gt;0,"Liquor","-"))</f>
        <v>-</v>
      </c>
      <c r="R134" s="26">
        <f>IF($G134&lt;&gt;0,$G134,IF($H134&lt;&gt;0,$H134/0.75,0))</f>
        <v>0</v>
      </c>
      <c r="S134" s="32" t="b">
        <f>ISNUMBER(R134)</f>
        <v>1</v>
      </c>
      <c r="T134" s="32"/>
    </row>
    <row r="135" spans="1:20" x14ac:dyDescent="0.3">
      <c r="A135" s="9">
        <v>134</v>
      </c>
      <c r="B135" s="21">
        <v>44432.45380787037</v>
      </c>
      <c r="C135" s="11" t="s">
        <v>145</v>
      </c>
      <c r="D135" s="11" t="str">
        <f>IF(ISNUMBER(SEARCH("OSBC", C135)), "GOVT", "RETAIL")</f>
        <v>RETAIL</v>
      </c>
      <c r="E135" s="12">
        <v>151680.39000000001</v>
      </c>
      <c r="F135" s="12">
        <v>0</v>
      </c>
      <c r="G135" s="11">
        <v>0</v>
      </c>
      <c r="H135" s="11">
        <v>110.7</v>
      </c>
      <c r="I135" s="12">
        <v>87936.52</v>
      </c>
      <c r="J135" s="12">
        <v>30777.78</v>
      </c>
      <c r="K135" s="12">
        <v>1187</v>
      </c>
      <c r="L135" s="12">
        <v>119901.3</v>
      </c>
      <c r="M135" s="13">
        <v>31779.09</v>
      </c>
      <c r="N135">
        <f>YEAR(B135)</f>
        <v>2021</v>
      </c>
      <c r="O135" s="24">
        <f>IFERROR(J135/$I135,0)</f>
        <v>0.34999997725632076</v>
      </c>
      <c r="P135" s="24">
        <f>IFERROR(K135/$I135,0)</f>
        <v>1.3498373599501094E-2</v>
      </c>
      <c r="Q135" s="24" t="str">
        <f>IF($G135&lt;&gt;0,"Beer",IF($H135&lt;&gt;0,"Liquor","-"))</f>
        <v>Liquor</v>
      </c>
      <c r="R135" s="26">
        <f>IF($G135&lt;&gt;0,$G135,IF($H135&lt;&gt;0,$H135/0.75,0))</f>
        <v>147.6</v>
      </c>
      <c r="S135" s="32" t="b">
        <f>ISNUMBER(R135)</f>
        <v>1</v>
      </c>
      <c r="T135" s="32"/>
    </row>
    <row r="136" spans="1:20" x14ac:dyDescent="0.3">
      <c r="A136" s="9">
        <v>135</v>
      </c>
      <c r="B136" s="21">
        <v>44432.454270833332</v>
      </c>
      <c r="C136" s="11" t="s">
        <v>146</v>
      </c>
      <c r="D136" s="11" t="str">
        <f>IF(ISNUMBER(SEARCH("OSBC", C136)), "GOVT", "RETAIL")</f>
        <v>RETAIL</v>
      </c>
      <c r="E136" s="12">
        <v>31779.09</v>
      </c>
      <c r="F136" s="12">
        <v>0</v>
      </c>
      <c r="G136" s="11">
        <v>145.80000000000001</v>
      </c>
      <c r="H136" s="11">
        <v>0</v>
      </c>
      <c r="I136" s="12">
        <v>23253.96</v>
      </c>
      <c r="J136" s="12">
        <v>8138.89</v>
      </c>
      <c r="K136" s="12">
        <v>314</v>
      </c>
      <c r="L136" s="12">
        <v>31706.85</v>
      </c>
      <c r="M136" s="13">
        <v>72.239999999999995</v>
      </c>
      <c r="N136">
        <f>YEAR(B136)</f>
        <v>2021</v>
      </c>
      <c r="O136" s="24">
        <f>IFERROR(J136/$I136,0)</f>
        <v>0.35000017201371297</v>
      </c>
      <c r="P136" s="24">
        <f>IFERROR(K136/$I136,0)</f>
        <v>1.3503076465255811E-2</v>
      </c>
      <c r="Q136" s="24" t="str">
        <f>IF($G136&lt;&gt;0,"Beer",IF($H136&lt;&gt;0,"Liquor","-"))</f>
        <v>Beer</v>
      </c>
      <c r="R136" s="26">
        <f>IF($G136&lt;&gt;0,$G136,IF($H136&lt;&gt;0,$H136/0.75,0))</f>
        <v>145.80000000000001</v>
      </c>
      <c r="S136" s="32" t="b">
        <f>ISNUMBER(R136)</f>
        <v>1</v>
      </c>
      <c r="T136" s="32"/>
    </row>
    <row r="137" spans="1:20" x14ac:dyDescent="0.3">
      <c r="A137" s="9">
        <v>136</v>
      </c>
      <c r="B137" s="21">
        <v>44436.335358796299</v>
      </c>
      <c r="C137" s="11" t="s">
        <v>147</v>
      </c>
      <c r="D137" s="11" t="str">
        <f>IF(ISNUMBER(SEARCH("OSBC", C137)), "GOVT", "RETAIL")</f>
        <v>GOVT</v>
      </c>
      <c r="E137" s="12">
        <v>72.239999999999995</v>
      </c>
      <c r="F137" s="12">
        <v>150000</v>
      </c>
      <c r="G137" s="11">
        <v>0</v>
      </c>
      <c r="H137" s="11">
        <v>0</v>
      </c>
      <c r="I137" s="12">
        <v>0</v>
      </c>
      <c r="J137" s="12">
        <v>0</v>
      </c>
      <c r="K137" s="12">
        <v>0</v>
      </c>
      <c r="L137" s="12">
        <v>0</v>
      </c>
      <c r="M137" s="13">
        <v>150072.24</v>
      </c>
      <c r="N137">
        <f>YEAR(B137)</f>
        <v>2021</v>
      </c>
      <c r="O137" s="24">
        <f>IFERROR(J137/$I137,0)</f>
        <v>0</v>
      </c>
      <c r="P137" s="24">
        <f>IFERROR(K137/$I137,0)</f>
        <v>0</v>
      </c>
      <c r="Q137" s="24" t="str">
        <f>IF($G137&lt;&gt;0,"Beer",IF($H137&lt;&gt;0,"Liquor","-"))</f>
        <v>-</v>
      </c>
      <c r="R137" s="26">
        <f>IF($G137&lt;&gt;0,$G137,IF($H137&lt;&gt;0,$H137/0.75,0))</f>
        <v>0</v>
      </c>
      <c r="S137" s="32" t="b">
        <f>ISNUMBER(R137)</f>
        <v>1</v>
      </c>
      <c r="T137" s="32"/>
    </row>
    <row r="138" spans="1:20" x14ac:dyDescent="0.3">
      <c r="A138" s="9">
        <v>137</v>
      </c>
      <c r="B138" s="21">
        <v>44436.414386574077</v>
      </c>
      <c r="C138" s="11" t="s">
        <v>148</v>
      </c>
      <c r="D138" s="11" t="str">
        <f>IF(ISNUMBER(SEARCH("OSBC", C138)), "GOVT", "RETAIL")</f>
        <v>RETAIL</v>
      </c>
      <c r="E138" s="12">
        <v>150072.24</v>
      </c>
      <c r="F138" s="12">
        <v>0</v>
      </c>
      <c r="G138" s="11">
        <v>78.599999999999994</v>
      </c>
      <c r="H138" s="11">
        <v>0</v>
      </c>
      <c r="I138" s="12">
        <v>11746.02</v>
      </c>
      <c r="J138" s="12">
        <v>4111.1099999999997</v>
      </c>
      <c r="K138" s="12">
        <v>159</v>
      </c>
      <c r="L138" s="12">
        <v>16016.13</v>
      </c>
      <c r="M138" s="13">
        <v>134056.10999999999</v>
      </c>
      <c r="N138">
        <f>YEAR(B138)</f>
        <v>2021</v>
      </c>
      <c r="O138" s="24">
        <f>IFERROR(J138/$I138,0)</f>
        <v>0.35000025540566077</v>
      </c>
      <c r="P138" s="24">
        <f>IFERROR(K138/$I138,0)</f>
        <v>1.3536500022986508E-2</v>
      </c>
      <c r="Q138" s="24" t="str">
        <f>IF($G138&lt;&gt;0,"Beer",IF($H138&lt;&gt;0,"Liquor","-"))</f>
        <v>Beer</v>
      </c>
      <c r="R138" s="26">
        <f>IF($G138&lt;&gt;0,$G138,IF($H138&lt;&gt;0,$H138/0.75,0))</f>
        <v>78.599999999999994</v>
      </c>
      <c r="S138" s="32" t="b">
        <f>ISNUMBER(R138)</f>
        <v>1</v>
      </c>
      <c r="T138" s="32"/>
    </row>
    <row r="139" spans="1:20" x14ac:dyDescent="0.3">
      <c r="A139" s="9">
        <v>138</v>
      </c>
      <c r="B139" s="21">
        <v>44436.414930555555</v>
      </c>
      <c r="C139" s="11" t="s">
        <v>149</v>
      </c>
      <c r="D139" s="11" t="str">
        <f>IF(ISNUMBER(SEARCH("OSBC", C139)), "GOVT", "RETAIL")</f>
        <v>RETAIL</v>
      </c>
      <c r="E139" s="12">
        <v>134056.10999999999</v>
      </c>
      <c r="F139" s="12">
        <v>0</v>
      </c>
      <c r="G139" s="11">
        <v>0</v>
      </c>
      <c r="H139" s="11">
        <v>123.93</v>
      </c>
      <c r="I139" s="12">
        <v>98253.98</v>
      </c>
      <c r="J139" s="12">
        <v>34388.89</v>
      </c>
      <c r="K139" s="12">
        <v>1326</v>
      </c>
      <c r="L139" s="12">
        <v>133968.87</v>
      </c>
      <c r="M139" s="13">
        <v>87.24</v>
      </c>
      <c r="N139">
        <f>YEAR(B139)</f>
        <v>2021</v>
      </c>
      <c r="O139" s="24">
        <f>IFERROR(J139/$I139,0)</f>
        <v>0.34999996946688572</v>
      </c>
      <c r="P139" s="24">
        <f>IFERROR(K139/$I139,0)</f>
        <v>1.3495636512637962E-2</v>
      </c>
      <c r="Q139" s="24" t="str">
        <f>IF($G139&lt;&gt;0,"Beer",IF($H139&lt;&gt;0,"Liquor","-"))</f>
        <v>Liquor</v>
      </c>
      <c r="R139" s="26">
        <f>IF($G139&lt;&gt;0,$G139,IF($H139&lt;&gt;0,$H139/0.75,0))</f>
        <v>165.24</v>
      </c>
      <c r="S139" s="32" t="b">
        <f>ISNUMBER(R139)</f>
        <v>1</v>
      </c>
      <c r="T139" s="32"/>
    </row>
    <row r="140" spans="1:20" x14ac:dyDescent="0.3">
      <c r="A140" s="9">
        <v>139</v>
      </c>
      <c r="B140" s="21">
        <v>44440.001192129632</v>
      </c>
      <c r="C140" s="11" t="s">
        <v>150</v>
      </c>
      <c r="D140" s="11" t="str">
        <f>IF(ISNUMBER(SEARCH("OSBC", C140)), "GOVT", "RETAIL")</f>
        <v>GOVT</v>
      </c>
      <c r="E140" s="12">
        <v>87.24</v>
      </c>
      <c r="F140" s="12">
        <v>148000</v>
      </c>
      <c r="G140" s="11">
        <v>0</v>
      </c>
      <c r="H140" s="11">
        <v>0</v>
      </c>
      <c r="I140" s="12">
        <v>0</v>
      </c>
      <c r="J140" s="12">
        <v>0</v>
      </c>
      <c r="K140" s="12">
        <v>0</v>
      </c>
      <c r="L140" s="12">
        <v>0</v>
      </c>
      <c r="M140" s="13">
        <v>148087.24</v>
      </c>
      <c r="N140">
        <f>YEAR(B140)</f>
        <v>2021</v>
      </c>
      <c r="O140" s="24">
        <f>IFERROR(J140/$I140,0)</f>
        <v>0</v>
      </c>
      <c r="P140" s="24">
        <f>IFERROR(K140/$I140,0)</f>
        <v>0</v>
      </c>
      <c r="Q140" s="24" t="str">
        <f>IF($G140&lt;&gt;0,"Beer",IF($H140&lt;&gt;0,"Liquor","-"))</f>
        <v>-</v>
      </c>
      <c r="R140" s="26">
        <f>IF($G140&lt;&gt;0,$G140,IF($H140&lt;&gt;0,$H140/0.75,0))</f>
        <v>0</v>
      </c>
      <c r="S140" s="32" t="b">
        <f>ISNUMBER(R140)</f>
        <v>1</v>
      </c>
      <c r="T140" s="32"/>
    </row>
    <row r="141" spans="1:20" x14ac:dyDescent="0.3">
      <c r="A141" s="9">
        <v>140</v>
      </c>
      <c r="B141" s="21">
        <v>44440.424201388887</v>
      </c>
      <c r="C141" s="11" t="s">
        <v>151</v>
      </c>
      <c r="D141" s="11" t="str">
        <f>IF(ISNUMBER(SEARCH("OSBC", C141)), "GOVT", "RETAIL")</f>
        <v>RETAIL</v>
      </c>
      <c r="E141" s="12">
        <v>148087.24</v>
      </c>
      <c r="F141" s="12">
        <v>0</v>
      </c>
      <c r="G141" s="11">
        <v>145.80000000000001</v>
      </c>
      <c r="H141" s="11">
        <v>0</v>
      </c>
      <c r="I141" s="12">
        <v>22857.13</v>
      </c>
      <c r="J141" s="12">
        <v>8000</v>
      </c>
      <c r="K141" s="12">
        <v>309</v>
      </c>
      <c r="L141" s="12">
        <v>31166.13</v>
      </c>
      <c r="M141" s="13">
        <v>116921.11</v>
      </c>
      <c r="N141">
        <f>YEAR(B141)</f>
        <v>2021</v>
      </c>
      <c r="O141" s="24">
        <f>IFERROR(J141/$I141,0)</f>
        <v>0.35000019687511075</v>
      </c>
      <c r="P141" s="24">
        <f>IFERROR(K141/$I141,0)</f>
        <v>1.3518757604301152E-2</v>
      </c>
      <c r="Q141" s="24" t="str">
        <f>IF($G141&lt;&gt;0,"Beer",IF($H141&lt;&gt;0,"Liquor","-"))</f>
        <v>Beer</v>
      </c>
      <c r="R141" s="26">
        <f>IF($G141&lt;&gt;0,$G141,IF($H141&lt;&gt;0,$H141/0.75,0))</f>
        <v>145.80000000000001</v>
      </c>
      <c r="S141" s="32" t="b">
        <f>ISNUMBER(R141)</f>
        <v>1</v>
      </c>
      <c r="T141" s="32"/>
    </row>
    <row r="142" spans="1:20" x14ac:dyDescent="0.3">
      <c r="A142" s="9">
        <v>141</v>
      </c>
      <c r="B142" s="21">
        <v>44440.42528935185</v>
      </c>
      <c r="C142" s="11" t="s">
        <v>152</v>
      </c>
      <c r="D142" s="11" t="str">
        <f>IF(ISNUMBER(SEARCH("OSBC", C142)), "GOVT", "RETAIL")</f>
        <v>RETAIL</v>
      </c>
      <c r="E142" s="12">
        <v>116921.11</v>
      </c>
      <c r="F142" s="12">
        <v>0</v>
      </c>
      <c r="G142" s="11">
        <v>0</v>
      </c>
      <c r="H142" s="11">
        <v>104.49</v>
      </c>
      <c r="I142" s="12">
        <v>85238.09</v>
      </c>
      <c r="J142" s="12">
        <v>29833.33</v>
      </c>
      <c r="K142" s="12">
        <v>1151</v>
      </c>
      <c r="L142" s="12">
        <v>116222.42</v>
      </c>
      <c r="M142" s="13">
        <v>698.69</v>
      </c>
      <c r="N142">
        <f>YEAR(B142)</f>
        <v>2021</v>
      </c>
      <c r="O142" s="24">
        <f>IFERROR(J142/$I142,0)</f>
        <v>0.34999998240223357</v>
      </c>
      <c r="P142" s="24">
        <f>IFERROR(K142/$I142,0)</f>
        <v>1.350335278512224E-2</v>
      </c>
      <c r="Q142" s="24" t="str">
        <f>IF($G142&lt;&gt;0,"Beer",IF($H142&lt;&gt;0,"Liquor","-"))</f>
        <v>Liquor</v>
      </c>
      <c r="R142" s="26">
        <f>IF($G142&lt;&gt;0,$G142,IF($H142&lt;&gt;0,$H142/0.75,0))</f>
        <v>139.32</v>
      </c>
      <c r="S142" s="32" t="b">
        <f>ISNUMBER(R142)</f>
        <v>1</v>
      </c>
      <c r="T142" s="32"/>
    </row>
    <row r="143" spans="1:20" x14ac:dyDescent="0.3">
      <c r="A143" s="9">
        <v>142</v>
      </c>
      <c r="B143" s="21">
        <v>44442.392094907409</v>
      </c>
      <c r="C143" s="11" t="s">
        <v>153</v>
      </c>
      <c r="D143" s="11" t="str">
        <f>IF(ISNUMBER(SEARCH("OSBC", C143)), "GOVT", "RETAIL")</f>
        <v>GOVT</v>
      </c>
      <c r="E143" s="12">
        <v>698.69</v>
      </c>
      <c r="F143" s="12">
        <v>134000</v>
      </c>
      <c r="G143" s="11">
        <v>0</v>
      </c>
      <c r="H143" s="11">
        <v>0</v>
      </c>
      <c r="I143" s="12">
        <v>0</v>
      </c>
      <c r="J143" s="12">
        <v>0</v>
      </c>
      <c r="K143" s="12">
        <v>0</v>
      </c>
      <c r="L143" s="12">
        <v>0</v>
      </c>
      <c r="M143" s="13">
        <v>134698.69</v>
      </c>
      <c r="N143">
        <f>YEAR(B143)</f>
        <v>2021</v>
      </c>
      <c r="O143" s="24">
        <f>IFERROR(J143/$I143,0)</f>
        <v>0</v>
      </c>
      <c r="P143" s="24">
        <f>IFERROR(K143/$I143,0)</f>
        <v>0</v>
      </c>
      <c r="Q143" s="24" t="str">
        <f>IF($G143&lt;&gt;0,"Beer",IF($H143&lt;&gt;0,"Liquor","-"))</f>
        <v>-</v>
      </c>
      <c r="R143" s="26">
        <f>IF($G143&lt;&gt;0,$G143,IF($H143&lt;&gt;0,$H143/0.75,0))</f>
        <v>0</v>
      </c>
      <c r="S143" s="32" t="b">
        <f>ISNUMBER(R143)</f>
        <v>1</v>
      </c>
      <c r="T143" s="32"/>
    </row>
    <row r="144" spans="1:20" x14ac:dyDescent="0.3">
      <c r="A144" s="9">
        <v>143</v>
      </c>
      <c r="B144" s="21">
        <v>44442.432800925926</v>
      </c>
      <c r="C144" s="11" t="s">
        <v>154</v>
      </c>
      <c r="D144" s="11" t="str">
        <f>IF(ISNUMBER(SEARCH("OSBC", C144)), "GOVT", "RETAIL")</f>
        <v>RETAIL</v>
      </c>
      <c r="E144" s="12">
        <v>134698.69</v>
      </c>
      <c r="F144" s="12">
        <v>0</v>
      </c>
      <c r="G144" s="11">
        <v>0</v>
      </c>
      <c r="H144" s="11">
        <v>124.74</v>
      </c>
      <c r="I144" s="12">
        <v>98412.69</v>
      </c>
      <c r="J144" s="12">
        <v>34444.44</v>
      </c>
      <c r="K144" s="12">
        <v>1329</v>
      </c>
      <c r="L144" s="12">
        <v>134186.13</v>
      </c>
      <c r="M144" s="13">
        <v>512.55999999999995</v>
      </c>
      <c r="N144">
        <f>YEAR(B144)</f>
        <v>2021</v>
      </c>
      <c r="O144" s="24">
        <f>IFERROR(J144/$I144,0)</f>
        <v>0.34999998475806321</v>
      </c>
      <c r="P144" s="24">
        <f>IFERROR(K144/$I144,0)</f>
        <v>1.3504355993114302E-2</v>
      </c>
      <c r="Q144" s="24" t="str">
        <f>IF($G144&lt;&gt;0,"Beer",IF($H144&lt;&gt;0,"Liquor","-"))</f>
        <v>Liquor</v>
      </c>
      <c r="R144" s="26">
        <f>IF($G144&lt;&gt;0,$G144,IF($H144&lt;&gt;0,$H144/0.75,0))</f>
        <v>166.32</v>
      </c>
      <c r="S144" s="32" t="b">
        <f>ISNUMBER(R144)</f>
        <v>1</v>
      </c>
      <c r="T144" s="32"/>
    </row>
    <row r="145" spans="1:20" x14ac:dyDescent="0.3">
      <c r="A145" s="9">
        <v>144</v>
      </c>
      <c r="B145" s="21">
        <v>44445.410011574073</v>
      </c>
      <c r="C145" s="11" t="s">
        <v>155</v>
      </c>
      <c r="D145" s="11" t="str">
        <f>IF(ISNUMBER(SEARCH("OSBC", C145)), "GOVT", "RETAIL")</f>
        <v>GOVT</v>
      </c>
      <c r="E145" s="12">
        <v>512.55999999999995</v>
      </c>
      <c r="F145" s="12">
        <v>130000</v>
      </c>
      <c r="G145" s="11">
        <v>0</v>
      </c>
      <c r="H145" s="11">
        <v>0</v>
      </c>
      <c r="I145" s="12">
        <v>0</v>
      </c>
      <c r="J145" s="12">
        <v>0</v>
      </c>
      <c r="K145" s="12">
        <v>0</v>
      </c>
      <c r="L145" s="12">
        <v>0</v>
      </c>
      <c r="M145" s="13">
        <v>130512.56</v>
      </c>
      <c r="N145">
        <f>YEAR(B145)</f>
        <v>2021</v>
      </c>
      <c r="O145" s="24">
        <f>IFERROR(J145/$I145,0)</f>
        <v>0</v>
      </c>
      <c r="P145" s="24">
        <f>IFERROR(K145/$I145,0)</f>
        <v>0</v>
      </c>
      <c r="Q145" s="24" t="str">
        <f>IF($G145&lt;&gt;0,"Beer",IF($H145&lt;&gt;0,"Liquor","-"))</f>
        <v>-</v>
      </c>
      <c r="R145" s="26">
        <f>IF($G145&lt;&gt;0,$G145,IF($H145&lt;&gt;0,$H145/0.75,0))</f>
        <v>0</v>
      </c>
      <c r="S145" s="32" t="b">
        <f>ISNUMBER(R145)</f>
        <v>1</v>
      </c>
      <c r="T145" s="32"/>
    </row>
    <row r="146" spans="1:20" x14ac:dyDescent="0.3">
      <c r="A146" s="9">
        <v>145</v>
      </c>
      <c r="B146" s="21">
        <v>44445.447812500002</v>
      </c>
      <c r="C146" s="11" t="s">
        <v>156</v>
      </c>
      <c r="D146" s="11" t="str">
        <f>IF(ISNUMBER(SEARCH("OSBC", C146)), "GOVT", "RETAIL")</f>
        <v>RETAIL</v>
      </c>
      <c r="E146" s="12">
        <v>130512.56</v>
      </c>
      <c r="F146" s="12">
        <v>0</v>
      </c>
      <c r="G146" s="11">
        <v>0</v>
      </c>
      <c r="H146" s="11">
        <v>98.28</v>
      </c>
      <c r="I146" s="12">
        <v>82539.679999999993</v>
      </c>
      <c r="J146" s="12">
        <v>28888.89</v>
      </c>
      <c r="K146" s="12">
        <v>1114</v>
      </c>
      <c r="L146" s="12">
        <v>112542.57</v>
      </c>
      <c r="M146" s="13">
        <v>17969.990000000002</v>
      </c>
      <c r="N146">
        <f>YEAR(B146)</f>
        <v>2021</v>
      </c>
      <c r="O146" s="24">
        <f>IFERROR(J146/$I146,0)</f>
        <v>0.35000002423076998</v>
      </c>
      <c r="P146" s="24">
        <f>IFERROR(K146/$I146,0)</f>
        <v>1.3496538876816582E-2</v>
      </c>
      <c r="Q146" s="24" t="str">
        <f>IF($G146&lt;&gt;0,"Beer",IF($H146&lt;&gt;0,"Liquor","-"))</f>
        <v>Liquor</v>
      </c>
      <c r="R146" s="26">
        <f>IF($G146&lt;&gt;0,$G146,IF($H146&lt;&gt;0,$H146/0.75,0))</f>
        <v>131.04</v>
      </c>
      <c r="S146" s="32" t="b">
        <f>ISNUMBER(R146)</f>
        <v>1</v>
      </c>
      <c r="T146" s="32"/>
    </row>
    <row r="147" spans="1:20" x14ac:dyDescent="0.3">
      <c r="A147" s="9">
        <v>146</v>
      </c>
      <c r="B147" s="21">
        <v>44445.448321759257</v>
      </c>
      <c r="C147" s="11" t="s">
        <v>157</v>
      </c>
      <c r="D147" s="11" t="str">
        <f>IF(ISNUMBER(SEARCH("OSBC", C147)), "GOVT", "RETAIL")</f>
        <v>RETAIL</v>
      </c>
      <c r="E147" s="12">
        <v>17969.990000000002</v>
      </c>
      <c r="F147" s="12">
        <v>0</v>
      </c>
      <c r="G147" s="11">
        <v>82.2</v>
      </c>
      <c r="H147" s="11">
        <v>0</v>
      </c>
      <c r="I147" s="12">
        <v>13015.87</v>
      </c>
      <c r="J147" s="12">
        <v>4555.55</v>
      </c>
      <c r="K147" s="12">
        <v>176</v>
      </c>
      <c r="L147" s="12">
        <v>17747.419999999998</v>
      </c>
      <c r="M147" s="13">
        <v>222.57</v>
      </c>
      <c r="N147">
        <f>YEAR(B147)</f>
        <v>2021</v>
      </c>
      <c r="O147" s="24">
        <f>IFERROR(J147/$I147,0)</f>
        <v>0.34999965426821256</v>
      </c>
      <c r="P147" s="24">
        <f>IFERROR(K147/$I147,0)</f>
        <v>1.3521954352647959E-2</v>
      </c>
      <c r="Q147" s="24" t="str">
        <f>IF($G147&lt;&gt;0,"Beer",IF($H147&lt;&gt;0,"Liquor","-"))</f>
        <v>Beer</v>
      </c>
      <c r="R147" s="26">
        <f>IF($G147&lt;&gt;0,$G147,IF($H147&lt;&gt;0,$H147/0.75,0))</f>
        <v>82.2</v>
      </c>
      <c r="S147" s="32" t="b">
        <f>ISNUMBER(R147)</f>
        <v>1</v>
      </c>
      <c r="T147" s="32"/>
    </row>
    <row r="148" spans="1:20" x14ac:dyDescent="0.3">
      <c r="A148" s="9">
        <v>147</v>
      </c>
      <c r="B148" s="21">
        <v>44450.037280092591</v>
      </c>
      <c r="C148" s="11" t="s">
        <v>158</v>
      </c>
      <c r="D148" s="11" t="str">
        <f>IF(ISNUMBER(SEARCH("OSBC", C148)), "GOVT", "RETAIL")</f>
        <v>GOVT</v>
      </c>
      <c r="E148" s="12">
        <v>222.57</v>
      </c>
      <c r="F148" s="12">
        <v>191000</v>
      </c>
      <c r="G148" s="11">
        <v>0</v>
      </c>
      <c r="H148" s="11">
        <v>0</v>
      </c>
      <c r="I148" s="12">
        <v>0</v>
      </c>
      <c r="J148" s="12">
        <v>0</v>
      </c>
      <c r="K148" s="12">
        <v>0</v>
      </c>
      <c r="L148" s="12">
        <v>0</v>
      </c>
      <c r="M148" s="13">
        <v>191222.57</v>
      </c>
      <c r="N148">
        <f>YEAR(B148)</f>
        <v>2021</v>
      </c>
      <c r="O148" s="24">
        <f>IFERROR(J148/$I148,0)</f>
        <v>0</v>
      </c>
      <c r="P148" s="24">
        <f>IFERROR(K148/$I148,0)</f>
        <v>0</v>
      </c>
      <c r="Q148" s="24" t="str">
        <f>IF($G148&lt;&gt;0,"Beer",IF($H148&lt;&gt;0,"Liquor","-"))</f>
        <v>-</v>
      </c>
      <c r="R148" s="26">
        <f>IF($G148&lt;&gt;0,$G148,IF($H148&lt;&gt;0,$H148/0.75,0))</f>
        <v>0</v>
      </c>
      <c r="S148" s="32" t="b">
        <f>ISNUMBER(R148)</f>
        <v>1</v>
      </c>
      <c r="T148" s="32"/>
    </row>
    <row r="149" spans="1:20" x14ac:dyDescent="0.3">
      <c r="A149" s="9">
        <v>148</v>
      </c>
      <c r="B149" s="21">
        <v>44450.421712962961</v>
      </c>
      <c r="C149" s="11" t="s">
        <v>159</v>
      </c>
      <c r="D149" s="11" t="str">
        <f>IF(ISNUMBER(SEARCH("OSBC", C149)), "GOVT", "RETAIL")</f>
        <v>RETAIL</v>
      </c>
      <c r="E149" s="12">
        <v>191222.57</v>
      </c>
      <c r="F149" s="12">
        <v>0</v>
      </c>
      <c r="G149" s="11">
        <v>0</v>
      </c>
      <c r="H149" s="11">
        <v>144.72</v>
      </c>
      <c r="I149" s="12">
        <v>117460.31</v>
      </c>
      <c r="J149" s="12">
        <v>41111.11</v>
      </c>
      <c r="K149" s="12">
        <v>1586</v>
      </c>
      <c r="L149" s="12">
        <v>160157.42000000001</v>
      </c>
      <c r="M149" s="13">
        <v>31065.15</v>
      </c>
      <c r="N149">
        <f>YEAR(B149)</f>
        <v>2021</v>
      </c>
      <c r="O149" s="24">
        <f>IFERROR(J149/$I149,0)</f>
        <v>0.3500000127702711</v>
      </c>
      <c r="P149" s="24">
        <f>IFERROR(K149/$I149,0)</f>
        <v>1.3502433290019412E-2</v>
      </c>
      <c r="Q149" s="24" t="str">
        <f>IF($G149&lt;&gt;0,"Beer",IF($H149&lt;&gt;0,"Liquor","-"))</f>
        <v>Liquor</v>
      </c>
      <c r="R149" s="26">
        <f>IF($G149&lt;&gt;0,$G149,IF($H149&lt;&gt;0,$H149/0.75,0))</f>
        <v>192.96</v>
      </c>
      <c r="S149" s="32" t="b">
        <f>ISNUMBER(R149)</f>
        <v>1</v>
      </c>
      <c r="T149" s="32"/>
    </row>
    <row r="150" spans="1:20" x14ac:dyDescent="0.3">
      <c r="A150" s="9">
        <v>149</v>
      </c>
      <c r="B150" s="21">
        <v>44450.422615740739</v>
      </c>
      <c r="C150" s="11" t="s">
        <v>160</v>
      </c>
      <c r="D150" s="11" t="str">
        <f>IF(ISNUMBER(SEARCH("OSBC", C150)), "GOVT", "RETAIL")</f>
        <v>RETAIL</v>
      </c>
      <c r="E150" s="12">
        <v>31065.15</v>
      </c>
      <c r="F150" s="12">
        <v>0</v>
      </c>
      <c r="G150" s="11">
        <v>141.6</v>
      </c>
      <c r="H150" s="11">
        <v>0</v>
      </c>
      <c r="I150" s="12">
        <v>22380.94</v>
      </c>
      <c r="J150" s="12">
        <v>7833.33</v>
      </c>
      <c r="K150" s="12">
        <v>302</v>
      </c>
      <c r="L150" s="12">
        <v>30516.27</v>
      </c>
      <c r="M150" s="13">
        <v>548.88</v>
      </c>
      <c r="N150">
        <f>YEAR(B150)</f>
        <v>2021</v>
      </c>
      <c r="O150" s="24">
        <f>IFERROR(J150/$I150,0)</f>
        <v>0.35000004468087581</v>
      </c>
      <c r="P150" s="24">
        <f>IFERROR(K150/$I150,0)</f>
        <v>1.3493624485834823E-2</v>
      </c>
      <c r="Q150" s="24" t="str">
        <f>IF($G150&lt;&gt;0,"Beer",IF($H150&lt;&gt;0,"Liquor","-"))</f>
        <v>Beer</v>
      </c>
      <c r="R150" s="26">
        <f>IF($G150&lt;&gt;0,$G150,IF($H150&lt;&gt;0,$H150/0.75,0))</f>
        <v>141.6</v>
      </c>
      <c r="S150" s="32" t="b">
        <f>ISNUMBER(R150)</f>
        <v>1</v>
      </c>
      <c r="T150" s="32"/>
    </row>
    <row r="151" spans="1:20" x14ac:dyDescent="0.3">
      <c r="A151" s="9">
        <v>150</v>
      </c>
      <c r="B151" s="21">
        <v>44453.387627314813</v>
      </c>
      <c r="C151" s="11" t="s">
        <v>161</v>
      </c>
      <c r="D151" s="11" t="str">
        <f>IF(ISNUMBER(SEARCH("OSBC", C151)), "GOVT", "RETAIL")</f>
        <v>GOVT</v>
      </c>
      <c r="E151" s="12">
        <v>548.88</v>
      </c>
      <c r="F151" s="12">
        <v>111000</v>
      </c>
      <c r="G151" s="11">
        <v>0</v>
      </c>
      <c r="H151" s="11">
        <v>0</v>
      </c>
      <c r="I151" s="12">
        <v>0</v>
      </c>
      <c r="J151" s="12">
        <v>0</v>
      </c>
      <c r="K151" s="12">
        <v>0</v>
      </c>
      <c r="L151" s="12">
        <v>0</v>
      </c>
      <c r="M151" s="13">
        <v>111548.88</v>
      </c>
      <c r="N151">
        <f>YEAR(B151)</f>
        <v>2021</v>
      </c>
      <c r="O151" s="24">
        <f>IFERROR(J151/$I151,0)</f>
        <v>0</v>
      </c>
      <c r="P151" s="24">
        <f>IFERROR(K151/$I151,0)</f>
        <v>0</v>
      </c>
      <c r="Q151" s="24" t="str">
        <f>IF($G151&lt;&gt;0,"Beer",IF($H151&lt;&gt;0,"Liquor","-"))</f>
        <v>-</v>
      </c>
      <c r="R151" s="26">
        <f>IF($G151&lt;&gt;0,$G151,IF($H151&lt;&gt;0,$H151/0.75,0))</f>
        <v>0</v>
      </c>
      <c r="S151" s="32" t="b">
        <f>ISNUMBER(R151)</f>
        <v>1</v>
      </c>
      <c r="T151" s="32"/>
    </row>
    <row r="152" spans="1:20" x14ac:dyDescent="0.3">
      <c r="A152" s="9">
        <v>151</v>
      </c>
      <c r="B152" s="21">
        <v>44453.43068287037</v>
      </c>
      <c r="C152" s="11" t="s">
        <v>162</v>
      </c>
      <c r="D152" s="11" t="str">
        <f>IF(ISNUMBER(SEARCH("OSBC", C152)), "GOVT", "RETAIL")</f>
        <v>RETAIL</v>
      </c>
      <c r="E152" s="12">
        <v>111548.88</v>
      </c>
      <c r="F152" s="12">
        <v>0</v>
      </c>
      <c r="G152" s="11">
        <v>0</v>
      </c>
      <c r="H152" s="11">
        <v>91.53</v>
      </c>
      <c r="I152" s="12">
        <v>79523.81</v>
      </c>
      <c r="J152" s="12">
        <v>27833.33</v>
      </c>
      <c r="K152" s="12">
        <v>1074</v>
      </c>
      <c r="L152" s="12">
        <v>108431.14</v>
      </c>
      <c r="M152" s="13">
        <v>3117.74</v>
      </c>
      <c r="N152">
        <f>YEAR(B152)</f>
        <v>2021</v>
      </c>
      <c r="O152" s="24">
        <f>IFERROR(J152/$I152,0)</f>
        <v>0.34999995598802425</v>
      </c>
      <c r="P152" s="24">
        <f>IFERROR(K152/$I152,0)</f>
        <v>1.3505389140686294E-2</v>
      </c>
      <c r="Q152" s="24" t="str">
        <f>IF($G152&lt;&gt;0,"Beer",IF($H152&lt;&gt;0,"Liquor","-"))</f>
        <v>Liquor</v>
      </c>
      <c r="R152" s="26">
        <f>IF($G152&lt;&gt;0,$G152,IF($H152&lt;&gt;0,$H152/0.75,0))</f>
        <v>122.04</v>
      </c>
      <c r="S152" s="32" t="b">
        <f>ISNUMBER(R152)</f>
        <v>1</v>
      </c>
      <c r="T152" s="32"/>
    </row>
    <row r="153" spans="1:20" x14ac:dyDescent="0.3">
      <c r="A153" s="9">
        <v>152</v>
      </c>
      <c r="B153" s="21">
        <v>44457.336712962962</v>
      </c>
      <c r="C153" s="11" t="s">
        <v>163</v>
      </c>
      <c r="D153" s="11" t="str">
        <f>IF(ISNUMBER(SEARCH("OSBC", C153)), "GOVT", "RETAIL")</f>
        <v>GOVT</v>
      </c>
      <c r="E153" s="12">
        <v>3117.74</v>
      </c>
      <c r="F153" s="12">
        <v>132000</v>
      </c>
      <c r="G153" s="11">
        <v>0</v>
      </c>
      <c r="H153" s="11">
        <v>0</v>
      </c>
      <c r="I153" s="12">
        <v>0</v>
      </c>
      <c r="J153" s="12">
        <v>0</v>
      </c>
      <c r="K153" s="12">
        <v>0</v>
      </c>
      <c r="L153" s="12">
        <v>0</v>
      </c>
      <c r="M153" s="13">
        <v>135117.74</v>
      </c>
      <c r="N153">
        <f>YEAR(B153)</f>
        <v>2021</v>
      </c>
      <c r="O153" s="24">
        <f>IFERROR(J153/$I153,0)</f>
        <v>0</v>
      </c>
      <c r="P153" s="24">
        <f>IFERROR(K153/$I153,0)</f>
        <v>0</v>
      </c>
      <c r="Q153" s="24" t="str">
        <f>IF($G153&lt;&gt;0,"Beer",IF($H153&lt;&gt;0,"Liquor","-"))</f>
        <v>-</v>
      </c>
      <c r="R153" s="26">
        <f>IF($G153&lt;&gt;0,$G153,IF($H153&lt;&gt;0,$H153/0.75,0))</f>
        <v>0</v>
      </c>
      <c r="S153" s="32" t="b">
        <f>ISNUMBER(R153)</f>
        <v>1</v>
      </c>
      <c r="T153" s="32"/>
    </row>
    <row r="154" spans="1:20" x14ac:dyDescent="0.3">
      <c r="A154" s="9">
        <v>153</v>
      </c>
      <c r="B154" s="21">
        <v>44457.417002314818</v>
      </c>
      <c r="C154" s="11" t="s">
        <v>164</v>
      </c>
      <c r="D154" s="11" t="str">
        <f>IF(ISNUMBER(SEARCH("OSBC", C154)), "GOVT", "RETAIL")</f>
        <v>RETAIL</v>
      </c>
      <c r="E154" s="12">
        <v>135117.74</v>
      </c>
      <c r="F154" s="12">
        <v>0</v>
      </c>
      <c r="G154" s="11">
        <v>0</v>
      </c>
      <c r="H154" s="11">
        <v>97.74</v>
      </c>
      <c r="I154" s="12">
        <v>81587.31</v>
      </c>
      <c r="J154" s="12">
        <v>28555.56</v>
      </c>
      <c r="K154" s="12">
        <v>1101</v>
      </c>
      <c r="L154" s="12">
        <v>111243.87</v>
      </c>
      <c r="M154" s="13">
        <v>23873.87</v>
      </c>
      <c r="N154">
        <f>YEAR(B154)</f>
        <v>2021</v>
      </c>
      <c r="O154" s="24">
        <f>IFERROR(J154/$I154,0)</f>
        <v>0.35000001838521216</v>
      </c>
      <c r="P154" s="24">
        <f>IFERROR(K154/$I154,0)</f>
        <v>1.3494745690230504E-2</v>
      </c>
      <c r="Q154" s="24" t="str">
        <f>IF($G154&lt;&gt;0,"Beer",IF($H154&lt;&gt;0,"Liquor","-"))</f>
        <v>Liquor</v>
      </c>
      <c r="R154" s="26">
        <f>IF($G154&lt;&gt;0,$G154,IF($H154&lt;&gt;0,$H154/0.75,0))</f>
        <v>130.32</v>
      </c>
      <c r="S154" s="32" t="b">
        <f>ISNUMBER(R154)</f>
        <v>1</v>
      </c>
      <c r="T154" s="32"/>
    </row>
    <row r="155" spans="1:20" x14ac:dyDescent="0.3">
      <c r="A155" s="9">
        <v>154</v>
      </c>
      <c r="B155" s="21">
        <v>44457.417280092595</v>
      </c>
      <c r="C155" s="11" t="s">
        <v>165</v>
      </c>
      <c r="D155" s="11" t="str">
        <f>IF(ISNUMBER(SEARCH("OSBC", C155)), "GOVT", "RETAIL")</f>
        <v>RETAIL</v>
      </c>
      <c r="E155" s="12">
        <v>23873.87</v>
      </c>
      <c r="F155" s="12">
        <v>0</v>
      </c>
      <c r="G155" s="11">
        <v>114</v>
      </c>
      <c r="H155" s="11">
        <v>0</v>
      </c>
      <c r="I155" s="12">
        <v>17380.939999999999</v>
      </c>
      <c r="J155" s="12">
        <v>6083.33</v>
      </c>
      <c r="K155" s="12">
        <v>235</v>
      </c>
      <c r="L155" s="12">
        <v>23699.27</v>
      </c>
      <c r="M155" s="13">
        <v>174.6</v>
      </c>
      <c r="N155">
        <f>YEAR(B155)</f>
        <v>2021</v>
      </c>
      <c r="O155" s="24">
        <f>IFERROR(J155/$I155,0)</f>
        <v>0.35000005753428759</v>
      </c>
      <c r="P155" s="24">
        <f>IFERROR(K155/$I155,0)</f>
        <v>1.352055757628759E-2</v>
      </c>
      <c r="Q155" s="24" t="str">
        <f>IF($G155&lt;&gt;0,"Beer",IF($H155&lt;&gt;0,"Liquor","-"))</f>
        <v>Beer</v>
      </c>
      <c r="R155" s="26">
        <f>IF($G155&lt;&gt;0,$G155,IF($H155&lt;&gt;0,$H155/0.75,0))</f>
        <v>114</v>
      </c>
      <c r="S155" s="32" t="b">
        <f>ISNUMBER(R155)</f>
        <v>1</v>
      </c>
      <c r="T155" s="32"/>
    </row>
    <row r="156" spans="1:20" x14ac:dyDescent="0.3">
      <c r="A156" s="9">
        <v>155</v>
      </c>
      <c r="B156" s="21">
        <v>44460.315960648149</v>
      </c>
      <c r="C156" s="11" t="s">
        <v>166</v>
      </c>
      <c r="D156" s="11" t="str">
        <f>IF(ISNUMBER(SEARCH("OSBC", C156)), "GOVT", "RETAIL")</f>
        <v>GOVT</v>
      </c>
      <c r="E156" s="12">
        <v>174.6</v>
      </c>
      <c r="F156" s="12">
        <v>217600</v>
      </c>
      <c r="G156" s="11">
        <v>0</v>
      </c>
      <c r="H156" s="11">
        <v>0</v>
      </c>
      <c r="I156" s="12">
        <v>0</v>
      </c>
      <c r="J156" s="12">
        <v>0</v>
      </c>
      <c r="K156" s="12">
        <v>0</v>
      </c>
      <c r="L156" s="12">
        <v>0</v>
      </c>
      <c r="M156" s="13">
        <v>217774.6</v>
      </c>
      <c r="N156">
        <f>YEAR(B156)</f>
        <v>2021</v>
      </c>
      <c r="O156" s="24">
        <f>IFERROR(J156/$I156,0)</f>
        <v>0</v>
      </c>
      <c r="P156" s="24">
        <f>IFERROR(K156/$I156,0)</f>
        <v>0</v>
      </c>
      <c r="Q156" s="24" t="str">
        <f>IF($G156&lt;&gt;0,"Beer",IF($H156&lt;&gt;0,"Liquor","-"))</f>
        <v>-</v>
      </c>
      <c r="R156" s="26">
        <f>IF($G156&lt;&gt;0,$G156,IF($H156&lt;&gt;0,$H156/0.75,0))</f>
        <v>0</v>
      </c>
      <c r="S156" s="32" t="b">
        <f>ISNUMBER(R156)</f>
        <v>1</v>
      </c>
      <c r="T156" s="32"/>
    </row>
    <row r="157" spans="1:20" x14ac:dyDescent="0.3">
      <c r="A157" s="9">
        <v>156</v>
      </c>
      <c r="B157" s="21">
        <v>44460.431851851848</v>
      </c>
      <c r="C157" s="11" t="s">
        <v>167</v>
      </c>
      <c r="D157" s="11" t="str">
        <f>IF(ISNUMBER(SEARCH("OSBC", C157)), "GOVT", "RETAIL")</f>
        <v>RETAIL</v>
      </c>
      <c r="E157" s="12">
        <v>217774.6</v>
      </c>
      <c r="F157" s="12">
        <v>0</v>
      </c>
      <c r="G157" s="11">
        <v>149.4</v>
      </c>
      <c r="H157" s="11">
        <v>0</v>
      </c>
      <c r="I157" s="12">
        <v>23412.69</v>
      </c>
      <c r="J157" s="12">
        <v>8194.44</v>
      </c>
      <c r="K157" s="12">
        <v>316</v>
      </c>
      <c r="L157" s="12">
        <v>31923.13</v>
      </c>
      <c r="M157" s="13">
        <v>185851.47</v>
      </c>
      <c r="N157">
        <f>YEAR(B157)</f>
        <v>2021</v>
      </c>
      <c r="O157" s="24">
        <f>IFERROR(J157/$I157,0)</f>
        <v>0.34999993593218043</v>
      </c>
      <c r="P157" s="24">
        <f>IFERROR(K157/$I157,0)</f>
        <v>1.3496954002295338E-2</v>
      </c>
      <c r="Q157" s="24" t="str">
        <f>IF($G157&lt;&gt;0,"Beer",IF($H157&lt;&gt;0,"Liquor","-"))</f>
        <v>Beer</v>
      </c>
      <c r="R157" s="26">
        <f>IF($G157&lt;&gt;0,$G157,IF($H157&lt;&gt;0,$H157/0.75,0))</f>
        <v>149.4</v>
      </c>
      <c r="S157" s="32" t="b">
        <f>ISNUMBER(R157)</f>
        <v>1</v>
      </c>
      <c r="T157" s="32"/>
    </row>
    <row r="158" spans="1:20" x14ac:dyDescent="0.3">
      <c r="A158" s="9">
        <v>157</v>
      </c>
      <c r="B158" s="21">
        <v>44460.432476851849</v>
      </c>
      <c r="C158" s="11" t="s">
        <v>168</v>
      </c>
      <c r="D158" s="11" t="str">
        <f>IF(ISNUMBER(SEARCH("OSBC", C158)), "GOVT", "RETAIL")</f>
        <v>RETAIL</v>
      </c>
      <c r="E158" s="12">
        <v>185851.47</v>
      </c>
      <c r="F158" s="12">
        <v>0</v>
      </c>
      <c r="G158" s="11">
        <v>0</v>
      </c>
      <c r="H158" s="11">
        <v>171.18</v>
      </c>
      <c r="I158" s="12">
        <v>135317.46</v>
      </c>
      <c r="J158" s="12">
        <v>47361.11</v>
      </c>
      <c r="K158" s="12">
        <v>1827</v>
      </c>
      <c r="L158" s="12">
        <v>184505.57</v>
      </c>
      <c r="M158" s="13">
        <v>1345.9</v>
      </c>
      <c r="N158">
        <f>YEAR(B158)</f>
        <v>2021</v>
      </c>
      <c r="O158" s="24">
        <f>IFERROR(J158/$I158,0)</f>
        <v>0.34999999260997067</v>
      </c>
      <c r="P158" s="24">
        <f>IFERROR(K158/$I158,0)</f>
        <v>1.350158360938788E-2</v>
      </c>
      <c r="Q158" s="24" t="str">
        <f>IF($G158&lt;&gt;0,"Beer",IF($H158&lt;&gt;0,"Liquor","-"))</f>
        <v>Liquor</v>
      </c>
      <c r="R158" s="26">
        <f>IF($G158&lt;&gt;0,$G158,IF($H158&lt;&gt;0,$H158/0.75,0))</f>
        <v>228.24</v>
      </c>
      <c r="S158" s="32" t="b">
        <f>ISNUMBER(R158)</f>
        <v>1</v>
      </c>
      <c r="T158" s="32"/>
    </row>
    <row r="159" spans="1:20" x14ac:dyDescent="0.3">
      <c r="A159" s="9">
        <v>158</v>
      </c>
      <c r="B159" s="21">
        <v>44464.307974537034</v>
      </c>
      <c r="C159" s="11" t="s">
        <v>169</v>
      </c>
      <c r="D159" s="11" t="str">
        <f>IF(ISNUMBER(SEARCH("OSBC", C159)), "GOVT", "RETAIL")</f>
        <v>GOVT</v>
      </c>
      <c r="E159" s="12">
        <v>1345.9</v>
      </c>
      <c r="F159" s="12">
        <v>150500</v>
      </c>
      <c r="G159" s="11">
        <v>0</v>
      </c>
      <c r="H159" s="11">
        <v>0</v>
      </c>
      <c r="I159" s="12">
        <v>0</v>
      </c>
      <c r="J159" s="12">
        <v>0</v>
      </c>
      <c r="K159" s="12">
        <v>0</v>
      </c>
      <c r="L159" s="12">
        <v>0</v>
      </c>
      <c r="M159" s="13">
        <v>151845.9</v>
      </c>
      <c r="N159">
        <f>YEAR(B159)</f>
        <v>2021</v>
      </c>
      <c r="O159" s="24">
        <f>IFERROR(J159/$I159,0)</f>
        <v>0</v>
      </c>
      <c r="P159" s="24">
        <f>IFERROR(K159/$I159,0)</f>
        <v>0</v>
      </c>
      <c r="Q159" s="24" t="str">
        <f>IF($G159&lt;&gt;0,"Beer",IF($H159&lt;&gt;0,"Liquor","-"))</f>
        <v>-</v>
      </c>
      <c r="R159" s="26">
        <f>IF($G159&lt;&gt;0,$G159,IF($H159&lt;&gt;0,$H159/0.75,0))</f>
        <v>0</v>
      </c>
      <c r="S159" s="32" t="b">
        <f>ISNUMBER(R159)</f>
        <v>1</v>
      </c>
      <c r="T159" s="32"/>
    </row>
    <row r="160" spans="1:20" x14ac:dyDescent="0.3">
      <c r="A160" s="9">
        <v>159</v>
      </c>
      <c r="B160" s="21">
        <v>44464.431689814817</v>
      </c>
      <c r="C160" s="11" t="s">
        <v>170</v>
      </c>
      <c r="D160" s="11" t="str">
        <f>IF(ISNUMBER(SEARCH("OSBC", C160)), "GOVT", "RETAIL")</f>
        <v>RETAIL</v>
      </c>
      <c r="E160" s="12">
        <v>151845.9</v>
      </c>
      <c r="F160" s="12">
        <v>0</v>
      </c>
      <c r="G160" s="11">
        <v>86.4</v>
      </c>
      <c r="H160" s="11">
        <v>0</v>
      </c>
      <c r="I160" s="12">
        <v>13809.52</v>
      </c>
      <c r="J160" s="12">
        <v>4833.33</v>
      </c>
      <c r="K160" s="12">
        <v>186</v>
      </c>
      <c r="L160" s="12">
        <v>18828.849999999999</v>
      </c>
      <c r="M160" s="13">
        <v>133017.04999999999</v>
      </c>
      <c r="N160">
        <f>YEAR(B160)</f>
        <v>2021</v>
      </c>
      <c r="O160" s="24">
        <f>IFERROR(J160/$I160,0)</f>
        <v>0.34999985517237381</v>
      </c>
      <c r="P160" s="24">
        <f>IFERROR(K160/$I160,0)</f>
        <v>1.3468969232819098E-2</v>
      </c>
      <c r="Q160" s="24" t="str">
        <f>IF($G160&lt;&gt;0,"Beer",IF($H160&lt;&gt;0,"Liquor","-"))</f>
        <v>Beer</v>
      </c>
      <c r="R160" s="26">
        <f>IF($G160&lt;&gt;0,$G160,IF($H160&lt;&gt;0,$H160/0.75,0))</f>
        <v>86.4</v>
      </c>
      <c r="S160" s="32" t="b">
        <f>ISNUMBER(R160)</f>
        <v>1</v>
      </c>
      <c r="T160" s="32"/>
    </row>
    <row r="161" spans="1:20" x14ac:dyDescent="0.3">
      <c r="A161" s="9">
        <v>160</v>
      </c>
      <c r="B161" s="21">
        <v>44464.432233796295</v>
      </c>
      <c r="C161" s="11" t="s">
        <v>171</v>
      </c>
      <c r="D161" s="11" t="str">
        <f>IF(ISNUMBER(SEARCH("OSBC", C161)), "GOVT", "RETAIL")</f>
        <v>RETAIL</v>
      </c>
      <c r="E161" s="12">
        <v>133017.04999999999</v>
      </c>
      <c r="F161" s="12">
        <v>0</v>
      </c>
      <c r="G161" s="11">
        <v>0</v>
      </c>
      <c r="H161" s="11">
        <v>117.45</v>
      </c>
      <c r="I161" s="12">
        <v>97539.68</v>
      </c>
      <c r="J161" s="12">
        <v>34138.89</v>
      </c>
      <c r="K161" s="12">
        <v>1317</v>
      </c>
      <c r="L161" s="12">
        <v>132995.57</v>
      </c>
      <c r="M161" s="13">
        <v>21.48</v>
      </c>
      <c r="N161">
        <f>YEAR(B161)</f>
        <v>2021</v>
      </c>
      <c r="O161" s="24">
        <f>IFERROR(J161/$I161,0)</f>
        <v>0.35000002050447576</v>
      </c>
      <c r="P161" s="24">
        <f>IFERROR(K161/$I161,0)</f>
        <v>1.3502197259617831E-2</v>
      </c>
      <c r="Q161" s="24" t="str">
        <f>IF($G161&lt;&gt;0,"Beer",IF($H161&lt;&gt;0,"Liquor","-"))</f>
        <v>Liquor</v>
      </c>
      <c r="R161" s="26">
        <f>IF($G161&lt;&gt;0,$G161,IF($H161&lt;&gt;0,$H161/0.75,0))</f>
        <v>156.6</v>
      </c>
      <c r="S161" s="32" t="b">
        <f>ISNUMBER(R161)</f>
        <v>1</v>
      </c>
      <c r="T161" s="32"/>
    </row>
    <row r="162" spans="1:20" x14ac:dyDescent="0.3">
      <c r="A162" s="9">
        <v>161</v>
      </c>
      <c r="B162" s="21">
        <v>44468.997233796297</v>
      </c>
      <c r="C162" s="11" t="s">
        <v>172</v>
      </c>
      <c r="D162" s="11" t="str">
        <f>IF(ISNUMBER(SEARCH("OSBC", C162)), "GOVT", "RETAIL")</f>
        <v>GOVT</v>
      </c>
      <c r="E162" s="12">
        <v>21.48</v>
      </c>
      <c r="F162" s="12">
        <v>112500</v>
      </c>
      <c r="G162" s="11">
        <v>0</v>
      </c>
      <c r="H162" s="11">
        <v>0</v>
      </c>
      <c r="I162" s="12">
        <v>0</v>
      </c>
      <c r="J162" s="12">
        <v>0</v>
      </c>
      <c r="K162" s="12">
        <v>0</v>
      </c>
      <c r="L162" s="12">
        <v>0</v>
      </c>
      <c r="M162" s="13">
        <v>112521.48</v>
      </c>
      <c r="N162">
        <f>YEAR(B162)</f>
        <v>2021</v>
      </c>
      <c r="O162" s="24">
        <f>IFERROR(J162/$I162,0)</f>
        <v>0</v>
      </c>
      <c r="P162" s="24">
        <f>IFERROR(K162/$I162,0)</f>
        <v>0</v>
      </c>
      <c r="Q162" s="24" t="str">
        <f>IF($G162&lt;&gt;0,"Beer",IF($H162&lt;&gt;0,"Liquor","-"))</f>
        <v>-</v>
      </c>
      <c r="R162" s="26">
        <f>IF($G162&lt;&gt;0,$G162,IF($H162&lt;&gt;0,$H162/0.75,0))</f>
        <v>0</v>
      </c>
      <c r="S162" s="32" t="b">
        <f>ISNUMBER(R162)</f>
        <v>1</v>
      </c>
      <c r="T162" s="32"/>
    </row>
    <row r="163" spans="1:20" x14ac:dyDescent="0.3">
      <c r="A163" s="9">
        <v>162</v>
      </c>
      <c r="B163" s="21">
        <v>44469.418900462966</v>
      </c>
      <c r="C163" s="11" t="s">
        <v>173</v>
      </c>
      <c r="D163" s="11" t="str">
        <f>IF(ISNUMBER(SEARCH("OSBC", C163)), "GOVT", "RETAIL")</f>
        <v>RETAIL</v>
      </c>
      <c r="E163" s="12">
        <v>112521.48</v>
      </c>
      <c r="F163" s="12">
        <v>0</v>
      </c>
      <c r="G163" s="11">
        <v>0</v>
      </c>
      <c r="H163" s="11">
        <v>105.03</v>
      </c>
      <c r="I163" s="12">
        <v>81507.92</v>
      </c>
      <c r="J163" s="12">
        <v>28527.77</v>
      </c>
      <c r="K163" s="12">
        <v>1100</v>
      </c>
      <c r="L163" s="12">
        <v>111135.69</v>
      </c>
      <c r="M163" s="13">
        <v>1385.79</v>
      </c>
      <c r="N163">
        <f>YEAR(B163)</f>
        <v>2021</v>
      </c>
      <c r="O163" s="24">
        <f>IFERROR(J163/$I163,0)</f>
        <v>0.34999997546250722</v>
      </c>
      <c r="P163" s="24">
        <f>IFERROR(K163/$I163,0)</f>
        <v>1.3495621039035226E-2</v>
      </c>
      <c r="Q163" s="24" t="str">
        <f>IF($G163&lt;&gt;0,"Beer",IF($H163&lt;&gt;0,"Liquor","-"))</f>
        <v>Liquor</v>
      </c>
      <c r="R163" s="26">
        <f>IF($G163&lt;&gt;0,$G163,IF($H163&lt;&gt;0,$H163/0.75,0))</f>
        <v>140.04</v>
      </c>
      <c r="S163" s="32" t="b">
        <f>ISNUMBER(R163)</f>
        <v>1</v>
      </c>
      <c r="T163" s="32"/>
    </row>
    <row r="164" spans="1:20" x14ac:dyDescent="0.3">
      <c r="A164" s="9">
        <v>163</v>
      </c>
      <c r="B164" s="21">
        <v>44470.312662037039</v>
      </c>
      <c r="C164" s="11" t="s">
        <v>174</v>
      </c>
      <c r="D164" s="11" t="str">
        <f>IF(ISNUMBER(SEARCH("OSBC", C164)), "GOVT", "RETAIL")</f>
        <v>GOVT</v>
      </c>
      <c r="E164" s="12">
        <v>1385.79</v>
      </c>
      <c r="F164" s="12">
        <v>299000</v>
      </c>
      <c r="G164" s="11">
        <v>0</v>
      </c>
      <c r="H164" s="11">
        <v>0</v>
      </c>
      <c r="I164" s="12">
        <v>0</v>
      </c>
      <c r="J164" s="12">
        <v>0</v>
      </c>
      <c r="K164" s="12">
        <v>0</v>
      </c>
      <c r="L164" s="12">
        <v>0</v>
      </c>
      <c r="M164" s="13">
        <v>300385.78999999998</v>
      </c>
      <c r="N164">
        <f>YEAR(B164)</f>
        <v>2021</v>
      </c>
      <c r="O164" s="24">
        <f>IFERROR(J164/$I164,0)</f>
        <v>0</v>
      </c>
      <c r="P164" s="24">
        <f>IFERROR(K164/$I164,0)</f>
        <v>0</v>
      </c>
      <c r="Q164" s="24" t="str">
        <f>IF($G164&lt;&gt;0,"Beer",IF($H164&lt;&gt;0,"Liquor","-"))</f>
        <v>-</v>
      </c>
      <c r="R164" s="26">
        <f>IF($G164&lt;&gt;0,$G164,IF($H164&lt;&gt;0,$H164/0.75,0))</f>
        <v>0</v>
      </c>
      <c r="S164" s="32" t="b">
        <f>ISNUMBER(R164)</f>
        <v>1</v>
      </c>
      <c r="T164" s="32"/>
    </row>
    <row r="165" spans="1:20" x14ac:dyDescent="0.3">
      <c r="A165" s="9">
        <v>164</v>
      </c>
      <c r="B165" s="21">
        <v>44470.500104166669</v>
      </c>
      <c r="C165" s="11" t="s">
        <v>175</v>
      </c>
      <c r="D165" s="11" t="str">
        <f>IF(ISNUMBER(SEARCH("OSBC", C165)), "GOVT", "RETAIL")</f>
        <v>RETAIL</v>
      </c>
      <c r="E165" s="12">
        <v>300385.78999999998</v>
      </c>
      <c r="F165" s="12">
        <v>0</v>
      </c>
      <c r="G165" s="11">
        <v>0</v>
      </c>
      <c r="H165" s="11">
        <v>223.56</v>
      </c>
      <c r="I165" s="12">
        <v>186746.06</v>
      </c>
      <c r="J165" s="12">
        <v>65361.120000000003</v>
      </c>
      <c r="K165" s="12">
        <v>2521</v>
      </c>
      <c r="L165" s="12">
        <v>254628.18</v>
      </c>
      <c r="M165" s="13">
        <v>45757.61</v>
      </c>
      <c r="N165">
        <f>YEAR(B165)</f>
        <v>2021</v>
      </c>
      <c r="O165" s="24">
        <f>IFERROR(J165/$I165,0)</f>
        <v>0.3499999946451347</v>
      </c>
      <c r="P165" s="24">
        <f>IFERROR(K165/$I165,0)</f>
        <v>1.3499615467121502E-2</v>
      </c>
      <c r="Q165" s="24" t="str">
        <f>IF($G165&lt;&gt;0,"Beer",IF($H165&lt;&gt;0,"Liquor","-"))</f>
        <v>Liquor</v>
      </c>
      <c r="R165" s="26">
        <f>IF($G165&lt;&gt;0,$G165,IF($H165&lt;&gt;0,$H165/0.75,0))</f>
        <v>298.08</v>
      </c>
      <c r="S165" s="32" t="b">
        <f>ISNUMBER(R165)</f>
        <v>1</v>
      </c>
      <c r="T165" s="32"/>
    </row>
    <row r="166" spans="1:20" x14ac:dyDescent="0.3">
      <c r="A166" s="9">
        <v>165</v>
      </c>
      <c r="B166" s="21">
        <v>44470.501504629632</v>
      </c>
      <c r="C166" s="11" t="s">
        <v>176</v>
      </c>
      <c r="D166" s="11" t="str">
        <f>IF(ISNUMBER(SEARCH("OSBC", C166)), "GOVT", "RETAIL")</f>
        <v>RETAIL</v>
      </c>
      <c r="E166" s="12">
        <v>45757.61</v>
      </c>
      <c r="F166" s="12">
        <v>0</v>
      </c>
      <c r="G166" s="11">
        <v>200.4</v>
      </c>
      <c r="H166" s="11">
        <v>0</v>
      </c>
      <c r="I166" s="12">
        <v>32936.5</v>
      </c>
      <c r="J166" s="12">
        <v>11527.78</v>
      </c>
      <c r="K166" s="12">
        <v>445</v>
      </c>
      <c r="L166" s="12">
        <v>44909.279999999999</v>
      </c>
      <c r="M166" s="13">
        <v>848.33</v>
      </c>
      <c r="N166">
        <f>YEAR(B166)</f>
        <v>2021</v>
      </c>
      <c r="O166" s="24">
        <f>IFERROR(J166/$I166,0)</f>
        <v>0.35000015180726551</v>
      </c>
      <c r="P166" s="24">
        <f>IFERROR(K166/$I166,0)</f>
        <v>1.351084662911967E-2</v>
      </c>
      <c r="Q166" s="24" t="str">
        <f>IF($G166&lt;&gt;0,"Beer",IF($H166&lt;&gt;0,"Liquor","-"))</f>
        <v>Beer</v>
      </c>
      <c r="R166" s="26">
        <f>IF($G166&lt;&gt;0,$G166,IF($H166&lt;&gt;0,$H166/0.75,0))</f>
        <v>200.4</v>
      </c>
      <c r="S166" s="32" t="b">
        <f>ISNUMBER(R166)</f>
        <v>1</v>
      </c>
      <c r="T166" s="32"/>
    </row>
    <row r="167" spans="1:20" x14ac:dyDescent="0.3">
      <c r="A167" s="9">
        <v>166</v>
      </c>
      <c r="B167" s="21">
        <v>44473.34783564815</v>
      </c>
      <c r="C167" s="11" t="s">
        <v>177</v>
      </c>
      <c r="D167" s="11" t="str">
        <f>IF(ISNUMBER(SEARCH("OSBC", C167)), "GOVT", "RETAIL")</f>
        <v>GOVT</v>
      </c>
      <c r="E167" s="12">
        <v>848.33</v>
      </c>
      <c r="F167" s="12">
        <v>284000</v>
      </c>
      <c r="G167" s="11">
        <v>0</v>
      </c>
      <c r="H167" s="11">
        <v>0</v>
      </c>
      <c r="I167" s="12">
        <v>0</v>
      </c>
      <c r="J167" s="12">
        <v>0</v>
      </c>
      <c r="K167" s="12">
        <v>0</v>
      </c>
      <c r="L167" s="12">
        <v>0</v>
      </c>
      <c r="M167" s="13">
        <v>284848.33</v>
      </c>
      <c r="N167">
        <f>YEAR(B167)</f>
        <v>2021</v>
      </c>
      <c r="O167" s="24">
        <f>IFERROR(J167/$I167,0)</f>
        <v>0</v>
      </c>
      <c r="P167" s="24">
        <f>IFERROR(K167/$I167,0)</f>
        <v>0</v>
      </c>
      <c r="Q167" s="24" t="str">
        <f>IF($G167&lt;&gt;0,"Beer",IF($H167&lt;&gt;0,"Liquor","-"))</f>
        <v>-</v>
      </c>
      <c r="R167" s="26">
        <f>IF($G167&lt;&gt;0,$G167,IF($H167&lt;&gt;0,$H167/0.75,0))</f>
        <v>0</v>
      </c>
      <c r="S167" s="32" t="b">
        <f>ISNUMBER(R167)</f>
        <v>1</v>
      </c>
      <c r="T167" s="32"/>
    </row>
    <row r="168" spans="1:20" x14ac:dyDescent="0.3">
      <c r="A168" s="9">
        <v>167</v>
      </c>
      <c r="B168" s="21">
        <v>44473.429166666669</v>
      </c>
      <c r="C168" s="11" t="s">
        <v>178</v>
      </c>
      <c r="D168" s="11" t="str">
        <f>IF(ISNUMBER(SEARCH("OSBC", C168)), "GOVT", "RETAIL")</f>
        <v>GOVT</v>
      </c>
      <c r="E168" s="12">
        <v>284848.33</v>
      </c>
      <c r="F168" s="12">
        <v>185000</v>
      </c>
      <c r="G168" s="11">
        <v>0</v>
      </c>
      <c r="H168" s="11">
        <v>0</v>
      </c>
      <c r="I168" s="12">
        <v>0</v>
      </c>
      <c r="J168" s="12">
        <v>0</v>
      </c>
      <c r="K168" s="12">
        <v>0</v>
      </c>
      <c r="L168" s="12">
        <v>0</v>
      </c>
      <c r="M168" s="13">
        <v>469848.33</v>
      </c>
      <c r="N168">
        <f>YEAR(B168)</f>
        <v>2021</v>
      </c>
      <c r="O168" s="24">
        <f>IFERROR(J168/$I168,0)</f>
        <v>0</v>
      </c>
      <c r="P168" s="24">
        <f>IFERROR(K168/$I168,0)</f>
        <v>0</v>
      </c>
      <c r="Q168" s="24" t="str">
        <f>IF($G168&lt;&gt;0,"Beer",IF($H168&lt;&gt;0,"Liquor","-"))</f>
        <v>-</v>
      </c>
      <c r="R168" s="26">
        <f>IF($G168&lt;&gt;0,$G168,IF($H168&lt;&gt;0,$H168/0.75,0))</f>
        <v>0</v>
      </c>
      <c r="S168" s="32" t="b">
        <f>ISNUMBER(R168)</f>
        <v>1</v>
      </c>
      <c r="T168" s="32"/>
    </row>
    <row r="169" spans="1:20" x14ac:dyDescent="0.3">
      <c r="A169" s="9">
        <v>168</v>
      </c>
      <c r="B169" s="21">
        <v>44473.483460648145</v>
      </c>
      <c r="C169" s="11" t="s">
        <v>179</v>
      </c>
      <c r="D169" s="11" t="str">
        <f>IF(ISNUMBER(SEARCH("OSBC", C169)), "GOVT", "RETAIL")</f>
        <v>RETAIL</v>
      </c>
      <c r="E169" s="12">
        <v>469848.33</v>
      </c>
      <c r="F169" s="12">
        <v>0</v>
      </c>
      <c r="G169" s="11">
        <v>0</v>
      </c>
      <c r="H169" s="11">
        <v>388.46</v>
      </c>
      <c r="I169" s="12">
        <v>344563.57</v>
      </c>
      <c r="J169" s="12">
        <v>120597.25</v>
      </c>
      <c r="K169" s="12">
        <v>4652</v>
      </c>
      <c r="L169" s="12">
        <v>469812.82</v>
      </c>
      <c r="M169" s="13">
        <v>35.51</v>
      </c>
      <c r="N169">
        <f>YEAR(B169)</f>
        <v>2021</v>
      </c>
      <c r="O169" s="24">
        <f>IFERROR(J169/$I169,0)</f>
        <v>0.35000000145111104</v>
      </c>
      <c r="P169" s="24">
        <f>IFERROR(K169/$I169,0)</f>
        <v>1.3501137105121125E-2</v>
      </c>
      <c r="Q169" s="24" t="str">
        <f>IF($G169&lt;&gt;0,"Beer",IF($H169&lt;&gt;0,"Liquor","-"))</f>
        <v>Liquor</v>
      </c>
      <c r="R169" s="26">
        <f>IF($G169&lt;&gt;0,$G169,IF($H169&lt;&gt;0,$H169/0.75,0))</f>
        <v>517.9466666666666</v>
      </c>
      <c r="S169" s="32" t="b">
        <f>ISNUMBER(R169)</f>
        <v>1</v>
      </c>
      <c r="T169" s="32"/>
    </row>
    <row r="170" spans="1:20" x14ac:dyDescent="0.3">
      <c r="A170" s="9">
        <v>169</v>
      </c>
      <c r="B170" s="21">
        <v>44476.003275462965</v>
      </c>
      <c r="C170" s="11" t="s">
        <v>180</v>
      </c>
      <c r="D170" s="11" t="str">
        <f>IF(ISNUMBER(SEARCH("OSBC", C170)), "GOVT", "RETAIL")</f>
        <v>GOVT</v>
      </c>
      <c r="E170" s="12">
        <v>35.51</v>
      </c>
      <c r="F170" s="12">
        <v>600000</v>
      </c>
      <c r="G170" s="11">
        <v>0</v>
      </c>
      <c r="H170" s="11">
        <v>0</v>
      </c>
      <c r="I170" s="12">
        <v>0</v>
      </c>
      <c r="J170" s="12">
        <v>0</v>
      </c>
      <c r="K170" s="12">
        <v>0</v>
      </c>
      <c r="L170" s="12">
        <v>0</v>
      </c>
      <c r="M170" s="13">
        <v>600035.51</v>
      </c>
      <c r="N170">
        <f>YEAR(B170)</f>
        <v>2021</v>
      </c>
      <c r="O170" s="24">
        <f>IFERROR(J170/$I170,0)</f>
        <v>0</v>
      </c>
      <c r="P170" s="24">
        <f>IFERROR(K170/$I170,0)</f>
        <v>0</v>
      </c>
      <c r="Q170" s="24" t="str">
        <f>IF($G170&lt;&gt;0,"Beer",IF($H170&lt;&gt;0,"Liquor","-"))</f>
        <v>-</v>
      </c>
      <c r="R170" s="26">
        <f>IF($G170&lt;&gt;0,$G170,IF($H170&lt;&gt;0,$H170/0.75,0))</f>
        <v>0</v>
      </c>
      <c r="S170" s="32" t="b">
        <f>ISNUMBER(R170)</f>
        <v>1</v>
      </c>
      <c r="T170" s="32"/>
    </row>
    <row r="171" spans="1:20" x14ac:dyDescent="0.3">
      <c r="A171" s="9">
        <v>170</v>
      </c>
      <c r="B171" s="21">
        <v>44476.462685185186</v>
      </c>
      <c r="C171" s="11" t="s">
        <v>181</v>
      </c>
      <c r="D171" s="11" t="str">
        <f>IF(ISNUMBER(SEARCH("OSBC", C171)), "GOVT", "RETAIL")</f>
        <v>RETAIL</v>
      </c>
      <c r="E171" s="12">
        <v>600035.51</v>
      </c>
      <c r="F171" s="12">
        <v>0</v>
      </c>
      <c r="G171" s="11">
        <v>0</v>
      </c>
      <c r="H171" s="11">
        <v>412.91</v>
      </c>
      <c r="I171" s="12">
        <v>375892.89</v>
      </c>
      <c r="J171" s="12">
        <v>131562.51</v>
      </c>
      <c r="K171" s="12">
        <v>5075</v>
      </c>
      <c r="L171" s="12">
        <v>512530.4</v>
      </c>
      <c r="M171" s="13">
        <v>87505.11</v>
      </c>
      <c r="N171">
        <f>YEAR(B171)</f>
        <v>2021</v>
      </c>
      <c r="O171" s="24">
        <f>IFERROR(J171/$I171,0)</f>
        <v>0.34999999600950155</v>
      </c>
      <c r="P171" s="24">
        <f>IFERROR(K171/$I171,0)</f>
        <v>1.3501186468304839E-2</v>
      </c>
      <c r="Q171" s="24" t="str">
        <f>IF($G171&lt;&gt;0,"Beer",IF($H171&lt;&gt;0,"Liquor","-"))</f>
        <v>Liquor</v>
      </c>
      <c r="R171" s="26">
        <f>IF($G171&lt;&gt;0,$G171,IF($H171&lt;&gt;0,$H171/0.75,0))</f>
        <v>550.54666666666674</v>
      </c>
      <c r="S171" s="32" t="b">
        <f>ISNUMBER(R171)</f>
        <v>1</v>
      </c>
      <c r="T171" s="32"/>
    </row>
    <row r="172" spans="1:20" x14ac:dyDescent="0.3">
      <c r="A172" s="9">
        <v>171</v>
      </c>
      <c r="B172" s="21">
        <v>44476.477384259262</v>
      </c>
      <c r="C172" s="11" t="s">
        <v>182</v>
      </c>
      <c r="D172" s="11" t="str">
        <f>IF(ISNUMBER(SEARCH("OSBC", C172)), "GOVT", "RETAIL")</f>
        <v>RETAIL</v>
      </c>
      <c r="E172" s="12">
        <v>87505.11</v>
      </c>
      <c r="F172" s="12">
        <v>0</v>
      </c>
      <c r="G172" s="11">
        <v>364.8</v>
      </c>
      <c r="H172" s="11">
        <v>0</v>
      </c>
      <c r="I172" s="12">
        <v>62857.16</v>
      </c>
      <c r="J172" s="12">
        <v>22000.01</v>
      </c>
      <c r="K172" s="12">
        <v>849</v>
      </c>
      <c r="L172" s="12">
        <v>85706.17</v>
      </c>
      <c r="M172" s="13">
        <v>1798.94</v>
      </c>
      <c r="N172">
        <f>YEAR(B172)</f>
        <v>2021</v>
      </c>
      <c r="O172" s="24">
        <f>IFERROR(J172/$I172,0)</f>
        <v>0.35000006363634623</v>
      </c>
      <c r="P172" s="24">
        <f>IFERROR(K172/$I172,0)</f>
        <v>1.3506814498141499E-2</v>
      </c>
      <c r="Q172" s="24" t="str">
        <f>IF($G172&lt;&gt;0,"Beer",IF($H172&lt;&gt;0,"Liquor","-"))</f>
        <v>Beer</v>
      </c>
      <c r="R172" s="26">
        <f>IF($G172&lt;&gt;0,$G172,IF($H172&lt;&gt;0,$H172/0.75,0))</f>
        <v>364.8</v>
      </c>
      <c r="S172" s="32" t="b">
        <f>ISNUMBER(R172)</f>
        <v>1</v>
      </c>
      <c r="T172" s="32"/>
    </row>
    <row r="173" spans="1:20" x14ac:dyDescent="0.3">
      <c r="A173" s="9">
        <v>172</v>
      </c>
      <c r="B173" s="21">
        <v>44481.023680555554</v>
      </c>
      <c r="C173" s="11" t="s">
        <v>183</v>
      </c>
      <c r="D173" s="11" t="str">
        <f>IF(ISNUMBER(SEARCH("OSBC", C173)), "GOVT", "RETAIL")</f>
        <v>GOVT</v>
      </c>
      <c r="E173" s="12">
        <v>1798.94</v>
      </c>
      <c r="F173" s="12">
        <v>449000</v>
      </c>
      <c r="G173" s="11">
        <v>0</v>
      </c>
      <c r="H173" s="11">
        <v>0</v>
      </c>
      <c r="I173" s="12">
        <v>0</v>
      </c>
      <c r="J173" s="12">
        <v>0</v>
      </c>
      <c r="K173" s="12">
        <v>0</v>
      </c>
      <c r="L173" s="12">
        <v>0</v>
      </c>
      <c r="M173" s="13">
        <v>450798.94</v>
      </c>
      <c r="N173">
        <f>YEAR(B173)</f>
        <v>2021</v>
      </c>
      <c r="O173" s="24">
        <f>IFERROR(J173/$I173,0)</f>
        <v>0</v>
      </c>
      <c r="P173" s="24">
        <f>IFERROR(K173/$I173,0)</f>
        <v>0</v>
      </c>
      <c r="Q173" s="24" t="str">
        <f>IF($G173&lt;&gt;0,"Beer",IF($H173&lt;&gt;0,"Liquor","-"))</f>
        <v>-</v>
      </c>
      <c r="R173" s="26">
        <f>IF($G173&lt;&gt;0,$G173,IF($H173&lt;&gt;0,$H173/0.75,0))</f>
        <v>0</v>
      </c>
      <c r="S173" s="32" t="b">
        <f>ISNUMBER(R173)</f>
        <v>1</v>
      </c>
      <c r="T173" s="32"/>
    </row>
    <row r="174" spans="1:20" x14ac:dyDescent="0.3">
      <c r="A174" s="9">
        <v>173</v>
      </c>
      <c r="B174" s="21">
        <v>44481.423703703702</v>
      </c>
      <c r="C174" s="11" t="s">
        <v>184</v>
      </c>
      <c r="D174" s="11" t="str">
        <f>IF(ISNUMBER(SEARCH("OSBC", C174)), "GOVT", "RETAIL")</f>
        <v>RETAIL</v>
      </c>
      <c r="E174" s="12">
        <v>450798.94</v>
      </c>
      <c r="F174" s="12">
        <v>0</v>
      </c>
      <c r="G174" s="11">
        <v>612</v>
      </c>
      <c r="H174" s="11">
        <v>0</v>
      </c>
      <c r="I174" s="12">
        <v>97301.59</v>
      </c>
      <c r="J174" s="12">
        <v>34055.56</v>
      </c>
      <c r="K174" s="12">
        <v>1314</v>
      </c>
      <c r="L174" s="12">
        <v>132671.15</v>
      </c>
      <c r="M174" s="13">
        <v>318127.78999999998</v>
      </c>
      <c r="N174">
        <f>YEAR(B174)</f>
        <v>2021</v>
      </c>
      <c r="O174" s="24">
        <f>IFERROR(J174/$I174,0)</f>
        <v>0.35000003597063523</v>
      </c>
      <c r="P174" s="24">
        <f>IFERROR(K174/$I174,0)</f>
        <v>1.3504404193189443E-2</v>
      </c>
      <c r="Q174" s="24" t="str">
        <f>IF($G174&lt;&gt;0,"Beer",IF($H174&lt;&gt;0,"Liquor","-"))</f>
        <v>Beer</v>
      </c>
      <c r="R174" s="26">
        <f>IF($G174&lt;&gt;0,$G174,IF($H174&lt;&gt;0,$H174/0.75,0))</f>
        <v>612</v>
      </c>
      <c r="S174" s="32" t="b">
        <f>ISNUMBER(R174)</f>
        <v>1</v>
      </c>
      <c r="T174" s="32"/>
    </row>
    <row r="175" spans="1:20" x14ac:dyDescent="0.3">
      <c r="A175" s="9">
        <v>174</v>
      </c>
      <c r="B175" s="21">
        <v>44481.473935185182</v>
      </c>
      <c r="C175" s="11" t="s">
        <v>185</v>
      </c>
      <c r="D175" s="11" t="str">
        <f>IF(ISNUMBER(SEARCH("OSBC", C175)), "GOVT", "RETAIL")</f>
        <v>RETAIL</v>
      </c>
      <c r="E175" s="12">
        <v>318127.78999999998</v>
      </c>
      <c r="F175" s="12">
        <v>0</v>
      </c>
      <c r="G175" s="11">
        <v>0</v>
      </c>
      <c r="H175" s="11">
        <v>225.11</v>
      </c>
      <c r="I175" s="12">
        <v>228755.05</v>
      </c>
      <c r="J175" s="12">
        <v>80064.27</v>
      </c>
      <c r="K175" s="12">
        <v>3088</v>
      </c>
      <c r="L175" s="12">
        <v>311907.32</v>
      </c>
      <c r="M175" s="13">
        <v>6220.47</v>
      </c>
      <c r="N175">
        <f>YEAR(B175)</f>
        <v>2021</v>
      </c>
      <c r="O175" s="24">
        <f>IFERROR(J175/$I175,0)</f>
        <v>0.35000001092872052</v>
      </c>
      <c r="P175" s="24">
        <f>IFERROR(K175/$I175,0)</f>
        <v>1.3499155537768457E-2</v>
      </c>
      <c r="Q175" s="24" t="str">
        <f>IF($G175&lt;&gt;0,"Beer",IF($H175&lt;&gt;0,"Liquor","-"))</f>
        <v>Liquor</v>
      </c>
      <c r="R175" s="26">
        <f>IF($G175&lt;&gt;0,$G175,IF($H175&lt;&gt;0,$H175/0.75,0))</f>
        <v>300.1466666666667</v>
      </c>
      <c r="S175" s="32" t="b">
        <f>ISNUMBER(R175)</f>
        <v>1</v>
      </c>
      <c r="T175" s="32"/>
    </row>
    <row r="176" spans="1:20" x14ac:dyDescent="0.3">
      <c r="A176" s="9">
        <v>175</v>
      </c>
      <c r="B176" s="21">
        <v>44485.249849537038</v>
      </c>
      <c r="C176" s="11" t="s">
        <v>186</v>
      </c>
      <c r="D176" s="11" t="str">
        <f>IF(ISNUMBER(SEARCH("OSBC", C176)), "GOVT", "RETAIL")</f>
        <v>GOVT</v>
      </c>
      <c r="E176" s="12">
        <v>6220.47</v>
      </c>
      <c r="F176" s="12">
        <v>399000</v>
      </c>
      <c r="G176" s="11">
        <v>0</v>
      </c>
      <c r="H176" s="11">
        <v>0</v>
      </c>
      <c r="I176" s="12">
        <v>0</v>
      </c>
      <c r="J176" s="12">
        <v>0</v>
      </c>
      <c r="K176" s="12">
        <v>0</v>
      </c>
      <c r="L176" s="12">
        <v>0</v>
      </c>
      <c r="M176" s="13">
        <v>405220.47</v>
      </c>
      <c r="N176">
        <f>YEAR(B176)</f>
        <v>2021</v>
      </c>
      <c r="O176" s="24">
        <f>IFERROR(J176/$I176,0)</f>
        <v>0</v>
      </c>
      <c r="P176" s="24">
        <f>IFERROR(K176/$I176,0)</f>
        <v>0</v>
      </c>
      <c r="Q176" s="24" t="str">
        <f>IF($G176&lt;&gt;0,"Beer",IF($H176&lt;&gt;0,"Liquor","-"))</f>
        <v>-</v>
      </c>
      <c r="R176" s="26">
        <f>IF($G176&lt;&gt;0,$G176,IF($H176&lt;&gt;0,$H176/0.75,0))</f>
        <v>0</v>
      </c>
      <c r="S176" s="32" t="b">
        <f>ISNUMBER(R176)</f>
        <v>1</v>
      </c>
      <c r="T176" s="32"/>
    </row>
    <row r="177" spans="1:20" x14ac:dyDescent="0.3">
      <c r="A177" s="9">
        <v>176</v>
      </c>
      <c r="B177" s="21">
        <v>44485.418506944443</v>
      </c>
      <c r="C177" s="11" t="s">
        <v>187</v>
      </c>
      <c r="D177" s="11" t="str">
        <f>IF(ISNUMBER(SEARCH("OSBC", C177)), "GOVT", "RETAIL")</f>
        <v>RETAIL</v>
      </c>
      <c r="E177" s="12">
        <v>405220.47</v>
      </c>
      <c r="F177" s="12">
        <v>0</v>
      </c>
      <c r="G177" s="11">
        <v>241.8</v>
      </c>
      <c r="H177" s="11">
        <v>0</v>
      </c>
      <c r="I177" s="12">
        <v>36031.75</v>
      </c>
      <c r="J177" s="12">
        <v>12611.11</v>
      </c>
      <c r="K177" s="12">
        <v>486</v>
      </c>
      <c r="L177" s="12">
        <v>49128.86</v>
      </c>
      <c r="M177" s="13">
        <v>356091.61</v>
      </c>
      <c r="N177">
        <f>YEAR(B177)</f>
        <v>2021</v>
      </c>
      <c r="O177" s="24">
        <f>IFERROR(J177/$I177,0)</f>
        <v>0.34999993061674772</v>
      </c>
      <c r="P177" s="24">
        <f>IFERROR(K177/$I177,0)</f>
        <v>1.3488104241398211E-2</v>
      </c>
      <c r="Q177" s="24" t="str">
        <f>IF($G177&lt;&gt;0,"Beer",IF($H177&lt;&gt;0,"Liquor","-"))</f>
        <v>Beer</v>
      </c>
      <c r="R177" s="26">
        <f>IF($G177&lt;&gt;0,$G177,IF($H177&lt;&gt;0,$H177/0.75,0))</f>
        <v>241.8</v>
      </c>
      <c r="S177" s="32" t="b">
        <f>ISNUMBER(R177)</f>
        <v>1</v>
      </c>
      <c r="T177" s="32"/>
    </row>
    <row r="178" spans="1:20" x14ac:dyDescent="0.3">
      <c r="A178" s="9">
        <v>177</v>
      </c>
      <c r="B178" s="21">
        <v>44485.442418981482</v>
      </c>
      <c r="C178" s="11" t="s">
        <v>188</v>
      </c>
      <c r="D178" s="11" t="str">
        <f>IF(ISNUMBER(SEARCH("OSBC", C178)), "GOVT", "RETAIL")</f>
        <v>RETAIL</v>
      </c>
      <c r="E178" s="12">
        <v>356091.61</v>
      </c>
      <c r="F178" s="12">
        <v>0</v>
      </c>
      <c r="G178" s="11">
        <v>0</v>
      </c>
      <c r="H178" s="11">
        <v>308.33999999999997</v>
      </c>
      <c r="I178" s="12">
        <v>257838.36</v>
      </c>
      <c r="J178" s="12">
        <v>90243.43</v>
      </c>
      <c r="K178" s="12">
        <v>3481</v>
      </c>
      <c r="L178" s="12">
        <v>351562.79</v>
      </c>
      <c r="M178" s="13">
        <v>4528.82</v>
      </c>
      <c r="N178">
        <f>YEAR(B178)</f>
        <v>2021</v>
      </c>
      <c r="O178" s="24">
        <f>IFERROR(J178/$I178,0)</f>
        <v>0.35000001551359539</v>
      </c>
      <c r="P178" s="24">
        <f>IFERROR(K178/$I178,0)</f>
        <v>1.3500706411567309E-2</v>
      </c>
      <c r="Q178" s="24" t="str">
        <f>IF($G178&lt;&gt;0,"Beer",IF($H178&lt;&gt;0,"Liquor","-"))</f>
        <v>Liquor</v>
      </c>
      <c r="R178" s="26">
        <f>IF($G178&lt;&gt;0,$G178,IF($H178&lt;&gt;0,$H178/0.75,0))</f>
        <v>411.11999999999995</v>
      </c>
      <c r="S178" s="32" t="b">
        <f>ISNUMBER(R178)</f>
        <v>1</v>
      </c>
      <c r="T178" s="32"/>
    </row>
    <row r="179" spans="1:20" x14ac:dyDescent="0.3">
      <c r="A179" s="9">
        <v>178</v>
      </c>
      <c r="B179" s="21">
        <v>44490.98165509259</v>
      </c>
      <c r="C179" s="11" t="s">
        <v>189</v>
      </c>
      <c r="D179" s="11" t="str">
        <f>IF(ISNUMBER(SEARCH("OSBC", C179)), "GOVT", "RETAIL")</f>
        <v>GOVT</v>
      </c>
      <c r="E179" s="12">
        <v>4528.82</v>
      </c>
      <c r="F179" s="12">
        <v>400000</v>
      </c>
      <c r="G179" s="11">
        <v>0</v>
      </c>
      <c r="H179" s="11">
        <v>0</v>
      </c>
      <c r="I179" s="12">
        <v>0</v>
      </c>
      <c r="J179" s="12">
        <v>0</v>
      </c>
      <c r="K179" s="12">
        <v>0</v>
      </c>
      <c r="L179" s="12">
        <v>0</v>
      </c>
      <c r="M179" s="13">
        <v>404528.82</v>
      </c>
      <c r="N179">
        <f>YEAR(B179)</f>
        <v>2021</v>
      </c>
      <c r="O179" s="24">
        <f>IFERROR(J179/$I179,0)</f>
        <v>0</v>
      </c>
      <c r="P179" s="24">
        <f>IFERROR(K179/$I179,0)</f>
        <v>0</v>
      </c>
      <c r="Q179" s="24" t="str">
        <f>IF($G179&lt;&gt;0,"Beer",IF($H179&lt;&gt;0,"Liquor","-"))</f>
        <v>-</v>
      </c>
      <c r="R179" s="26">
        <f>IF($G179&lt;&gt;0,$G179,IF($H179&lt;&gt;0,$H179/0.75,0))</f>
        <v>0</v>
      </c>
      <c r="S179" s="32" t="b">
        <f>ISNUMBER(R179)</f>
        <v>1</v>
      </c>
      <c r="T179" s="32"/>
    </row>
    <row r="180" spans="1:20" x14ac:dyDescent="0.3">
      <c r="A180" s="9">
        <v>179</v>
      </c>
      <c r="B180" s="21">
        <v>44491.47179398148</v>
      </c>
      <c r="C180" s="11" t="s">
        <v>190</v>
      </c>
      <c r="D180" s="11" t="str">
        <f>IF(ISNUMBER(SEARCH("OSBC", C180)), "GOVT", "RETAIL")</f>
        <v>RETAIL</v>
      </c>
      <c r="E180" s="12">
        <v>404528.82</v>
      </c>
      <c r="F180" s="12">
        <v>0</v>
      </c>
      <c r="G180" s="11">
        <v>0</v>
      </c>
      <c r="H180" s="11">
        <v>332.57</v>
      </c>
      <c r="I180" s="12">
        <v>294486.7</v>
      </c>
      <c r="J180" s="12">
        <v>103070.34</v>
      </c>
      <c r="K180" s="12">
        <v>3976</v>
      </c>
      <c r="L180" s="12">
        <v>401533.04</v>
      </c>
      <c r="M180" s="13">
        <v>2995.78</v>
      </c>
      <c r="N180">
        <f>YEAR(B180)</f>
        <v>2021</v>
      </c>
      <c r="O180" s="24">
        <f>IFERROR(J180/$I180,0)</f>
        <v>0.34999998302130453</v>
      </c>
      <c r="P180" s="24">
        <f>IFERROR(K180/$I180,0)</f>
        <v>1.3501458639728042E-2</v>
      </c>
      <c r="Q180" s="24" t="str">
        <f>IF($G180&lt;&gt;0,"Beer",IF($H180&lt;&gt;0,"Liquor","-"))</f>
        <v>Liquor</v>
      </c>
      <c r="R180" s="26">
        <f>IF($G180&lt;&gt;0,$G180,IF($H180&lt;&gt;0,$H180/0.75,0))</f>
        <v>443.42666666666668</v>
      </c>
      <c r="S180" s="32" t="b">
        <f>ISNUMBER(R180)</f>
        <v>1</v>
      </c>
      <c r="T180" s="32"/>
    </row>
    <row r="181" spans="1:20" x14ac:dyDescent="0.3">
      <c r="A181" s="9">
        <v>180</v>
      </c>
      <c r="B181" s="21">
        <v>44494.976319444446</v>
      </c>
      <c r="C181" s="11" t="s">
        <v>191</v>
      </c>
      <c r="D181" s="11" t="str">
        <f>IF(ISNUMBER(SEARCH("OSBC", C181)), "GOVT", "RETAIL")</f>
        <v>GOVT</v>
      </c>
      <c r="E181" s="12">
        <v>2995.78</v>
      </c>
      <c r="F181" s="12">
        <v>340000</v>
      </c>
      <c r="G181" s="11">
        <v>0</v>
      </c>
      <c r="H181" s="11">
        <v>0</v>
      </c>
      <c r="I181" s="12">
        <v>0</v>
      </c>
      <c r="J181" s="12">
        <v>0</v>
      </c>
      <c r="K181" s="12">
        <v>0</v>
      </c>
      <c r="L181" s="12">
        <v>0</v>
      </c>
      <c r="M181" s="13">
        <v>342995.78</v>
      </c>
      <c r="N181">
        <f>YEAR(B181)</f>
        <v>2021</v>
      </c>
      <c r="O181" s="24">
        <f>IFERROR(J181/$I181,0)</f>
        <v>0</v>
      </c>
      <c r="P181" s="24">
        <f>IFERROR(K181/$I181,0)</f>
        <v>0</v>
      </c>
      <c r="Q181" s="24" t="str">
        <f>IF($G181&lt;&gt;0,"Beer",IF($H181&lt;&gt;0,"Liquor","-"))</f>
        <v>-</v>
      </c>
      <c r="R181" s="26">
        <f>IF($G181&lt;&gt;0,$G181,IF($H181&lt;&gt;0,$H181/0.75,0))</f>
        <v>0</v>
      </c>
      <c r="S181" s="32" t="b">
        <f>ISNUMBER(R181)</f>
        <v>1</v>
      </c>
      <c r="T181" s="32"/>
    </row>
    <row r="182" spans="1:20" x14ac:dyDescent="0.3">
      <c r="A182" s="9">
        <v>181</v>
      </c>
      <c r="B182" s="21">
        <v>44495.43482638889</v>
      </c>
      <c r="C182" s="11" t="s">
        <v>192</v>
      </c>
      <c r="D182" s="11" t="str">
        <f>IF(ISNUMBER(SEARCH("OSBC", C182)), "GOVT", "RETAIL")</f>
        <v>RETAIL</v>
      </c>
      <c r="E182" s="12">
        <v>342995.78</v>
      </c>
      <c r="F182" s="12">
        <v>0</v>
      </c>
      <c r="G182" s="11">
        <v>0</v>
      </c>
      <c r="H182" s="11">
        <v>263.54000000000002</v>
      </c>
      <c r="I182" s="12">
        <v>228769.85</v>
      </c>
      <c r="J182" s="12">
        <v>80069.45</v>
      </c>
      <c r="K182" s="12">
        <v>3088</v>
      </c>
      <c r="L182" s="12">
        <v>311927.3</v>
      </c>
      <c r="M182" s="13">
        <v>31068.48</v>
      </c>
      <c r="N182">
        <f>YEAR(B182)</f>
        <v>2021</v>
      </c>
      <c r="O182" s="24">
        <f>IFERROR(J182/$I182,0)</f>
        <v>0.35000001092801342</v>
      </c>
      <c r="P182" s="24">
        <f>IFERROR(K182/$I182,0)</f>
        <v>1.3498282225564252E-2</v>
      </c>
      <c r="Q182" s="24" t="str">
        <f>IF($G182&lt;&gt;0,"Beer",IF($H182&lt;&gt;0,"Liquor","-"))</f>
        <v>Liquor</v>
      </c>
      <c r="R182" s="26">
        <f>IF($G182&lt;&gt;0,$G182,IF($H182&lt;&gt;0,$H182/0.75,0))</f>
        <v>351.38666666666671</v>
      </c>
      <c r="S182" s="32" t="b">
        <f>ISNUMBER(R182)</f>
        <v>1</v>
      </c>
      <c r="T182" s="32"/>
    </row>
    <row r="183" spans="1:20" x14ac:dyDescent="0.3">
      <c r="A183" s="9">
        <v>182</v>
      </c>
      <c r="B183" s="21">
        <v>44495.435428240744</v>
      </c>
      <c r="C183" s="11" t="s">
        <v>193</v>
      </c>
      <c r="D183" s="11" t="str">
        <f>IF(ISNUMBER(SEARCH("OSBC", C183)), "GOVT", "RETAIL")</f>
        <v>RETAIL</v>
      </c>
      <c r="E183" s="12">
        <v>31068.48</v>
      </c>
      <c r="F183" s="12">
        <v>0</v>
      </c>
      <c r="G183" s="11">
        <v>109.2</v>
      </c>
      <c r="H183" s="11">
        <v>0</v>
      </c>
      <c r="I183" s="12">
        <v>19047.599999999999</v>
      </c>
      <c r="J183" s="12">
        <v>6666.66</v>
      </c>
      <c r="K183" s="12">
        <v>257</v>
      </c>
      <c r="L183" s="12">
        <v>25971.26</v>
      </c>
      <c r="M183" s="13">
        <v>5097.22</v>
      </c>
      <c r="N183">
        <f>YEAR(B183)</f>
        <v>2021</v>
      </c>
      <c r="O183" s="24">
        <f>IFERROR(J183/$I183,0)</f>
        <v>0.35000000000000003</v>
      </c>
      <c r="P183" s="24">
        <f>IFERROR(K183/$I183,0)</f>
        <v>1.3492513492513493E-2</v>
      </c>
      <c r="Q183" s="24" t="str">
        <f>IF($G183&lt;&gt;0,"Beer",IF($H183&lt;&gt;0,"Liquor","-"))</f>
        <v>Beer</v>
      </c>
      <c r="R183" s="26">
        <f>IF($G183&lt;&gt;0,$G183,IF($H183&lt;&gt;0,$H183/0.75,0))</f>
        <v>109.2</v>
      </c>
      <c r="S183" s="32" t="b">
        <f>ISNUMBER(R183)</f>
        <v>1</v>
      </c>
      <c r="T183" s="32"/>
    </row>
    <row r="184" spans="1:20" x14ac:dyDescent="0.3">
      <c r="A184" s="9">
        <v>183</v>
      </c>
      <c r="B184" s="21">
        <v>44501.925347222219</v>
      </c>
      <c r="C184" s="11" t="s">
        <v>194</v>
      </c>
      <c r="D184" s="11" t="str">
        <f>IF(ISNUMBER(SEARCH("OSBC", C184)), "GOVT", "RETAIL")</f>
        <v>GOVT</v>
      </c>
      <c r="E184" s="12">
        <v>5097.22</v>
      </c>
      <c r="F184" s="12">
        <v>450000</v>
      </c>
      <c r="G184" s="11">
        <v>0</v>
      </c>
      <c r="H184" s="11">
        <v>0</v>
      </c>
      <c r="I184" s="12">
        <v>0</v>
      </c>
      <c r="J184" s="12">
        <v>0</v>
      </c>
      <c r="K184" s="12">
        <v>0</v>
      </c>
      <c r="L184" s="12">
        <v>0</v>
      </c>
      <c r="M184" s="13">
        <v>455097.22</v>
      </c>
      <c r="N184">
        <f>YEAR(B184)</f>
        <v>2021</v>
      </c>
      <c r="O184" s="24">
        <f>IFERROR(J184/$I184,0)</f>
        <v>0</v>
      </c>
      <c r="P184" s="24">
        <f>IFERROR(K184/$I184,0)</f>
        <v>0</v>
      </c>
      <c r="Q184" s="24" t="str">
        <f>IF($G184&lt;&gt;0,"Beer",IF($H184&lt;&gt;0,"Liquor","-"))</f>
        <v>-</v>
      </c>
      <c r="R184" s="26">
        <f>IF($G184&lt;&gt;0,$G184,IF($H184&lt;&gt;0,$H184/0.75,0))</f>
        <v>0</v>
      </c>
      <c r="S184" s="32" t="b">
        <f>ISNUMBER(R184)</f>
        <v>1</v>
      </c>
      <c r="T184" s="32"/>
    </row>
    <row r="185" spans="1:20" x14ac:dyDescent="0.3">
      <c r="A185" s="9">
        <v>184</v>
      </c>
      <c r="B185" s="21">
        <v>44502.430046296293</v>
      </c>
      <c r="C185" s="11" t="s">
        <v>195</v>
      </c>
      <c r="D185" s="11" t="str">
        <f>IF(ISNUMBER(SEARCH("OSBC", C185)), "GOVT", "RETAIL")</f>
        <v>RETAIL</v>
      </c>
      <c r="E185" s="12">
        <v>455097.22</v>
      </c>
      <c r="F185" s="12">
        <v>0</v>
      </c>
      <c r="G185" s="11">
        <v>0</v>
      </c>
      <c r="H185" s="11">
        <v>365.38</v>
      </c>
      <c r="I185" s="12">
        <v>332004.02</v>
      </c>
      <c r="J185" s="12">
        <v>116201.41</v>
      </c>
      <c r="K185" s="12">
        <v>4482</v>
      </c>
      <c r="L185" s="12">
        <v>452687.43</v>
      </c>
      <c r="M185" s="13">
        <v>2409.79</v>
      </c>
      <c r="N185">
        <f>YEAR(B185)</f>
        <v>2021</v>
      </c>
      <c r="O185" s="24">
        <f>IFERROR(J185/$I185,0)</f>
        <v>0.35000000903603518</v>
      </c>
      <c r="P185" s="24">
        <f>IFERROR(K185/$I185,0)</f>
        <v>1.3499836538123845E-2</v>
      </c>
      <c r="Q185" s="24" t="str">
        <f>IF($G185&lt;&gt;0,"Beer",IF($H185&lt;&gt;0,"Liquor","-"))</f>
        <v>Liquor</v>
      </c>
      <c r="R185" s="26">
        <f>IF($G185&lt;&gt;0,$G185,IF($H185&lt;&gt;0,$H185/0.75,0))</f>
        <v>487.17333333333335</v>
      </c>
      <c r="S185" s="32" t="b">
        <f>ISNUMBER(R185)</f>
        <v>1</v>
      </c>
      <c r="T185" s="32"/>
    </row>
    <row r="186" spans="1:20" x14ac:dyDescent="0.3">
      <c r="A186" s="9">
        <v>185</v>
      </c>
      <c r="B186" s="21">
        <v>44506.00136574074</v>
      </c>
      <c r="C186" s="11" t="s">
        <v>196</v>
      </c>
      <c r="D186" s="11" t="str">
        <f>IF(ISNUMBER(SEARCH("OSBC", C186)), "GOVT", "RETAIL")</f>
        <v>GOVT</v>
      </c>
      <c r="E186" s="12">
        <v>2409.79</v>
      </c>
      <c r="F186" s="12">
        <v>450000</v>
      </c>
      <c r="G186" s="11">
        <v>0</v>
      </c>
      <c r="H186" s="11">
        <v>0</v>
      </c>
      <c r="I186" s="12">
        <v>0</v>
      </c>
      <c r="J186" s="12">
        <v>0</v>
      </c>
      <c r="K186" s="12">
        <v>0</v>
      </c>
      <c r="L186" s="12">
        <v>0</v>
      </c>
      <c r="M186" s="13">
        <v>452409.79</v>
      </c>
      <c r="N186">
        <f>YEAR(B186)</f>
        <v>2021</v>
      </c>
      <c r="O186" s="24">
        <f>IFERROR(J186/$I186,0)</f>
        <v>0</v>
      </c>
      <c r="P186" s="24">
        <f>IFERROR(K186/$I186,0)</f>
        <v>0</v>
      </c>
      <c r="Q186" s="24" t="str">
        <f>IF($G186&lt;&gt;0,"Beer",IF($H186&lt;&gt;0,"Liquor","-"))</f>
        <v>-</v>
      </c>
      <c r="R186" s="26">
        <f>IF($G186&lt;&gt;0,$G186,IF($H186&lt;&gt;0,$H186/0.75,0))</f>
        <v>0</v>
      </c>
      <c r="S186" s="32" t="b">
        <f>ISNUMBER(R186)</f>
        <v>1</v>
      </c>
      <c r="T186" s="32"/>
    </row>
    <row r="187" spans="1:20" x14ac:dyDescent="0.3">
      <c r="A187" s="9">
        <v>186</v>
      </c>
      <c r="B187" s="21">
        <v>44506.441666666666</v>
      </c>
      <c r="C187" s="11" t="s">
        <v>197</v>
      </c>
      <c r="D187" s="11" t="str">
        <f>IF(ISNUMBER(SEARCH("OSBC", C187)), "GOVT", "RETAIL")</f>
        <v>RETAIL</v>
      </c>
      <c r="E187" s="12">
        <v>452409.79</v>
      </c>
      <c r="F187" s="12">
        <v>0</v>
      </c>
      <c r="G187" s="11">
        <v>355.2</v>
      </c>
      <c r="H187" s="11">
        <v>0</v>
      </c>
      <c r="I187" s="12">
        <v>56269.8</v>
      </c>
      <c r="J187" s="12">
        <v>19694.43</v>
      </c>
      <c r="K187" s="12">
        <v>760</v>
      </c>
      <c r="L187" s="12">
        <v>76724.23</v>
      </c>
      <c r="M187" s="13">
        <v>375685.56</v>
      </c>
      <c r="N187">
        <f>YEAR(B187)</f>
        <v>2021</v>
      </c>
      <c r="O187" s="24">
        <f>IFERROR(J187/$I187,0)</f>
        <v>0.35</v>
      </c>
      <c r="P187" s="24">
        <f>IFERROR(K187/$I187,0)</f>
        <v>1.3506356873491641E-2</v>
      </c>
      <c r="Q187" s="24" t="str">
        <f>IF($G187&lt;&gt;0,"Beer",IF($H187&lt;&gt;0,"Liquor","-"))</f>
        <v>Beer</v>
      </c>
      <c r="R187" s="26">
        <f>IF($G187&lt;&gt;0,$G187,IF($H187&lt;&gt;0,$H187/0.75,0))</f>
        <v>355.2</v>
      </c>
      <c r="S187" s="32" t="b">
        <f>ISNUMBER(R187)</f>
        <v>1</v>
      </c>
      <c r="T187" s="32"/>
    </row>
    <row r="188" spans="1:20" x14ac:dyDescent="0.3">
      <c r="A188" s="9">
        <v>187</v>
      </c>
      <c r="B188" s="21">
        <v>44506.501319444447</v>
      </c>
      <c r="C188" s="11" t="s">
        <v>198</v>
      </c>
      <c r="D188" s="11" t="str">
        <f>IF(ISNUMBER(SEARCH("OSBC", C188)), "GOVT", "RETAIL")</f>
        <v>RETAIL</v>
      </c>
      <c r="E188" s="12">
        <v>375685.56</v>
      </c>
      <c r="F188" s="12">
        <v>0</v>
      </c>
      <c r="G188" s="11">
        <v>0</v>
      </c>
      <c r="H188" s="11">
        <v>328.32</v>
      </c>
      <c r="I188" s="12">
        <v>271111.09999999998</v>
      </c>
      <c r="J188" s="12">
        <v>94888.89</v>
      </c>
      <c r="K188" s="12">
        <v>3660</v>
      </c>
      <c r="L188" s="12">
        <v>369659.99</v>
      </c>
      <c r="M188" s="13">
        <v>6025.57</v>
      </c>
      <c r="N188">
        <f>YEAR(B188)</f>
        <v>2021</v>
      </c>
      <c r="O188" s="24">
        <f>IFERROR(J188/$I188,0)</f>
        <v>0.35000001844262374</v>
      </c>
      <c r="P188" s="24">
        <f>IFERROR(K188/$I188,0)</f>
        <v>1.3500000553278713E-2</v>
      </c>
      <c r="Q188" s="24" t="str">
        <f>IF($G188&lt;&gt;0,"Beer",IF($H188&lt;&gt;0,"Liquor","-"))</f>
        <v>Liquor</v>
      </c>
      <c r="R188" s="26">
        <f>IF($G188&lt;&gt;0,$G188,IF($H188&lt;&gt;0,$H188/0.75,0))</f>
        <v>437.76</v>
      </c>
      <c r="S188" s="32" t="b">
        <f>ISNUMBER(R188)</f>
        <v>1</v>
      </c>
      <c r="T188" s="32"/>
    </row>
    <row r="189" spans="1:20" x14ac:dyDescent="0.3">
      <c r="A189" s="9">
        <v>188</v>
      </c>
      <c r="B189" s="21">
        <v>44509.497118055559</v>
      </c>
      <c r="C189" s="11" t="s">
        <v>199</v>
      </c>
      <c r="D189" s="11" t="str">
        <f>IF(ISNUMBER(SEARCH("OSBC", C189)), "GOVT", "RETAIL")</f>
        <v>GOVT</v>
      </c>
      <c r="E189" s="12">
        <v>6025.57</v>
      </c>
      <c r="F189" s="12">
        <v>10000</v>
      </c>
      <c r="G189" s="11">
        <v>0</v>
      </c>
      <c r="H189" s="11">
        <v>0</v>
      </c>
      <c r="I189" s="12">
        <v>0</v>
      </c>
      <c r="J189" s="12">
        <v>0</v>
      </c>
      <c r="K189" s="12">
        <v>0</v>
      </c>
      <c r="L189" s="12">
        <v>0</v>
      </c>
      <c r="M189" s="13">
        <v>16025.57</v>
      </c>
      <c r="N189">
        <f>YEAR(B189)</f>
        <v>2021</v>
      </c>
      <c r="O189" s="24">
        <f>IFERROR(J189/$I189,0)</f>
        <v>0</v>
      </c>
      <c r="P189" s="24">
        <f>IFERROR(K189/$I189,0)</f>
        <v>0</v>
      </c>
      <c r="Q189" s="24" t="str">
        <f>IF($G189&lt;&gt;0,"Beer",IF($H189&lt;&gt;0,"Liquor","-"))</f>
        <v>-</v>
      </c>
      <c r="R189" s="26">
        <f>IF($G189&lt;&gt;0,$G189,IF($H189&lt;&gt;0,$H189/0.75,0))</f>
        <v>0</v>
      </c>
      <c r="S189" s="32" t="b">
        <f>ISNUMBER(R189)</f>
        <v>1</v>
      </c>
      <c r="T189" s="32"/>
    </row>
    <row r="190" spans="1:20" x14ac:dyDescent="0.3">
      <c r="A190" s="9">
        <v>189</v>
      </c>
      <c r="B190" s="21">
        <v>44511.209270833337</v>
      </c>
      <c r="C190" s="11" t="s">
        <v>200</v>
      </c>
      <c r="D190" s="11" t="str">
        <f>IF(ISNUMBER(SEARCH("OSBC", C190)), "GOVT", "RETAIL")</f>
        <v>GOVT</v>
      </c>
      <c r="E190" s="12">
        <v>16025.57</v>
      </c>
      <c r="F190" s="12">
        <v>430000</v>
      </c>
      <c r="G190" s="11">
        <v>0</v>
      </c>
      <c r="H190" s="11">
        <v>0</v>
      </c>
      <c r="I190" s="12">
        <v>0</v>
      </c>
      <c r="J190" s="12">
        <v>0</v>
      </c>
      <c r="K190" s="12">
        <v>0</v>
      </c>
      <c r="L190" s="12">
        <v>0</v>
      </c>
      <c r="M190" s="13">
        <v>446025.57</v>
      </c>
      <c r="N190">
        <f>YEAR(B190)</f>
        <v>2021</v>
      </c>
      <c r="O190" s="24">
        <f>IFERROR(J190/$I190,0)</f>
        <v>0</v>
      </c>
      <c r="P190" s="24">
        <f>IFERROR(K190/$I190,0)</f>
        <v>0</v>
      </c>
      <c r="Q190" s="24" t="str">
        <f>IF($G190&lt;&gt;0,"Beer",IF($H190&lt;&gt;0,"Liquor","-"))</f>
        <v>-</v>
      </c>
      <c r="R190" s="26">
        <f>IF($G190&lt;&gt;0,$G190,IF($H190&lt;&gt;0,$H190/0.75,0))</f>
        <v>0</v>
      </c>
      <c r="S190" s="32" t="b">
        <f>ISNUMBER(R190)</f>
        <v>1</v>
      </c>
      <c r="T190" s="32"/>
    </row>
    <row r="191" spans="1:20" x14ac:dyDescent="0.3">
      <c r="A191" s="9">
        <v>190</v>
      </c>
      <c r="B191" s="21">
        <v>44511.47625</v>
      </c>
      <c r="C191" s="11" t="s">
        <v>201</v>
      </c>
      <c r="D191" s="11" t="str">
        <f>IF(ISNUMBER(SEARCH("OSBC", C191)), "GOVT", "RETAIL")</f>
        <v>RETAIL</v>
      </c>
      <c r="E191" s="12">
        <v>446025.57</v>
      </c>
      <c r="F191" s="12">
        <v>0</v>
      </c>
      <c r="G191" s="11">
        <v>0</v>
      </c>
      <c r="H191" s="11">
        <v>352.16</v>
      </c>
      <c r="I191" s="12">
        <v>311486.90000000002</v>
      </c>
      <c r="J191" s="12">
        <v>109020.42</v>
      </c>
      <c r="K191" s="12">
        <v>4205</v>
      </c>
      <c r="L191" s="12">
        <v>424712.32</v>
      </c>
      <c r="M191" s="13">
        <v>21313.25</v>
      </c>
      <c r="N191">
        <f>YEAR(B191)</f>
        <v>2021</v>
      </c>
      <c r="O191" s="24">
        <f>IFERROR(J191/$I191,0)</f>
        <v>0.3500000160520394</v>
      </c>
      <c r="P191" s="24">
        <f>IFERROR(K191/$I191,0)</f>
        <v>1.3499765158663172E-2</v>
      </c>
      <c r="Q191" s="24" t="str">
        <f>IF($G191&lt;&gt;0,"Beer",IF($H191&lt;&gt;0,"Liquor","-"))</f>
        <v>Liquor</v>
      </c>
      <c r="R191" s="26">
        <f>IF($G191&lt;&gt;0,$G191,IF($H191&lt;&gt;0,$H191/0.75,0))</f>
        <v>469.54666666666668</v>
      </c>
      <c r="S191" s="32" t="b">
        <f>ISNUMBER(R191)</f>
        <v>1</v>
      </c>
      <c r="T191" s="32"/>
    </row>
    <row r="192" spans="1:20" x14ac:dyDescent="0.3">
      <c r="A192" s="9">
        <v>191</v>
      </c>
      <c r="B192" s="21">
        <v>44511.476782407408</v>
      </c>
      <c r="C192" s="11" t="s">
        <v>202</v>
      </c>
      <c r="D192" s="11" t="str">
        <f>IF(ISNUMBER(SEARCH("OSBC", C192)), "GOVT", "RETAIL")</f>
        <v>RETAIL</v>
      </c>
      <c r="E192" s="12">
        <v>21313.25</v>
      </c>
      <c r="F192" s="12">
        <v>0</v>
      </c>
      <c r="G192" s="11">
        <v>93.6</v>
      </c>
      <c r="H192" s="11">
        <v>0</v>
      </c>
      <c r="I192" s="12">
        <v>15079.41</v>
      </c>
      <c r="J192" s="12">
        <v>5277.79</v>
      </c>
      <c r="K192" s="12">
        <v>204</v>
      </c>
      <c r="L192" s="12">
        <v>20561.2</v>
      </c>
      <c r="M192" s="13">
        <v>752.05</v>
      </c>
      <c r="N192">
        <f>YEAR(B192)</f>
        <v>2021</v>
      </c>
      <c r="O192" s="24">
        <f>IFERROR(J192/$I192,0)</f>
        <v>0.34999976789542825</v>
      </c>
      <c r="P192" s="24">
        <f>IFERROR(K192/$I192,0)</f>
        <v>1.3528380752297339E-2</v>
      </c>
      <c r="Q192" s="24" t="str">
        <f>IF($G192&lt;&gt;0,"Beer",IF($H192&lt;&gt;0,"Liquor","-"))</f>
        <v>Beer</v>
      </c>
      <c r="R192" s="26">
        <f>IF($G192&lt;&gt;0,$G192,IF($H192&lt;&gt;0,$H192/0.75,0))</f>
        <v>93.6</v>
      </c>
      <c r="S192" s="32" t="b">
        <f>ISNUMBER(R192)</f>
        <v>1</v>
      </c>
      <c r="T192" s="32"/>
    </row>
    <row r="193" spans="1:20" x14ac:dyDescent="0.3">
      <c r="A193" s="9">
        <v>192</v>
      </c>
      <c r="B193" s="21">
        <v>44516.23746527778</v>
      </c>
      <c r="C193" s="11" t="s">
        <v>203</v>
      </c>
      <c r="D193" s="11" t="str">
        <f>IF(ISNUMBER(SEARCH("OSBC", C193)), "GOVT", "RETAIL")</f>
        <v>GOVT</v>
      </c>
      <c r="E193" s="12">
        <v>752.05</v>
      </c>
      <c r="F193" s="12">
        <v>380000</v>
      </c>
      <c r="G193" s="11">
        <v>0</v>
      </c>
      <c r="H193" s="11">
        <v>0</v>
      </c>
      <c r="I193" s="12">
        <v>0</v>
      </c>
      <c r="J193" s="12">
        <v>0</v>
      </c>
      <c r="K193" s="12">
        <v>0</v>
      </c>
      <c r="L193" s="12">
        <v>0</v>
      </c>
      <c r="M193" s="13">
        <v>380752.05</v>
      </c>
      <c r="N193">
        <f>YEAR(B193)</f>
        <v>2021</v>
      </c>
      <c r="O193" s="24">
        <f>IFERROR(J193/$I193,0)</f>
        <v>0</v>
      </c>
      <c r="P193" s="24">
        <f>IFERROR(K193/$I193,0)</f>
        <v>0</v>
      </c>
      <c r="Q193" s="24" t="str">
        <f>IF($G193&lt;&gt;0,"Beer",IF($H193&lt;&gt;0,"Liquor","-"))</f>
        <v>-</v>
      </c>
      <c r="R193" s="26">
        <f>IF($G193&lt;&gt;0,$G193,IF($H193&lt;&gt;0,$H193/0.75,0))</f>
        <v>0</v>
      </c>
      <c r="S193" s="32" t="b">
        <f>ISNUMBER(R193)</f>
        <v>1</v>
      </c>
      <c r="T193" s="32"/>
    </row>
    <row r="194" spans="1:20" x14ac:dyDescent="0.3">
      <c r="A194" s="9">
        <v>193</v>
      </c>
      <c r="B194" s="21">
        <v>44516.481226851851</v>
      </c>
      <c r="C194" s="11" t="s">
        <v>204</v>
      </c>
      <c r="D194" s="11" t="str">
        <f>IF(ISNUMBER(SEARCH("OSBC", C194)), "GOVT", "RETAIL")</f>
        <v>RETAIL</v>
      </c>
      <c r="E194" s="12">
        <v>380752.05</v>
      </c>
      <c r="F194" s="12">
        <v>0</v>
      </c>
      <c r="G194" s="11">
        <v>0</v>
      </c>
      <c r="H194" s="11">
        <v>321.98</v>
      </c>
      <c r="I194" s="12">
        <v>267023.87</v>
      </c>
      <c r="J194" s="12">
        <v>93458.39</v>
      </c>
      <c r="K194" s="12">
        <v>3605</v>
      </c>
      <c r="L194" s="12">
        <v>364087.26</v>
      </c>
      <c r="M194" s="13">
        <v>16664.79</v>
      </c>
      <c r="N194">
        <f>YEAR(B194)</f>
        <v>2021</v>
      </c>
      <c r="O194" s="24">
        <f>IFERROR(J194/$I194,0)</f>
        <v>0.35000013294691595</v>
      </c>
      <c r="P194" s="24">
        <f>IFERROR(K194/$I194,0)</f>
        <v>1.3500665689550526E-2</v>
      </c>
      <c r="Q194" s="24" t="str">
        <f>IF($G194&lt;&gt;0,"Beer",IF($H194&lt;&gt;0,"Liquor","-"))</f>
        <v>Liquor</v>
      </c>
      <c r="R194" s="26">
        <f>IF($G194&lt;&gt;0,$G194,IF($H194&lt;&gt;0,$H194/0.75,0))</f>
        <v>429.30666666666667</v>
      </c>
      <c r="S194" s="32" t="b">
        <f>ISNUMBER(R194)</f>
        <v>1</v>
      </c>
      <c r="T194" s="32"/>
    </row>
    <row r="195" spans="1:20" x14ac:dyDescent="0.3">
      <c r="A195" s="9">
        <v>194</v>
      </c>
      <c r="B195" s="21">
        <v>44516.481608796297</v>
      </c>
      <c r="C195" s="11" t="s">
        <v>205</v>
      </c>
      <c r="D195" s="11" t="str">
        <f>IF(ISNUMBER(SEARCH("OSBC", C195)), "GOVT", "RETAIL")</f>
        <v>RETAIL</v>
      </c>
      <c r="E195" s="12">
        <v>16664.79</v>
      </c>
      <c r="F195" s="12">
        <v>0</v>
      </c>
      <c r="G195" s="11">
        <v>78</v>
      </c>
      <c r="H195" s="11">
        <v>0</v>
      </c>
      <c r="I195" s="12">
        <v>11111.1</v>
      </c>
      <c r="J195" s="12">
        <v>3888.89</v>
      </c>
      <c r="K195" s="12">
        <v>150</v>
      </c>
      <c r="L195" s="12">
        <v>15149.99</v>
      </c>
      <c r="M195" s="13">
        <v>1514.8</v>
      </c>
      <c r="N195">
        <f>YEAR(B195)</f>
        <v>2021</v>
      </c>
      <c r="O195" s="24">
        <f>IFERROR(J195/$I195,0)</f>
        <v>0.35000045000044999</v>
      </c>
      <c r="P195" s="24">
        <f>IFERROR(K195/$I195,0)</f>
        <v>1.3500013500013499E-2</v>
      </c>
      <c r="Q195" s="24" t="str">
        <f>IF($G195&lt;&gt;0,"Beer",IF($H195&lt;&gt;0,"Liquor","-"))</f>
        <v>Beer</v>
      </c>
      <c r="R195" s="26">
        <f>IF($G195&lt;&gt;0,$G195,IF($H195&lt;&gt;0,$H195/0.75,0))</f>
        <v>78</v>
      </c>
      <c r="S195" s="32" t="b">
        <f>ISNUMBER(R195)</f>
        <v>1</v>
      </c>
      <c r="T195" s="32"/>
    </row>
    <row r="196" spans="1:20" x14ac:dyDescent="0.3">
      <c r="A196" s="9">
        <v>195</v>
      </c>
      <c r="B196" s="21">
        <v>44520.280509259261</v>
      </c>
      <c r="C196" s="11" t="s">
        <v>206</v>
      </c>
      <c r="D196" s="11" t="str">
        <f>IF(ISNUMBER(SEARCH("OSBC", C196)), "GOVT", "RETAIL")</f>
        <v>GOVT</v>
      </c>
      <c r="E196" s="12">
        <v>1514.8</v>
      </c>
      <c r="F196" s="12">
        <v>380000</v>
      </c>
      <c r="G196" s="11">
        <v>0</v>
      </c>
      <c r="H196" s="11">
        <v>0</v>
      </c>
      <c r="I196" s="12">
        <v>0</v>
      </c>
      <c r="J196" s="12">
        <v>0</v>
      </c>
      <c r="K196" s="12">
        <v>0</v>
      </c>
      <c r="L196" s="12">
        <v>0</v>
      </c>
      <c r="M196" s="13">
        <v>381514.8</v>
      </c>
      <c r="N196">
        <f>YEAR(B196)</f>
        <v>2021</v>
      </c>
      <c r="O196" s="24">
        <f>IFERROR(J196/$I196,0)</f>
        <v>0</v>
      </c>
      <c r="P196" s="24">
        <f>IFERROR(K196/$I196,0)</f>
        <v>0</v>
      </c>
      <c r="Q196" s="24" t="str">
        <f>IF($G196&lt;&gt;0,"Beer",IF($H196&lt;&gt;0,"Liquor","-"))</f>
        <v>-</v>
      </c>
      <c r="R196" s="26">
        <f>IF($G196&lt;&gt;0,$G196,IF($H196&lt;&gt;0,$H196/0.75,0))</f>
        <v>0</v>
      </c>
      <c r="S196" s="32" t="b">
        <f>ISNUMBER(R196)</f>
        <v>1</v>
      </c>
      <c r="T196" s="32"/>
    </row>
    <row r="197" spans="1:20" x14ac:dyDescent="0.3">
      <c r="A197" s="9">
        <v>196</v>
      </c>
      <c r="B197" s="21">
        <v>44520.481319444443</v>
      </c>
      <c r="C197" s="11" t="s">
        <v>207</v>
      </c>
      <c r="D197" s="11" t="str">
        <f>IF(ISNUMBER(SEARCH("OSBC", C197)), "GOVT", "RETAIL")</f>
        <v>RETAIL</v>
      </c>
      <c r="E197" s="12">
        <v>381514.8</v>
      </c>
      <c r="F197" s="12">
        <v>0</v>
      </c>
      <c r="G197" s="11">
        <v>82.2</v>
      </c>
      <c r="H197" s="11">
        <v>0</v>
      </c>
      <c r="I197" s="12">
        <v>15714.3</v>
      </c>
      <c r="J197" s="12">
        <v>5500.01</v>
      </c>
      <c r="K197" s="12">
        <v>212</v>
      </c>
      <c r="L197" s="12">
        <v>21426.31</v>
      </c>
      <c r="M197" s="13">
        <v>360088.49</v>
      </c>
      <c r="N197">
        <f>YEAR(B197)</f>
        <v>2021</v>
      </c>
      <c r="O197" s="24">
        <f>IFERROR(J197/$I197,0)</f>
        <v>0.35000031818152894</v>
      </c>
      <c r="P197" s="24">
        <f>IFERROR(K197/$I197,0)</f>
        <v>1.3490896826457431E-2</v>
      </c>
      <c r="Q197" s="24" t="str">
        <f>IF($G197&lt;&gt;0,"Beer",IF($H197&lt;&gt;0,"Liquor","-"))</f>
        <v>Beer</v>
      </c>
      <c r="R197" s="26">
        <f>IF($G197&lt;&gt;0,$G197,IF($H197&lt;&gt;0,$H197/0.75,0))</f>
        <v>82.2</v>
      </c>
      <c r="S197" s="32" t="b">
        <f>ISNUMBER(R197)</f>
        <v>1</v>
      </c>
      <c r="T197" s="32"/>
    </row>
    <row r="198" spans="1:20" x14ac:dyDescent="0.3">
      <c r="A198" s="9">
        <v>197</v>
      </c>
      <c r="B198" s="21">
        <v>44520.48228009259</v>
      </c>
      <c r="C198" s="11" t="s">
        <v>208</v>
      </c>
      <c r="D198" s="11" t="str">
        <f>IF(ISNUMBER(SEARCH("OSBC", C198)), "GOVT", "RETAIL")</f>
        <v>RETAIL</v>
      </c>
      <c r="E198" s="12">
        <v>360088.49</v>
      </c>
      <c r="F198" s="12">
        <v>0</v>
      </c>
      <c r="G198" s="11">
        <v>0</v>
      </c>
      <c r="H198" s="11">
        <v>299.02999999999997</v>
      </c>
      <c r="I198" s="12">
        <v>263710.42</v>
      </c>
      <c r="J198" s="12">
        <v>92298.65</v>
      </c>
      <c r="K198" s="12">
        <v>3560</v>
      </c>
      <c r="L198" s="12">
        <v>359569.07</v>
      </c>
      <c r="M198" s="13">
        <v>519.41999999999996</v>
      </c>
      <c r="N198">
        <f>YEAR(B198)</f>
        <v>2021</v>
      </c>
      <c r="O198" s="24">
        <f>IFERROR(J198/$I198,0)</f>
        <v>0.35000001137611475</v>
      </c>
      <c r="P198" s="24">
        <f>IFERROR(K198/$I198,0)</f>
        <v>1.3499656175891724E-2</v>
      </c>
      <c r="Q198" s="24" t="str">
        <f>IF($G198&lt;&gt;0,"Beer",IF($H198&lt;&gt;0,"Liquor","-"))</f>
        <v>Liquor</v>
      </c>
      <c r="R198" s="26">
        <f>IF($G198&lt;&gt;0,$G198,IF($H198&lt;&gt;0,$H198/0.75,0))</f>
        <v>398.70666666666665</v>
      </c>
      <c r="S198" s="32" t="b">
        <f>ISNUMBER(R198)</f>
        <v>1</v>
      </c>
      <c r="T198" s="32"/>
    </row>
    <row r="199" spans="1:20" x14ac:dyDescent="0.3">
      <c r="A199" s="9">
        <v>198</v>
      </c>
      <c r="B199" s="21">
        <v>44524.012303240743</v>
      </c>
      <c r="C199" s="11" t="s">
        <v>209</v>
      </c>
      <c r="D199" s="11" t="str">
        <f>IF(ISNUMBER(SEARCH("OSBC", C199)), "GOVT", "RETAIL")</f>
        <v>GOVT</v>
      </c>
      <c r="E199" s="12">
        <v>519.41999999999996</v>
      </c>
      <c r="F199" s="12">
        <v>365000</v>
      </c>
      <c r="G199" s="11">
        <v>0</v>
      </c>
      <c r="H199" s="11">
        <v>0</v>
      </c>
      <c r="I199" s="12">
        <v>0</v>
      </c>
      <c r="J199" s="12">
        <v>0</v>
      </c>
      <c r="K199" s="12">
        <v>0</v>
      </c>
      <c r="L199" s="12">
        <v>0</v>
      </c>
      <c r="M199" s="13">
        <v>365519.42</v>
      </c>
      <c r="N199">
        <f>YEAR(B199)</f>
        <v>2021</v>
      </c>
      <c r="O199" s="24">
        <f>IFERROR(J199/$I199,0)</f>
        <v>0</v>
      </c>
      <c r="P199" s="24">
        <f>IFERROR(K199/$I199,0)</f>
        <v>0</v>
      </c>
      <c r="Q199" s="24" t="str">
        <f>IF($G199&lt;&gt;0,"Beer",IF($H199&lt;&gt;0,"Liquor","-"))</f>
        <v>-</v>
      </c>
      <c r="R199" s="26">
        <f>IF($G199&lt;&gt;0,$G199,IF($H199&lt;&gt;0,$H199/0.75,0))</f>
        <v>0</v>
      </c>
      <c r="S199" s="32" t="b">
        <f>ISNUMBER(R199)</f>
        <v>1</v>
      </c>
      <c r="T199" s="32"/>
    </row>
    <row r="200" spans="1:20" x14ac:dyDescent="0.3">
      <c r="A200" s="9">
        <v>199</v>
      </c>
      <c r="B200" s="21">
        <v>44524.469849537039</v>
      </c>
      <c r="C200" s="11" t="s">
        <v>210</v>
      </c>
      <c r="D200" s="11" t="str">
        <f>IF(ISNUMBER(SEARCH("OSBC", C200)), "GOVT", "RETAIL")</f>
        <v>RETAIL</v>
      </c>
      <c r="E200" s="12">
        <v>365519.42</v>
      </c>
      <c r="F200" s="12">
        <v>0</v>
      </c>
      <c r="G200" s="11">
        <v>0</v>
      </c>
      <c r="H200" s="11">
        <v>274.64</v>
      </c>
      <c r="I200" s="12">
        <v>230912.76</v>
      </c>
      <c r="J200" s="12">
        <v>80819.460000000006</v>
      </c>
      <c r="K200" s="12">
        <v>3117</v>
      </c>
      <c r="L200" s="12">
        <v>314849.21999999997</v>
      </c>
      <c r="M200" s="13">
        <v>50670.2</v>
      </c>
      <c r="N200">
        <f>YEAR(B200)</f>
        <v>2021</v>
      </c>
      <c r="O200" s="24">
        <f>IFERROR(J200/$I200,0)</f>
        <v>0.3499999740161609</v>
      </c>
      <c r="P200" s="24">
        <f>IFERROR(K200/$I200,0)</f>
        <v>1.3498604408002398E-2</v>
      </c>
      <c r="Q200" s="24" t="str">
        <f>IF($G200&lt;&gt;0,"Beer",IF($H200&lt;&gt;0,"Liquor","-"))</f>
        <v>Liquor</v>
      </c>
      <c r="R200" s="26">
        <f>IF($G200&lt;&gt;0,$G200,IF($H200&lt;&gt;0,$H200/0.75,0))</f>
        <v>366.18666666666667</v>
      </c>
      <c r="S200" s="32" t="b">
        <f>ISNUMBER(R200)</f>
        <v>1</v>
      </c>
      <c r="T200" s="32"/>
    </row>
    <row r="201" spans="1:20" x14ac:dyDescent="0.3">
      <c r="A201" s="9">
        <v>200</v>
      </c>
      <c r="B201" s="21">
        <v>44524.488506944443</v>
      </c>
      <c r="C201" s="11" t="s">
        <v>211</v>
      </c>
      <c r="D201" s="11" t="str">
        <f>IF(ISNUMBER(SEARCH("OSBC", C201)), "GOVT", "RETAIL")</f>
        <v>RETAIL</v>
      </c>
      <c r="E201" s="12">
        <v>50670.2</v>
      </c>
      <c r="F201" s="12">
        <v>0</v>
      </c>
      <c r="G201" s="11">
        <v>223.2</v>
      </c>
      <c r="H201" s="11">
        <v>0</v>
      </c>
      <c r="I201" s="12">
        <v>36111.11</v>
      </c>
      <c r="J201" s="12">
        <v>12638.89</v>
      </c>
      <c r="K201" s="12">
        <v>488</v>
      </c>
      <c r="L201" s="12">
        <v>49238</v>
      </c>
      <c r="M201" s="13">
        <v>1432.2</v>
      </c>
      <c r="N201">
        <f>YEAR(B201)</f>
        <v>2021</v>
      </c>
      <c r="O201" s="24">
        <f>IFERROR(J201/$I201,0)</f>
        <v>0.35000004153846281</v>
      </c>
      <c r="P201" s="24">
        <f>IFERROR(K201/$I201,0)</f>
        <v>1.3513846569656818E-2</v>
      </c>
      <c r="Q201" s="24" t="str">
        <f>IF($G201&lt;&gt;0,"Beer",IF($H201&lt;&gt;0,"Liquor","-"))</f>
        <v>Beer</v>
      </c>
      <c r="R201" s="26">
        <f>IF($G201&lt;&gt;0,$G201,IF($H201&lt;&gt;0,$H201/0.75,0))</f>
        <v>223.2</v>
      </c>
      <c r="S201" s="32" t="b">
        <f>ISNUMBER(R201)</f>
        <v>1</v>
      </c>
      <c r="T201" s="32"/>
    </row>
    <row r="202" spans="1:20" x14ac:dyDescent="0.3">
      <c r="A202" s="9">
        <v>201</v>
      </c>
      <c r="B202" s="21">
        <v>44527.259814814817</v>
      </c>
      <c r="C202" s="11" t="s">
        <v>212</v>
      </c>
      <c r="D202" s="11" t="str">
        <f>IF(ISNUMBER(SEARCH("OSBC", C202)), "GOVT", "RETAIL")</f>
        <v>GOVT</v>
      </c>
      <c r="E202" s="12">
        <v>1432.2</v>
      </c>
      <c r="F202" s="12">
        <v>315000</v>
      </c>
      <c r="G202" s="11">
        <v>0</v>
      </c>
      <c r="H202" s="11">
        <v>0</v>
      </c>
      <c r="I202" s="12">
        <v>0</v>
      </c>
      <c r="J202" s="12">
        <v>0</v>
      </c>
      <c r="K202" s="12">
        <v>0</v>
      </c>
      <c r="L202" s="12">
        <v>0</v>
      </c>
      <c r="M202" s="13">
        <v>316432.2</v>
      </c>
      <c r="N202">
        <f>YEAR(B202)</f>
        <v>2021</v>
      </c>
      <c r="O202" s="24">
        <f>IFERROR(J202/$I202,0)</f>
        <v>0</v>
      </c>
      <c r="P202" s="24">
        <f>IFERROR(K202/$I202,0)</f>
        <v>0</v>
      </c>
      <c r="Q202" s="24" t="str">
        <f>IF($G202&lt;&gt;0,"Beer",IF($H202&lt;&gt;0,"Liquor","-"))</f>
        <v>-</v>
      </c>
      <c r="R202" s="26">
        <f>IF($G202&lt;&gt;0,$G202,IF($H202&lt;&gt;0,$H202/0.75,0))</f>
        <v>0</v>
      </c>
      <c r="S202" s="32" t="b">
        <f>ISNUMBER(R202)</f>
        <v>1</v>
      </c>
      <c r="T202" s="32"/>
    </row>
    <row r="203" spans="1:20" x14ac:dyDescent="0.3">
      <c r="A203" s="9">
        <v>202</v>
      </c>
      <c r="B203" s="21">
        <v>44527.463819444441</v>
      </c>
      <c r="C203" s="11" t="s">
        <v>213</v>
      </c>
      <c r="D203" s="11" t="str">
        <f>IF(ISNUMBER(SEARCH("OSBC", C203)), "GOVT", "RETAIL")</f>
        <v>RETAIL</v>
      </c>
      <c r="E203" s="12">
        <v>316432.2</v>
      </c>
      <c r="F203" s="12">
        <v>0</v>
      </c>
      <c r="G203" s="11">
        <v>0</v>
      </c>
      <c r="H203" s="11">
        <v>281.08999999999997</v>
      </c>
      <c r="I203" s="12">
        <v>231388.96</v>
      </c>
      <c r="J203" s="12">
        <v>80986.17</v>
      </c>
      <c r="K203" s="12">
        <v>3124</v>
      </c>
      <c r="L203" s="12">
        <v>315499.13</v>
      </c>
      <c r="M203" s="13">
        <v>933.07</v>
      </c>
      <c r="N203">
        <f>YEAR(B203)</f>
        <v>2021</v>
      </c>
      <c r="O203" s="24">
        <f>IFERROR(J203/$I203,0)</f>
        <v>0.35000014693873038</v>
      </c>
      <c r="P203" s="24">
        <f>IFERROR(K203/$I203,0)</f>
        <v>1.350107628298256E-2</v>
      </c>
      <c r="Q203" s="24" t="str">
        <f>IF($G203&lt;&gt;0,"Beer",IF($H203&lt;&gt;0,"Liquor","-"))</f>
        <v>Liquor</v>
      </c>
      <c r="R203" s="26">
        <f>IF($G203&lt;&gt;0,$G203,IF($H203&lt;&gt;0,$H203/0.75,0))</f>
        <v>374.78666666666663</v>
      </c>
      <c r="S203" s="32" t="b">
        <f>ISNUMBER(R203)</f>
        <v>1</v>
      </c>
      <c r="T203" s="32"/>
    </row>
    <row r="204" spans="1:20" x14ac:dyDescent="0.3">
      <c r="A204" s="9">
        <v>203</v>
      </c>
      <c r="B204" s="21">
        <v>44530.254988425928</v>
      </c>
      <c r="C204" s="11" t="s">
        <v>214</v>
      </c>
      <c r="D204" s="11" t="str">
        <f>IF(ISNUMBER(SEARCH("OSBC", C204)), "GOVT", "RETAIL")</f>
        <v>GOVT</v>
      </c>
      <c r="E204" s="12">
        <v>933.07</v>
      </c>
      <c r="F204" s="12">
        <v>300000</v>
      </c>
      <c r="G204" s="11">
        <v>0</v>
      </c>
      <c r="H204" s="11">
        <v>0</v>
      </c>
      <c r="I204" s="12">
        <v>0</v>
      </c>
      <c r="J204" s="12">
        <v>0</v>
      </c>
      <c r="K204" s="12">
        <v>0</v>
      </c>
      <c r="L204" s="12">
        <v>0</v>
      </c>
      <c r="M204" s="13">
        <v>300933.07</v>
      </c>
      <c r="N204">
        <f>YEAR(B204)</f>
        <v>2021</v>
      </c>
      <c r="O204" s="24">
        <f>IFERROR(J204/$I204,0)</f>
        <v>0</v>
      </c>
      <c r="P204" s="24">
        <f>IFERROR(K204/$I204,0)</f>
        <v>0</v>
      </c>
      <c r="Q204" s="24" t="str">
        <f>IF($G204&lt;&gt;0,"Beer",IF($H204&lt;&gt;0,"Liquor","-"))</f>
        <v>-</v>
      </c>
      <c r="R204" s="26">
        <f>IF($G204&lt;&gt;0,$G204,IF($H204&lt;&gt;0,$H204/0.75,0))</f>
        <v>0</v>
      </c>
      <c r="S204" s="32" t="b">
        <f>ISNUMBER(R204)</f>
        <v>1</v>
      </c>
      <c r="T204" s="32"/>
    </row>
    <row r="205" spans="1:20" x14ac:dyDescent="0.3">
      <c r="A205" s="9">
        <v>204</v>
      </c>
      <c r="B205" s="21">
        <v>44530.461643518516</v>
      </c>
      <c r="C205" s="11" t="s">
        <v>215</v>
      </c>
      <c r="D205" s="11" t="str">
        <f>IF(ISNUMBER(SEARCH("OSBC", C205)), "GOVT", "RETAIL")</f>
        <v>RETAIL</v>
      </c>
      <c r="E205" s="12">
        <v>300933.07</v>
      </c>
      <c r="F205" s="12">
        <v>0</v>
      </c>
      <c r="G205" s="11">
        <v>282.60000000000002</v>
      </c>
      <c r="H205" s="11">
        <v>0</v>
      </c>
      <c r="I205" s="12">
        <v>44047.61</v>
      </c>
      <c r="J205" s="12">
        <v>15416.66</v>
      </c>
      <c r="K205" s="12">
        <v>595</v>
      </c>
      <c r="L205" s="12">
        <v>60059.27</v>
      </c>
      <c r="M205" s="13">
        <v>240873.8</v>
      </c>
      <c r="N205">
        <f>YEAR(B205)</f>
        <v>2021</v>
      </c>
      <c r="O205" s="24">
        <f>IFERROR(J205/$I205,0)</f>
        <v>0.3499999205405242</v>
      </c>
      <c r="P205" s="24">
        <f>IFERROR(K205/$I205,0)</f>
        <v>1.35081108827471E-2</v>
      </c>
      <c r="Q205" s="24" t="str">
        <f>IF($G205&lt;&gt;0,"Beer",IF($H205&lt;&gt;0,"Liquor","-"))</f>
        <v>Beer</v>
      </c>
      <c r="R205" s="26">
        <f>IF($G205&lt;&gt;0,$G205,IF($H205&lt;&gt;0,$H205/0.75,0))</f>
        <v>282.60000000000002</v>
      </c>
      <c r="S205" s="32" t="b">
        <f>ISNUMBER(R205)</f>
        <v>1</v>
      </c>
      <c r="T205" s="32"/>
    </row>
    <row r="206" spans="1:20" x14ac:dyDescent="0.3">
      <c r="A206" s="9">
        <v>205</v>
      </c>
      <c r="B206" s="21">
        <v>44530.47351851852</v>
      </c>
      <c r="C206" s="11" t="s">
        <v>216</v>
      </c>
      <c r="D206" s="11" t="str">
        <f>IF(ISNUMBER(SEARCH("OSBC", C206)), "GOVT", "RETAIL")</f>
        <v>RETAIL</v>
      </c>
      <c r="E206" s="12">
        <v>240873.8</v>
      </c>
      <c r="F206" s="12">
        <v>0</v>
      </c>
      <c r="G206" s="11">
        <v>0</v>
      </c>
      <c r="H206" s="11">
        <v>204.1</v>
      </c>
      <c r="I206" s="12">
        <v>176461.68</v>
      </c>
      <c r="J206" s="12">
        <v>61761.62</v>
      </c>
      <c r="K206" s="12">
        <v>2382</v>
      </c>
      <c r="L206" s="12">
        <v>240605.3</v>
      </c>
      <c r="M206" s="13">
        <v>268.5</v>
      </c>
      <c r="N206">
        <f>YEAR(B206)</f>
        <v>2021</v>
      </c>
      <c r="O206" s="24">
        <f>IFERROR(J206/$I206,0)</f>
        <v>0.3500001813424875</v>
      </c>
      <c r="P206" s="24">
        <f>IFERROR(K206/$I206,0)</f>
        <v>1.3498681413437751E-2</v>
      </c>
      <c r="Q206" s="24" t="str">
        <f>IF($G206&lt;&gt;0,"Beer",IF($H206&lt;&gt;0,"Liquor","-"))</f>
        <v>Liquor</v>
      </c>
      <c r="R206" s="26">
        <f>IF($G206&lt;&gt;0,$G206,IF($H206&lt;&gt;0,$H206/0.75,0))</f>
        <v>272.13333333333333</v>
      </c>
      <c r="S206" s="32" t="b">
        <f>ISNUMBER(R206)</f>
        <v>1</v>
      </c>
      <c r="T206" s="32"/>
    </row>
    <row r="207" spans="1:20" x14ac:dyDescent="0.3">
      <c r="A207" s="9">
        <v>206</v>
      </c>
      <c r="B207" s="21">
        <v>44536.162349537037</v>
      </c>
      <c r="C207" s="11" t="s">
        <v>217</v>
      </c>
      <c r="D207" s="11" t="str">
        <f>IF(ISNUMBER(SEARCH("OSBC", C207)), "GOVT", "RETAIL")</f>
        <v>GOVT</v>
      </c>
      <c r="E207" s="12">
        <v>268.5</v>
      </c>
      <c r="F207" s="12">
        <v>490000</v>
      </c>
      <c r="G207" s="11">
        <v>0</v>
      </c>
      <c r="H207" s="11">
        <v>0</v>
      </c>
      <c r="I207" s="12">
        <v>0</v>
      </c>
      <c r="J207" s="12">
        <v>0</v>
      </c>
      <c r="K207" s="12">
        <v>0</v>
      </c>
      <c r="L207" s="12">
        <v>0</v>
      </c>
      <c r="M207" s="13">
        <v>490268.5</v>
      </c>
      <c r="N207">
        <f>YEAR(B207)</f>
        <v>2021</v>
      </c>
      <c r="O207" s="24">
        <f>IFERROR(J207/$I207,0)</f>
        <v>0</v>
      </c>
      <c r="P207" s="24">
        <f>IFERROR(K207/$I207,0)</f>
        <v>0</v>
      </c>
      <c r="Q207" s="24" t="str">
        <f>IF($G207&lt;&gt;0,"Beer",IF($H207&lt;&gt;0,"Liquor","-"))</f>
        <v>-</v>
      </c>
      <c r="R207" s="26">
        <f>IF($G207&lt;&gt;0,$G207,IF($H207&lt;&gt;0,$H207/0.75,0))</f>
        <v>0</v>
      </c>
      <c r="S207" s="32" t="b">
        <f>ISNUMBER(R207)</f>
        <v>1</v>
      </c>
      <c r="T207" s="32"/>
    </row>
    <row r="208" spans="1:20" x14ac:dyDescent="0.3">
      <c r="A208" s="9">
        <v>207</v>
      </c>
      <c r="B208" s="21">
        <v>44536.471875000003</v>
      </c>
      <c r="C208" s="11" t="s">
        <v>218</v>
      </c>
      <c r="D208" s="11" t="str">
        <f>IF(ISNUMBER(SEARCH("OSBC", C208)), "GOVT", "RETAIL")</f>
        <v>RETAIL</v>
      </c>
      <c r="E208" s="12">
        <v>490268.5</v>
      </c>
      <c r="F208" s="12">
        <v>0</v>
      </c>
      <c r="G208" s="11">
        <v>0</v>
      </c>
      <c r="H208" s="11">
        <v>423.18</v>
      </c>
      <c r="I208" s="12">
        <v>356899.6</v>
      </c>
      <c r="J208" s="12">
        <v>124914.9</v>
      </c>
      <c r="K208" s="12">
        <v>4818</v>
      </c>
      <c r="L208" s="12">
        <v>486632.5</v>
      </c>
      <c r="M208" s="13">
        <v>3636</v>
      </c>
      <c r="N208">
        <f>YEAR(B208)</f>
        <v>2021</v>
      </c>
      <c r="O208" s="24">
        <f>IFERROR(J208/$I208,0)</f>
        <v>0.35000011207633747</v>
      </c>
      <c r="P208" s="24">
        <f>IFERROR(K208/$I208,0)</f>
        <v>1.3499594844040173E-2</v>
      </c>
      <c r="Q208" s="24" t="str">
        <f>IF($G208&lt;&gt;0,"Beer",IF($H208&lt;&gt;0,"Liquor","-"))</f>
        <v>Liquor</v>
      </c>
      <c r="R208" s="26">
        <f>IF($G208&lt;&gt;0,$G208,IF($H208&lt;&gt;0,$H208/0.75,0))</f>
        <v>564.24</v>
      </c>
      <c r="S208" s="32" t="b">
        <f>ISNUMBER(R208)</f>
        <v>1</v>
      </c>
      <c r="T208" s="32"/>
    </row>
    <row r="209" spans="1:20" x14ac:dyDescent="0.3">
      <c r="A209" s="9">
        <v>208</v>
      </c>
      <c r="B209" s="21">
        <v>44540.259398148148</v>
      </c>
      <c r="C209" s="11" t="s">
        <v>219</v>
      </c>
      <c r="D209" s="11" t="str">
        <f>IF(ISNUMBER(SEARCH("OSBC", C209)), "GOVT", "RETAIL")</f>
        <v>GOVT</v>
      </c>
      <c r="E209" s="12">
        <v>3636</v>
      </c>
      <c r="F209" s="12">
        <v>345000</v>
      </c>
      <c r="G209" s="11">
        <v>0</v>
      </c>
      <c r="H209" s="11">
        <v>0</v>
      </c>
      <c r="I209" s="12">
        <v>0</v>
      </c>
      <c r="J209" s="12">
        <v>0</v>
      </c>
      <c r="K209" s="12">
        <v>0</v>
      </c>
      <c r="L209" s="12">
        <v>0</v>
      </c>
      <c r="M209" s="13">
        <v>348636</v>
      </c>
      <c r="N209">
        <f>YEAR(B209)</f>
        <v>2021</v>
      </c>
      <c r="O209" s="24">
        <f>IFERROR(J209/$I209,0)</f>
        <v>0</v>
      </c>
      <c r="P209" s="24">
        <f>IFERROR(K209/$I209,0)</f>
        <v>0</v>
      </c>
      <c r="Q209" s="24" t="str">
        <f>IF($G209&lt;&gt;0,"Beer",IF($H209&lt;&gt;0,"Liquor","-"))</f>
        <v>-</v>
      </c>
      <c r="R209" s="26">
        <f>IF($G209&lt;&gt;0,$G209,IF($H209&lt;&gt;0,$H209/0.75,0))</f>
        <v>0</v>
      </c>
      <c r="S209" s="32" t="b">
        <f>ISNUMBER(R209)</f>
        <v>1</v>
      </c>
      <c r="T209" s="32"/>
    </row>
    <row r="210" spans="1:20" x14ac:dyDescent="0.3">
      <c r="A210" s="9">
        <v>209</v>
      </c>
      <c r="B210" s="21">
        <v>44540.468819444446</v>
      </c>
      <c r="C210" s="11" t="s">
        <v>220</v>
      </c>
      <c r="D210" s="11" t="str">
        <f>IF(ISNUMBER(SEARCH("OSBC", C210)), "GOVT", "RETAIL")</f>
        <v>RETAIL</v>
      </c>
      <c r="E210" s="12">
        <v>348636</v>
      </c>
      <c r="F210" s="12">
        <v>0</v>
      </c>
      <c r="G210" s="11">
        <v>206.4</v>
      </c>
      <c r="H210" s="11">
        <v>0</v>
      </c>
      <c r="I210" s="12">
        <v>33809.5</v>
      </c>
      <c r="J210" s="12">
        <v>11833.33</v>
      </c>
      <c r="K210" s="12">
        <v>456</v>
      </c>
      <c r="L210" s="12">
        <v>46098.83</v>
      </c>
      <c r="M210" s="13">
        <v>302537.17</v>
      </c>
      <c r="N210">
        <f>YEAR(B210)</f>
        <v>2021</v>
      </c>
      <c r="O210" s="24">
        <f>IFERROR(J210/$I210,0)</f>
        <v>0.35000014788742811</v>
      </c>
      <c r="P210" s="24">
        <f>IFERROR(K210/$I210,0)</f>
        <v>1.3487333441784113E-2</v>
      </c>
      <c r="Q210" s="24" t="str">
        <f>IF($G210&lt;&gt;0,"Beer",IF($H210&lt;&gt;0,"Liquor","-"))</f>
        <v>Beer</v>
      </c>
      <c r="R210" s="26">
        <f>IF($G210&lt;&gt;0,$G210,IF($H210&lt;&gt;0,$H210/0.75,0))</f>
        <v>206.4</v>
      </c>
      <c r="S210" s="32" t="b">
        <f>ISNUMBER(R210)</f>
        <v>1</v>
      </c>
      <c r="T210" s="32"/>
    </row>
    <row r="211" spans="1:20" x14ac:dyDescent="0.3">
      <c r="A211" s="9">
        <v>210</v>
      </c>
      <c r="B211" s="21">
        <v>44540.469513888886</v>
      </c>
      <c r="C211" s="11" t="s">
        <v>221</v>
      </c>
      <c r="D211" s="11" t="str">
        <f>IF(ISNUMBER(SEARCH("OSBC", C211)), "GOVT", "RETAIL")</f>
        <v>RETAIL</v>
      </c>
      <c r="E211" s="12">
        <v>302537.17</v>
      </c>
      <c r="F211" s="12">
        <v>0</v>
      </c>
      <c r="G211" s="11">
        <v>0</v>
      </c>
      <c r="H211" s="11">
        <v>221.6</v>
      </c>
      <c r="I211" s="12">
        <v>221131.04</v>
      </c>
      <c r="J211" s="12">
        <v>77395.88</v>
      </c>
      <c r="K211" s="12">
        <v>2985</v>
      </c>
      <c r="L211" s="12">
        <v>301511.92</v>
      </c>
      <c r="M211" s="13">
        <v>1025.25</v>
      </c>
      <c r="N211">
        <f>YEAR(B211)</f>
        <v>2021</v>
      </c>
      <c r="O211" s="24">
        <f>IFERROR(J211/$I211,0)</f>
        <v>0.35000007235528763</v>
      </c>
      <c r="P211" s="24">
        <f>IFERROR(K211/$I211,0)</f>
        <v>1.3498783345838738E-2</v>
      </c>
      <c r="Q211" s="24" t="str">
        <f>IF($G211&lt;&gt;0,"Beer",IF($H211&lt;&gt;0,"Liquor","-"))</f>
        <v>Liquor</v>
      </c>
      <c r="R211" s="26">
        <f>IF($G211&lt;&gt;0,$G211,IF($H211&lt;&gt;0,$H211/0.75,0))</f>
        <v>295.46666666666664</v>
      </c>
      <c r="S211" s="32" t="b">
        <f>ISNUMBER(R211)</f>
        <v>1</v>
      </c>
      <c r="T211" s="32"/>
    </row>
    <row r="212" spans="1:20" x14ac:dyDescent="0.3">
      <c r="A212" s="9">
        <v>211</v>
      </c>
      <c r="B212" s="21">
        <v>44543.249189814815</v>
      </c>
      <c r="C212" s="11" t="s">
        <v>222</v>
      </c>
      <c r="D212" s="11" t="str">
        <f>IF(ISNUMBER(SEARCH("OSBC", C212)), "GOVT", "RETAIL")</f>
        <v>GOVT</v>
      </c>
      <c r="E212" s="12">
        <v>1025.25</v>
      </c>
      <c r="F212" s="12">
        <v>360000</v>
      </c>
      <c r="G212" s="11">
        <v>0</v>
      </c>
      <c r="H212" s="11">
        <v>0</v>
      </c>
      <c r="I212" s="12">
        <v>0</v>
      </c>
      <c r="J212" s="12">
        <v>0</v>
      </c>
      <c r="K212" s="12">
        <v>0</v>
      </c>
      <c r="L212" s="12">
        <v>0</v>
      </c>
      <c r="M212" s="13">
        <v>361025.25</v>
      </c>
      <c r="N212">
        <f>YEAR(B212)</f>
        <v>2021</v>
      </c>
      <c r="O212" s="24">
        <f>IFERROR(J212/$I212,0)</f>
        <v>0</v>
      </c>
      <c r="P212" s="24">
        <f>IFERROR(K212/$I212,0)</f>
        <v>0</v>
      </c>
      <c r="Q212" s="24" t="str">
        <f>IF($G212&lt;&gt;0,"Beer",IF($H212&lt;&gt;0,"Liquor","-"))</f>
        <v>-</v>
      </c>
      <c r="R212" s="26">
        <f>IF($G212&lt;&gt;0,$G212,IF($H212&lt;&gt;0,$H212/0.75,0))</f>
        <v>0</v>
      </c>
      <c r="S212" s="32" t="b">
        <f>ISNUMBER(R212)</f>
        <v>1</v>
      </c>
      <c r="T212" s="32"/>
    </row>
    <row r="213" spans="1:20" x14ac:dyDescent="0.3">
      <c r="A213" s="9">
        <v>212</v>
      </c>
      <c r="B213" s="21">
        <v>44543.419317129628</v>
      </c>
      <c r="C213" s="11" t="s">
        <v>223</v>
      </c>
      <c r="D213" s="11" t="str">
        <f>IF(ISNUMBER(SEARCH("OSBC", C213)), "GOVT", "RETAIL")</f>
        <v>GOVT</v>
      </c>
      <c r="E213" s="12">
        <v>361025.25</v>
      </c>
      <c r="F213" s="12">
        <v>70000</v>
      </c>
      <c r="G213" s="11">
        <v>0</v>
      </c>
      <c r="H213" s="11">
        <v>0</v>
      </c>
      <c r="I213" s="12">
        <v>0</v>
      </c>
      <c r="J213" s="12">
        <v>0</v>
      </c>
      <c r="K213" s="12">
        <v>0</v>
      </c>
      <c r="L213" s="12">
        <v>0</v>
      </c>
      <c r="M213" s="13">
        <v>431025.25</v>
      </c>
      <c r="N213">
        <f>YEAR(B213)</f>
        <v>2021</v>
      </c>
      <c r="O213" s="24">
        <f>IFERROR(J213/$I213,0)</f>
        <v>0</v>
      </c>
      <c r="P213" s="24">
        <f>IFERROR(K213/$I213,0)</f>
        <v>0</v>
      </c>
      <c r="Q213" s="24" t="str">
        <f>IF($G213&lt;&gt;0,"Beer",IF($H213&lt;&gt;0,"Liquor","-"))</f>
        <v>-</v>
      </c>
      <c r="R213" s="26">
        <f>IF($G213&lt;&gt;0,$G213,IF($H213&lt;&gt;0,$H213/0.75,0))</f>
        <v>0</v>
      </c>
      <c r="S213" s="32" t="b">
        <f>ISNUMBER(R213)</f>
        <v>1</v>
      </c>
      <c r="T213" s="32"/>
    </row>
    <row r="214" spans="1:20" x14ac:dyDescent="0.3">
      <c r="A214" s="9">
        <v>213</v>
      </c>
      <c r="B214" s="21">
        <v>44543.510057870371</v>
      </c>
      <c r="C214" s="11" t="s">
        <v>224</v>
      </c>
      <c r="D214" s="11" t="str">
        <f>IF(ISNUMBER(SEARCH("OSBC", C214)), "GOVT", "RETAIL")</f>
        <v>RETAIL</v>
      </c>
      <c r="E214" s="12">
        <v>431025.25</v>
      </c>
      <c r="F214" s="12">
        <v>0</v>
      </c>
      <c r="G214" s="11">
        <v>0</v>
      </c>
      <c r="H214" s="11">
        <v>369.66</v>
      </c>
      <c r="I214" s="12">
        <v>315773.94</v>
      </c>
      <c r="J214" s="12">
        <v>110520.88</v>
      </c>
      <c r="K214" s="12">
        <v>4263</v>
      </c>
      <c r="L214" s="12">
        <v>430557.82</v>
      </c>
      <c r="M214" s="13">
        <v>467.43</v>
      </c>
      <c r="N214">
        <f>YEAR(B214)</f>
        <v>2021</v>
      </c>
      <c r="O214" s="24">
        <f>IFERROR(J214/$I214,0)</f>
        <v>0.35000000316682245</v>
      </c>
      <c r="P214" s="24">
        <f>IFERROR(K214/$I214,0)</f>
        <v>1.3500164073070755E-2</v>
      </c>
      <c r="Q214" s="24" t="str">
        <f>IF($G214&lt;&gt;0,"Beer",IF($H214&lt;&gt;0,"Liquor","-"))</f>
        <v>Liquor</v>
      </c>
      <c r="R214" s="26">
        <f>IF($G214&lt;&gt;0,$G214,IF($H214&lt;&gt;0,$H214/0.75,0))</f>
        <v>492.88000000000005</v>
      </c>
      <c r="S214" s="32" t="b">
        <f>ISNUMBER(R214)</f>
        <v>1</v>
      </c>
      <c r="T214" s="32"/>
    </row>
    <row r="215" spans="1:20" x14ac:dyDescent="0.3">
      <c r="A215" s="9">
        <v>214</v>
      </c>
      <c r="B215" s="21">
        <v>44546.250601851854</v>
      </c>
      <c r="C215" s="11" t="s">
        <v>225</v>
      </c>
      <c r="D215" s="11" t="str">
        <f>IF(ISNUMBER(SEARCH("OSBC", C215)), "GOVT", "RETAIL")</f>
        <v>GOVT</v>
      </c>
      <c r="E215" s="12">
        <v>467.43</v>
      </c>
      <c r="F215" s="12">
        <v>460000</v>
      </c>
      <c r="G215" s="11">
        <v>0</v>
      </c>
      <c r="H215" s="11">
        <v>0</v>
      </c>
      <c r="I215" s="12">
        <v>0</v>
      </c>
      <c r="J215" s="12">
        <v>0</v>
      </c>
      <c r="K215" s="12">
        <v>0</v>
      </c>
      <c r="L215" s="12">
        <v>0</v>
      </c>
      <c r="M215" s="13">
        <v>460467.43</v>
      </c>
      <c r="N215">
        <f>YEAR(B215)</f>
        <v>2021</v>
      </c>
      <c r="O215" s="24">
        <f>IFERROR(J215/$I215,0)</f>
        <v>0</v>
      </c>
      <c r="P215" s="24">
        <f>IFERROR(K215/$I215,0)</f>
        <v>0</v>
      </c>
      <c r="Q215" s="24" t="str">
        <f>IF($G215&lt;&gt;0,"Beer",IF($H215&lt;&gt;0,"Liquor","-"))</f>
        <v>-</v>
      </c>
      <c r="R215" s="26">
        <f>IF($G215&lt;&gt;0,$G215,IF($H215&lt;&gt;0,$H215/0.75,0))</f>
        <v>0</v>
      </c>
      <c r="S215" s="32" t="b">
        <f>ISNUMBER(R215)</f>
        <v>1</v>
      </c>
      <c r="T215" s="32"/>
    </row>
    <row r="216" spans="1:20" x14ac:dyDescent="0.3">
      <c r="A216" s="9">
        <v>215</v>
      </c>
      <c r="B216" s="21">
        <v>44546.470092592594</v>
      </c>
      <c r="C216" s="11" t="s">
        <v>226</v>
      </c>
      <c r="D216" s="11" t="str">
        <f>IF(ISNUMBER(SEARCH("OSBC", C216)), "GOVT", "RETAIL")</f>
        <v>RETAIL</v>
      </c>
      <c r="E216" s="12">
        <v>460467.43</v>
      </c>
      <c r="F216" s="12">
        <v>0</v>
      </c>
      <c r="G216" s="11">
        <v>0</v>
      </c>
      <c r="H216" s="11">
        <v>316.76</v>
      </c>
      <c r="I216" s="12">
        <v>278683.94</v>
      </c>
      <c r="J216" s="12">
        <v>97539.38</v>
      </c>
      <c r="K216" s="12">
        <v>3762</v>
      </c>
      <c r="L216" s="12">
        <v>379985.32</v>
      </c>
      <c r="M216" s="13">
        <v>80482.11</v>
      </c>
      <c r="N216">
        <f>YEAR(B216)</f>
        <v>2021</v>
      </c>
      <c r="O216" s="24">
        <f>IFERROR(J216/$I216,0)</f>
        <v>0.35000000358829436</v>
      </c>
      <c r="P216" s="24">
        <f>IFERROR(K216/$I216,0)</f>
        <v>1.3499163245646663E-2</v>
      </c>
      <c r="Q216" s="24" t="str">
        <f>IF($G216&lt;&gt;0,"Beer",IF($H216&lt;&gt;0,"Liquor","-"))</f>
        <v>Liquor</v>
      </c>
      <c r="R216" s="26">
        <f>IF($G216&lt;&gt;0,$G216,IF($H216&lt;&gt;0,$H216/0.75,0))</f>
        <v>422.34666666666664</v>
      </c>
      <c r="S216" s="32" t="b">
        <f>ISNUMBER(R216)</f>
        <v>1</v>
      </c>
      <c r="T216" s="32"/>
    </row>
    <row r="217" spans="1:20" x14ac:dyDescent="0.3">
      <c r="A217" s="9">
        <v>216</v>
      </c>
      <c r="B217" s="21">
        <v>44546.50503472222</v>
      </c>
      <c r="C217" s="11" t="s">
        <v>227</v>
      </c>
      <c r="D217" s="11" t="str">
        <f>IF(ISNUMBER(SEARCH("OSBC", C217)), "GOVT", "RETAIL")</f>
        <v>RETAIL</v>
      </c>
      <c r="E217" s="12">
        <v>80482.11</v>
      </c>
      <c r="F217" s="12">
        <v>0</v>
      </c>
      <c r="G217" s="11">
        <v>358.8</v>
      </c>
      <c r="H217" s="11">
        <v>0</v>
      </c>
      <c r="I217" s="12">
        <v>58095.199999999997</v>
      </c>
      <c r="J217" s="12">
        <v>20333.32</v>
      </c>
      <c r="K217" s="12">
        <v>784</v>
      </c>
      <c r="L217" s="12">
        <v>79212.52</v>
      </c>
      <c r="M217" s="13">
        <v>1269.5899999999999</v>
      </c>
      <c r="N217">
        <f>YEAR(B217)</f>
        <v>2021</v>
      </c>
      <c r="O217" s="24">
        <f>IFERROR(J217/$I217,0)</f>
        <v>0.35000000000000003</v>
      </c>
      <c r="P217" s="24">
        <f>IFERROR(K217/$I217,0)</f>
        <v>1.3495090816452995E-2</v>
      </c>
      <c r="Q217" s="24" t="str">
        <f>IF($G217&lt;&gt;0,"Beer",IF($H217&lt;&gt;0,"Liquor","-"))</f>
        <v>Beer</v>
      </c>
      <c r="R217" s="26">
        <f>IF($G217&lt;&gt;0,$G217,IF($H217&lt;&gt;0,$H217/0.75,0))</f>
        <v>358.8</v>
      </c>
      <c r="S217" s="32" t="b">
        <f>ISNUMBER(R217)</f>
        <v>1</v>
      </c>
      <c r="T217" s="32"/>
    </row>
    <row r="218" spans="1:20" x14ac:dyDescent="0.3">
      <c r="A218" s="9">
        <v>217</v>
      </c>
      <c r="B218" s="21">
        <v>44550.214849537035</v>
      </c>
      <c r="C218" s="11" t="s">
        <v>228</v>
      </c>
      <c r="D218" s="11" t="str">
        <f>IF(ISNUMBER(SEARCH("OSBC", C218)), "GOVT", "RETAIL")</f>
        <v>GOVT</v>
      </c>
      <c r="E218" s="12">
        <v>1269.5899999999999</v>
      </c>
      <c r="F218" s="12">
        <v>415000</v>
      </c>
      <c r="G218" s="11">
        <v>0</v>
      </c>
      <c r="H218" s="11">
        <v>0</v>
      </c>
      <c r="I218" s="12">
        <v>0</v>
      </c>
      <c r="J218" s="12">
        <v>0</v>
      </c>
      <c r="K218" s="12">
        <v>0</v>
      </c>
      <c r="L218" s="12">
        <v>0</v>
      </c>
      <c r="M218" s="13">
        <v>416269.59</v>
      </c>
      <c r="N218">
        <f>YEAR(B218)</f>
        <v>2021</v>
      </c>
      <c r="O218" s="24">
        <f>IFERROR(J218/$I218,0)</f>
        <v>0</v>
      </c>
      <c r="P218" s="24">
        <f>IFERROR(K218/$I218,0)</f>
        <v>0</v>
      </c>
      <c r="Q218" s="24" t="str">
        <f>IF($G218&lt;&gt;0,"Beer",IF($H218&lt;&gt;0,"Liquor","-"))</f>
        <v>-</v>
      </c>
      <c r="R218" s="26">
        <f>IF($G218&lt;&gt;0,$G218,IF($H218&lt;&gt;0,$H218/0.75,0))</f>
        <v>0</v>
      </c>
      <c r="S218" s="32" t="b">
        <f>ISNUMBER(R218)</f>
        <v>1</v>
      </c>
      <c r="T218" s="32"/>
    </row>
    <row r="219" spans="1:20" x14ac:dyDescent="0.3">
      <c r="A219" s="9">
        <v>218</v>
      </c>
      <c r="B219" s="21">
        <v>44550.49046296296</v>
      </c>
      <c r="C219" s="11" t="s">
        <v>229</v>
      </c>
      <c r="D219" s="11" t="str">
        <f>IF(ISNUMBER(SEARCH("OSBC", C219)), "GOVT", "RETAIL")</f>
        <v>RETAIL</v>
      </c>
      <c r="E219" s="12">
        <v>416269.59</v>
      </c>
      <c r="F219" s="12">
        <v>0</v>
      </c>
      <c r="G219" s="11">
        <v>0</v>
      </c>
      <c r="H219" s="11">
        <v>332.65</v>
      </c>
      <c r="I219" s="12">
        <v>305263.05</v>
      </c>
      <c r="J219" s="12">
        <v>106842.07</v>
      </c>
      <c r="K219" s="12">
        <v>4121</v>
      </c>
      <c r="L219" s="12">
        <v>416226.12</v>
      </c>
      <c r="M219" s="13">
        <v>43.47</v>
      </c>
      <c r="N219">
        <f>YEAR(B219)</f>
        <v>2021</v>
      </c>
      <c r="O219" s="24">
        <f>IFERROR(J219/$I219,0)</f>
        <v>0.3500000081896581</v>
      </c>
      <c r="P219" s="24">
        <f>IFERROR(K219/$I219,0)</f>
        <v>1.3499832357699368E-2</v>
      </c>
      <c r="Q219" s="24" t="str">
        <f>IF($G219&lt;&gt;0,"Beer",IF($H219&lt;&gt;0,"Liquor","-"))</f>
        <v>Liquor</v>
      </c>
      <c r="R219" s="26">
        <f>IF($G219&lt;&gt;0,$G219,IF($H219&lt;&gt;0,$H219/0.75,0))</f>
        <v>443.5333333333333</v>
      </c>
      <c r="S219" s="32" t="b">
        <f>ISNUMBER(R219)</f>
        <v>1</v>
      </c>
      <c r="T219" s="32"/>
    </row>
    <row r="220" spans="1:20" x14ac:dyDescent="0.3">
      <c r="A220" s="9">
        <v>219</v>
      </c>
      <c r="B220" s="21">
        <v>44553.478946759256</v>
      </c>
      <c r="C220" s="11" t="s">
        <v>230</v>
      </c>
      <c r="D220" s="11" t="str">
        <f>IF(ISNUMBER(SEARCH("OSBC", C220)), "GOVT", "RETAIL")</f>
        <v>GOVT</v>
      </c>
      <c r="E220" s="12">
        <v>43.47</v>
      </c>
      <c r="F220" s="12">
        <v>450000</v>
      </c>
      <c r="G220" s="11">
        <v>0</v>
      </c>
      <c r="H220" s="11">
        <v>0</v>
      </c>
      <c r="I220" s="12">
        <v>0</v>
      </c>
      <c r="J220" s="12">
        <v>0</v>
      </c>
      <c r="K220" s="12">
        <v>0</v>
      </c>
      <c r="L220" s="12">
        <v>0</v>
      </c>
      <c r="M220" s="13">
        <v>450043.47</v>
      </c>
      <c r="N220">
        <f>YEAR(B220)</f>
        <v>2021</v>
      </c>
      <c r="O220" s="24">
        <f>IFERROR(J220/$I220,0)</f>
        <v>0</v>
      </c>
      <c r="P220" s="24">
        <f>IFERROR(K220/$I220,0)</f>
        <v>0</v>
      </c>
      <c r="Q220" s="24" t="str">
        <f>IF($G220&lt;&gt;0,"Beer",IF($H220&lt;&gt;0,"Liquor","-"))</f>
        <v>-</v>
      </c>
      <c r="R220" s="26">
        <f>IF($G220&lt;&gt;0,$G220,IF($H220&lt;&gt;0,$H220/0.75,0))</f>
        <v>0</v>
      </c>
      <c r="S220" s="32" t="b">
        <f>ISNUMBER(R220)</f>
        <v>1</v>
      </c>
      <c r="T220" s="32"/>
    </row>
    <row r="221" spans="1:20" x14ac:dyDescent="0.3">
      <c r="A221" s="9">
        <v>220</v>
      </c>
      <c r="B221" s="21">
        <v>44553.533726851849</v>
      </c>
      <c r="C221" s="11" t="s">
        <v>231</v>
      </c>
      <c r="D221" s="11" t="str">
        <f>IF(ISNUMBER(SEARCH("OSBC", C221)), "GOVT", "RETAIL")</f>
        <v>RETAIL</v>
      </c>
      <c r="E221" s="12">
        <v>450043.47</v>
      </c>
      <c r="F221" s="12">
        <v>0</v>
      </c>
      <c r="G221" s="11">
        <v>0</v>
      </c>
      <c r="H221" s="11">
        <v>389.93</v>
      </c>
      <c r="I221" s="12">
        <v>328505.43</v>
      </c>
      <c r="J221" s="12">
        <v>114976.9</v>
      </c>
      <c r="K221" s="12">
        <v>4435</v>
      </c>
      <c r="L221" s="12">
        <v>447917.33</v>
      </c>
      <c r="M221" s="13">
        <v>2126.14</v>
      </c>
      <c r="N221">
        <f>YEAR(B221)</f>
        <v>2021</v>
      </c>
      <c r="O221" s="24">
        <f>IFERROR(J221/$I221,0)</f>
        <v>0.34999999847795515</v>
      </c>
      <c r="P221" s="24">
        <f>IFERROR(K221/$I221,0)</f>
        <v>1.350053787543177E-2</v>
      </c>
      <c r="Q221" s="24" t="str">
        <f>IF($G221&lt;&gt;0,"Beer",IF($H221&lt;&gt;0,"Liquor","-"))</f>
        <v>Liquor</v>
      </c>
      <c r="R221" s="26">
        <f>IF($G221&lt;&gt;0,$G221,IF($H221&lt;&gt;0,$H221/0.75,0))</f>
        <v>519.90666666666664</v>
      </c>
      <c r="S221" s="32" t="b">
        <f>ISNUMBER(R221)</f>
        <v>1</v>
      </c>
      <c r="T221" s="32"/>
    </row>
    <row r="222" spans="1:20" x14ac:dyDescent="0.3">
      <c r="A222" s="9">
        <v>221</v>
      </c>
      <c r="B222" s="21">
        <v>44556.995150462964</v>
      </c>
      <c r="C222" s="11" t="s">
        <v>232</v>
      </c>
      <c r="D222" s="11" t="str">
        <f>IF(ISNUMBER(SEARCH("OSBC", C222)), "GOVT", "RETAIL")</f>
        <v>GOVT</v>
      </c>
      <c r="E222" s="12">
        <v>2126.14</v>
      </c>
      <c r="F222" s="12">
        <v>100000</v>
      </c>
      <c r="G222" s="11">
        <v>0</v>
      </c>
      <c r="H222" s="11">
        <v>0</v>
      </c>
      <c r="I222" s="12">
        <v>0</v>
      </c>
      <c r="J222" s="12">
        <v>0</v>
      </c>
      <c r="K222" s="12">
        <v>0</v>
      </c>
      <c r="L222" s="12">
        <v>0</v>
      </c>
      <c r="M222" s="13">
        <v>102126.14</v>
      </c>
      <c r="N222">
        <f>YEAR(B222)</f>
        <v>2021</v>
      </c>
      <c r="O222" s="24">
        <f>IFERROR(J222/$I222,0)</f>
        <v>0</v>
      </c>
      <c r="P222" s="24">
        <f>IFERROR(K222/$I222,0)</f>
        <v>0</v>
      </c>
      <c r="Q222" s="24" t="str">
        <f>IF($G222&lt;&gt;0,"Beer",IF($H222&lt;&gt;0,"Liquor","-"))</f>
        <v>-</v>
      </c>
      <c r="R222" s="26">
        <f>IF($G222&lt;&gt;0,$G222,IF($H222&lt;&gt;0,$H222/0.75,0))</f>
        <v>0</v>
      </c>
      <c r="S222" s="32" t="b">
        <f>ISNUMBER(R222)</f>
        <v>1</v>
      </c>
      <c r="T222" s="32"/>
    </row>
    <row r="223" spans="1:20" x14ac:dyDescent="0.3">
      <c r="A223" s="9">
        <v>222</v>
      </c>
      <c r="B223" s="21">
        <v>44556.997488425928</v>
      </c>
      <c r="C223" s="11" t="s">
        <v>233</v>
      </c>
      <c r="D223" s="11" t="str">
        <f>IF(ISNUMBER(SEARCH("OSBC", C223)), "GOVT", "RETAIL")</f>
        <v>GOVT</v>
      </c>
      <c r="E223" s="12">
        <v>102126.14</v>
      </c>
      <c r="F223" s="12">
        <v>100000</v>
      </c>
      <c r="G223" s="11">
        <v>0</v>
      </c>
      <c r="H223" s="11">
        <v>0</v>
      </c>
      <c r="I223" s="12">
        <v>0</v>
      </c>
      <c r="J223" s="12">
        <v>0</v>
      </c>
      <c r="K223" s="12">
        <v>0</v>
      </c>
      <c r="L223" s="12">
        <v>0</v>
      </c>
      <c r="M223" s="13">
        <v>202126.14</v>
      </c>
      <c r="N223">
        <f>YEAR(B223)</f>
        <v>2021</v>
      </c>
      <c r="O223" s="24">
        <f>IFERROR(J223/$I223,0)</f>
        <v>0</v>
      </c>
      <c r="P223" s="24">
        <f>IFERROR(K223/$I223,0)</f>
        <v>0</v>
      </c>
      <c r="Q223" s="24" t="str">
        <f>IF($G223&lt;&gt;0,"Beer",IF($H223&lt;&gt;0,"Liquor","-"))</f>
        <v>-</v>
      </c>
      <c r="R223" s="26">
        <f>IF($G223&lt;&gt;0,$G223,IF($H223&lt;&gt;0,$H223/0.75,0))</f>
        <v>0</v>
      </c>
      <c r="S223" s="32" t="b">
        <f>ISNUMBER(R223)</f>
        <v>1</v>
      </c>
      <c r="T223" s="32"/>
    </row>
    <row r="224" spans="1:20" x14ac:dyDescent="0.3">
      <c r="A224" s="9">
        <v>223</v>
      </c>
      <c r="B224" s="21">
        <v>44557.000486111108</v>
      </c>
      <c r="C224" s="11" t="s">
        <v>234</v>
      </c>
      <c r="D224" s="11" t="str">
        <f>IF(ISNUMBER(SEARCH("OSBC", C224)), "GOVT", "RETAIL")</f>
        <v>GOVT</v>
      </c>
      <c r="E224" s="12">
        <v>202126.14</v>
      </c>
      <c r="F224" s="12">
        <v>100000</v>
      </c>
      <c r="G224" s="11">
        <v>0</v>
      </c>
      <c r="H224" s="11">
        <v>0</v>
      </c>
      <c r="I224" s="12">
        <v>0</v>
      </c>
      <c r="J224" s="12">
        <v>0</v>
      </c>
      <c r="K224" s="12">
        <v>0</v>
      </c>
      <c r="L224" s="12">
        <v>0</v>
      </c>
      <c r="M224" s="13">
        <v>302126.14</v>
      </c>
      <c r="N224">
        <f>YEAR(B224)</f>
        <v>2021</v>
      </c>
      <c r="O224" s="24">
        <f>IFERROR(J224/$I224,0)</f>
        <v>0</v>
      </c>
      <c r="P224" s="24">
        <f>IFERROR(K224/$I224,0)</f>
        <v>0</v>
      </c>
      <c r="Q224" s="24" t="str">
        <f>IF($G224&lt;&gt;0,"Beer",IF($H224&lt;&gt;0,"Liquor","-"))</f>
        <v>-</v>
      </c>
      <c r="R224" s="26">
        <f>IF($G224&lt;&gt;0,$G224,IF($H224&lt;&gt;0,$H224/0.75,0))</f>
        <v>0</v>
      </c>
      <c r="S224" s="32" t="b">
        <f>ISNUMBER(R224)</f>
        <v>1</v>
      </c>
      <c r="T224" s="32"/>
    </row>
    <row r="225" spans="1:20" x14ac:dyDescent="0.3">
      <c r="A225" s="9">
        <v>224</v>
      </c>
      <c r="B225" s="21">
        <v>44557.002222222225</v>
      </c>
      <c r="C225" s="11" t="s">
        <v>235</v>
      </c>
      <c r="D225" s="11" t="str">
        <f>IF(ISNUMBER(SEARCH("OSBC", C225)), "GOVT", "RETAIL")</f>
        <v>GOVT</v>
      </c>
      <c r="E225" s="12">
        <v>302126.14</v>
      </c>
      <c r="F225" s="12">
        <v>113000</v>
      </c>
      <c r="G225" s="11">
        <v>0</v>
      </c>
      <c r="H225" s="11">
        <v>0</v>
      </c>
      <c r="I225" s="12">
        <v>0</v>
      </c>
      <c r="J225" s="12">
        <v>0</v>
      </c>
      <c r="K225" s="12">
        <v>0</v>
      </c>
      <c r="L225" s="12">
        <v>0</v>
      </c>
      <c r="M225" s="13">
        <v>415126.14</v>
      </c>
      <c r="N225">
        <f>YEAR(B225)</f>
        <v>2021</v>
      </c>
      <c r="O225" s="24">
        <f>IFERROR(J225/$I225,0)</f>
        <v>0</v>
      </c>
      <c r="P225" s="24">
        <f>IFERROR(K225/$I225,0)</f>
        <v>0</v>
      </c>
      <c r="Q225" s="24" t="str">
        <f>IF($G225&lt;&gt;0,"Beer",IF($H225&lt;&gt;0,"Liquor","-"))</f>
        <v>-</v>
      </c>
      <c r="R225" s="26">
        <f>IF($G225&lt;&gt;0,$G225,IF($H225&lt;&gt;0,$H225/0.75,0))</f>
        <v>0</v>
      </c>
      <c r="S225" s="32" t="b">
        <f>ISNUMBER(R225)</f>
        <v>1</v>
      </c>
      <c r="T225" s="32"/>
    </row>
    <row r="226" spans="1:20" x14ac:dyDescent="0.3">
      <c r="A226" s="9">
        <v>225</v>
      </c>
      <c r="B226" s="21">
        <v>44557.489872685182</v>
      </c>
      <c r="C226" s="11" t="s">
        <v>236</v>
      </c>
      <c r="D226" s="11" t="str">
        <f>IF(ISNUMBER(SEARCH("OSBC", C226)), "GOVT", "RETAIL")</f>
        <v>RETAIL</v>
      </c>
      <c r="E226" s="12">
        <v>415126.14</v>
      </c>
      <c r="F226" s="12">
        <v>0</v>
      </c>
      <c r="G226" s="11">
        <v>0</v>
      </c>
      <c r="H226" s="11">
        <v>307.52999999999997</v>
      </c>
      <c r="I226" s="12">
        <v>255000.13</v>
      </c>
      <c r="J226" s="12">
        <v>89250.05</v>
      </c>
      <c r="K226" s="12">
        <v>3442</v>
      </c>
      <c r="L226" s="12">
        <v>347692.18</v>
      </c>
      <c r="M226" s="13">
        <v>67433.960000000006</v>
      </c>
      <c r="N226">
        <f>YEAR(B226)</f>
        <v>2021</v>
      </c>
      <c r="O226" s="24">
        <f>IFERROR(J226/$I226,0)</f>
        <v>0.35000001764704985</v>
      </c>
      <c r="P226" s="24">
        <f>IFERROR(K226/$I226,0)</f>
        <v>1.3498032334336456E-2</v>
      </c>
      <c r="Q226" s="24" t="str">
        <f>IF($G226&lt;&gt;0,"Beer",IF($H226&lt;&gt;0,"Liquor","-"))</f>
        <v>Liquor</v>
      </c>
      <c r="R226" s="26">
        <f>IF($G226&lt;&gt;0,$G226,IF($H226&lt;&gt;0,$H226/0.75,0))</f>
        <v>410.03999999999996</v>
      </c>
      <c r="S226" s="32" t="b">
        <f>ISNUMBER(R226)</f>
        <v>1</v>
      </c>
      <c r="T226" s="32"/>
    </row>
    <row r="227" spans="1:20" x14ac:dyDescent="0.3">
      <c r="A227" s="9">
        <v>226</v>
      </c>
      <c r="B227" s="21">
        <v>44557.492013888892</v>
      </c>
      <c r="C227" s="11" t="s">
        <v>237</v>
      </c>
      <c r="D227" s="11" t="str">
        <f>IF(ISNUMBER(SEARCH("OSBC", C227)), "GOVT", "RETAIL")</f>
        <v>RETAIL</v>
      </c>
      <c r="E227" s="12">
        <v>67433.960000000006</v>
      </c>
      <c r="F227" s="12">
        <v>0</v>
      </c>
      <c r="G227" s="11">
        <v>296.39999999999998</v>
      </c>
      <c r="H227" s="11">
        <v>0</v>
      </c>
      <c r="I227" s="12">
        <v>48888.88</v>
      </c>
      <c r="J227" s="12">
        <v>17111.13</v>
      </c>
      <c r="K227" s="12">
        <v>660</v>
      </c>
      <c r="L227" s="12">
        <v>66660.009999999995</v>
      </c>
      <c r="M227" s="13">
        <v>773.95</v>
      </c>
      <c r="N227">
        <f>YEAR(B227)</f>
        <v>2021</v>
      </c>
      <c r="O227" s="24">
        <f>IFERROR(J227/$I227,0)</f>
        <v>0.35000045000008184</v>
      </c>
      <c r="P227" s="24">
        <f>IFERROR(K227/$I227,0)</f>
        <v>1.3500002454545901E-2</v>
      </c>
      <c r="Q227" s="24" t="str">
        <f>IF($G227&lt;&gt;0,"Beer",IF($H227&lt;&gt;0,"Liquor","-"))</f>
        <v>Beer</v>
      </c>
      <c r="R227" s="26">
        <f>IF($G227&lt;&gt;0,$G227,IF($H227&lt;&gt;0,$H227/0.75,0))</f>
        <v>296.39999999999998</v>
      </c>
      <c r="S227" s="32" t="b">
        <f>ISNUMBER(R227)</f>
        <v>1</v>
      </c>
      <c r="T227" s="32"/>
    </row>
    <row r="228" spans="1:20" x14ac:dyDescent="0.3">
      <c r="A228" s="9">
        <v>227</v>
      </c>
      <c r="B228" s="21">
        <v>44559.67664351852</v>
      </c>
      <c r="C228" s="11" t="s">
        <v>238</v>
      </c>
      <c r="D228" s="11" t="str">
        <f>IF(ISNUMBER(SEARCH("OSBC", C228)), "GOVT", "RETAIL")</f>
        <v>GOVT</v>
      </c>
      <c r="E228" s="12">
        <v>773.95</v>
      </c>
      <c r="F228" s="12">
        <v>350000</v>
      </c>
      <c r="G228" s="11">
        <v>0</v>
      </c>
      <c r="H228" s="11">
        <v>0</v>
      </c>
      <c r="I228" s="12">
        <v>0</v>
      </c>
      <c r="J228" s="12">
        <v>0</v>
      </c>
      <c r="K228" s="12">
        <v>0</v>
      </c>
      <c r="L228" s="12">
        <v>0</v>
      </c>
      <c r="M228" s="13">
        <v>350773.95</v>
      </c>
      <c r="N228">
        <f>YEAR(B228)</f>
        <v>2021</v>
      </c>
      <c r="O228" s="24">
        <f>IFERROR(J228/$I228,0)</f>
        <v>0</v>
      </c>
      <c r="P228" s="24">
        <f>IFERROR(K228/$I228,0)</f>
        <v>0</v>
      </c>
      <c r="Q228" s="24" t="str">
        <f>IF($G228&lt;&gt;0,"Beer",IF($H228&lt;&gt;0,"Liquor","-"))</f>
        <v>-</v>
      </c>
      <c r="R228" s="26">
        <f>IF($G228&lt;&gt;0,$G228,IF($H228&lt;&gt;0,$H228/0.75,0))</f>
        <v>0</v>
      </c>
      <c r="S228" s="32" t="b">
        <f>ISNUMBER(R228)</f>
        <v>1</v>
      </c>
      <c r="T228" s="32"/>
    </row>
    <row r="229" spans="1:20" x14ac:dyDescent="0.3">
      <c r="A229" s="9">
        <v>228</v>
      </c>
      <c r="B229" s="21">
        <v>44561.482453703706</v>
      </c>
      <c r="C229" s="11" t="s">
        <v>239</v>
      </c>
      <c r="D229" s="11" t="str">
        <f>IF(ISNUMBER(SEARCH("OSBC", C229)), "GOVT", "RETAIL")</f>
        <v>RETAIL</v>
      </c>
      <c r="E229" s="12">
        <v>350773.95</v>
      </c>
      <c r="F229" s="12">
        <v>0</v>
      </c>
      <c r="G229" s="11">
        <v>0</v>
      </c>
      <c r="H229" s="11">
        <v>302.88</v>
      </c>
      <c r="I229" s="12">
        <v>257222.27</v>
      </c>
      <c r="J229" s="12">
        <v>90027.79</v>
      </c>
      <c r="K229" s="12">
        <v>3472</v>
      </c>
      <c r="L229" s="12">
        <v>350722.06</v>
      </c>
      <c r="M229" s="13">
        <v>51.89</v>
      </c>
      <c r="N229">
        <f>YEAR(B229)</f>
        <v>2021</v>
      </c>
      <c r="O229" s="24">
        <f>IFERROR(J229/$I229,0)</f>
        <v>0.34999998250540282</v>
      </c>
      <c r="P229" s="24">
        <f>IFERROR(K229/$I229,0)</f>
        <v>1.349805364830969E-2</v>
      </c>
      <c r="Q229" s="24" t="str">
        <f>IF($G229&lt;&gt;0,"Beer",IF($H229&lt;&gt;0,"Liquor","-"))</f>
        <v>Liquor</v>
      </c>
      <c r="R229" s="26">
        <f>IF($G229&lt;&gt;0,$G229,IF($H229&lt;&gt;0,$H229/0.75,0))</f>
        <v>403.84</v>
      </c>
      <c r="S229" s="32" t="b">
        <f>ISNUMBER(R229)</f>
        <v>1</v>
      </c>
      <c r="T229" s="32"/>
    </row>
    <row r="230" spans="1:20" x14ac:dyDescent="0.3">
      <c r="A230" s="9">
        <v>229</v>
      </c>
      <c r="B230" s="21">
        <v>44561.921168981484</v>
      </c>
      <c r="C230" s="11" t="s">
        <v>240</v>
      </c>
      <c r="D230" s="11" t="str">
        <f>IF(ISNUMBER(SEARCH("OSBC", C230)), "GOVT", "RETAIL")</f>
        <v>GOVT</v>
      </c>
      <c r="E230" s="12">
        <v>51.89</v>
      </c>
      <c r="F230" s="12">
        <v>340000</v>
      </c>
      <c r="G230" s="11">
        <v>0</v>
      </c>
      <c r="H230" s="11">
        <v>0</v>
      </c>
      <c r="I230" s="12">
        <v>0</v>
      </c>
      <c r="J230" s="12">
        <v>0</v>
      </c>
      <c r="K230" s="12">
        <v>0</v>
      </c>
      <c r="L230" s="12">
        <v>0</v>
      </c>
      <c r="M230" s="13">
        <v>340051.89</v>
      </c>
      <c r="N230">
        <f>YEAR(B230)</f>
        <v>2021</v>
      </c>
      <c r="O230" s="24">
        <f>IFERROR(J230/$I230,0)</f>
        <v>0</v>
      </c>
      <c r="P230" s="24">
        <f>IFERROR(K230/$I230,0)</f>
        <v>0</v>
      </c>
      <c r="Q230" s="24" t="str">
        <f>IF($G230&lt;&gt;0,"Beer",IF($H230&lt;&gt;0,"Liquor","-"))</f>
        <v>-</v>
      </c>
      <c r="R230" s="26">
        <f>IF($G230&lt;&gt;0,$G230,IF($H230&lt;&gt;0,$H230/0.75,0))</f>
        <v>0</v>
      </c>
      <c r="S230" s="32" t="b">
        <f>ISNUMBER(R230)</f>
        <v>1</v>
      </c>
      <c r="T230" s="32"/>
    </row>
    <row r="231" spans="1:20" x14ac:dyDescent="0.3">
      <c r="A231" s="9">
        <v>230</v>
      </c>
      <c r="B231" s="21">
        <v>44562.465312499997</v>
      </c>
      <c r="C231" s="11" t="s">
        <v>241</v>
      </c>
      <c r="D231" s="11" t="str">
        <f>IF(ISNUMBER(SEARCH("OSBC", C231)), "GOVT", "RETAIL")</f>
        <v>RETAIL</v>
      </c>
      <c r="E231" s="12">
        <v>340051.89</v>
      </c>
      <c r="F231" s="12">
        <v>0</v>
      </c>
      <c r="G231" s="11">
        <v>0</v>
      </c>
      <c r="H231" s="11">
        <v>283.8</v>
      </c>
      <c r="I231" s="12">
        <v>248492.16</v>
      </c>
      <c r="J231" s="12">
        <v>86972.26</v>
      </c>
      <c r="K231" s="12">
        <v>3355</v>
      </c>
      <c r="L231" s="12">
        <v>338819.42</v>
      </c>
      <c r="M231" s="13">
        <v>1232.47</v>
      </c>
      <c r="N231">
        <f>YEAR(B231)</f>
        <v>2022</v>
      </c>
      <c r="O231" s="24">
        <f>IFERROR(J231/$I231,0)</f>
        <v>0.35000001609708731</v>
      </c>
      <c r="P231" s="24">
        <f>IFERROR(K231/$I231,0)</f>
        <v>1.3501431996888755E-2</v>
      </c>
      <c r="Q231" s="24" t="str">
        <f>IF($G231&lt;&gt;0,"Beer",IF($H231&lt;&gt;0,"Liquor","-"))</f>
        <v>Liquor</v>
      </c>
      <c r="R231" s="26">
        <f>IF($G231&lt;&gt;0,$G231,IF($H231&lt;&gt;0,$H231/0.75,0))</f>
        <v>378.40000000000003</v>
      </c>
      <c r="S231" s="32" t="b">
        <f>ISNUMBER(R231)</f>
        <v>1</v>
      </c>
      <c r="T231" s="32"/>
    </row>
    <row r="232" spans="1:20" x14ac:dyDescent="0.3">
      <c r="A232" s="9">
        <v>231</v>
      </c>
      <c r="B232" s="21">
        <v>44565.769687499997</v>
      </c>
      <c r="C232" s="11" t="s">
        <v>242</v>
      </c>
      <c r="D232" s="11" t="str">
        <f>IF(ISNUMBER(SEARCH("OSBC", C232)), "GOVT", "RETAIL")</f>
        <v>GOVT</v>
      </c>
      <c r="E232" s="12">
        <v>1232.47</v>
      </c>
      <c r="F232" s="12">
        <v>60000</v>
      </c>
      <c r="G232" s="11">
        <v>0</v>
      </c>
      <c r="H232" s="11">
        <v>0</v>
      </c>
      <c r="I232" s="12">
        <v>0</v>
      </c>
      <c r="J232" s="12">
        <v>0</v>
      </c>
      <c r="K232" s="12">
        <v>0</v>
      </c>
      <c r="L232" s="12">
        <v>0</v>
      </c>
      <c r="M232" s="13">
        <v>61232.47</v>
      </c>
      <c r="N232">
        <f>YEAR(B232)</f>
        <v>2022</v>
      </c>
      <c r="O232" s="24">
        <f>IFERROR(J232/$I232,0)</f>
        <v>0</v>
      </c>
      <c r="P232" s="24">
        <f>IFERROR(K232/$I232,0)</f>
        <v>0</v>
      </c>
      <c r="Q232" s="24" t="str">
        <f>IF($G232&lt;&gt;0,"Beer",IF($H232&lt;&gt;0,"Liquor","-"))</f>
        <v>-</v>
      </c>
      <c r="R232" s="26">
        <f>IF($G232&lt;&gt;0,$G232,IF($H232&lt;&gt;0,$H232/0.75,0))</f>
        <v>0</v>
      </c>
      <c r="S232" s="32" t="b">
        <f>ISNUMBER(R232)</f>
        <v>1</v>
      </c>
      <c r="T232" s="32"/>
    </row>
    <row r="233" spans="1:20" x14ac:dyDescent="0.3">
      <c r="A233" s="9">
        <v>232</v>
      </c>
      <c r="B233" s="21">
        <v>44566.453321759262</v>
      </c>
      <c r="C233" s="11" t="s">
        <v>243</v>
      </c>
      <c r="D233" s="11" t="str">
        <f>IF(ISNUMBER(SEARCH("OSBC", C233)), "GOVT", "RETAIL")</f>
        <v>RETAIL</v>
      </c>
      <c r="E233" s="12">
        <v>61232.47</v>
      </c>
      <c r="F233" s="12">
        <v>0</v>
      </c>
      <c r="G233" s="11">
        <v>282</v>
      </c>
      <c r="H233" s="11">
        <v>0</v>
      </c>
      <c r="I233" s="12">
        <v>44523.79</v>
      </c>
      <c r="J233" s="12">
        <v>15583.33</v>
      </c>
      <c r="K233" s="12">
        <v>601</v>
      </c>
      <c r="L233" s="12">
        <v>60708.12</v>
      </c>
      <c r="M233" s="13">
        <v>524.35</v>
      </c>
      <c r="N233">
        <f>YEAR(B233)</f>
        <v>2022</v>
      </c>
      <c r="O233" s="24">
        <f>IFERROR(J233/$I233,0)</f>
        <v>0.35000007860966015</v>
      </c>
      <c r="P233" s="24">
        <f>IFERROR(K233/$I233,0)</f>
        <v>1.3498401641010346E-2</v>
      </c>
      <c r="Q233" s="24" t="str">
        <f>IF($G233&lt;&gt;0,"Beer",IF($H233&lt;&gt;0,"Liquor","-"))</f>
        <v>Beer</v>
      </c>
      <c r="R233" s="26">
        <f>IF($G233&lt;&gt;0,$G233,IF($H233&lt;&gt;0,$H233/0.75,0))</f>
        <v>282</v>
      </c>
      <c r="S233" s="32" t="b">
        <f>ISNUMBER(R233)</f>
        <v>1</v>
      </c>
      <c r="T233" s="32"/>
    </row>
    <row r="234" spans="1:20" x14ac:dyDescent="0.3">
      <c r="A234" s="9">
        <v>233</v>
      </c>
      <c r="B234" s="21">
        <v>44568.655069444445</v>
      </c>
      <c r="C234" s="11" t="s">
        <v>244</v>
      </c>
      <c r="D234" s="11" t="str">
        <f>IF(ISNUMBER(SEARCH("OSBC", C234)), "GOVT", "RETAIL")</f>
        <v>GOVT</v>
      </c>
      <c r="E234" s="12">
        <v>524.35</v>
      </c>
      <c r="F234" s="12">
        <v>50000</v>
      </c>
      <c r="G234" s="11">
        <v>0</v>
      </c>
      <c r="H234" s="11">
        <v>0</v>
      </c>
      <c r="I234" s="12">
        <v>0</v>
      </c>
      <c r="J234" s="12">
        <v>0</v>
      </c>
      <c r="K234" s="12">
        <v>0</v>
      </c>
      <c r="L234" s="12">
        <v>0</v>
      </c>
      <c r="M234" s="13">
        <v>50524.35</v>
      </c>
      <c r="N234">
        <f>YEAR(B234)</f>
        <v>2022</v>
      </c>
      <c r="O234" s="24">
        <f>IFERROR(J234/$I234,0)</f>
        <v>0</v>
      </c>
      <c r="P234" s="24">
        <f>IFERROR(K234/$I234,0)</f>
        <v>0</v>
      </c>
      <c r="Q234" s="24" t="str">
        <f>IF($G234&lt;&gt;0,"Beer",IF($H234&lt;&gt;0,"Liquor","-"))</f>
        <v>-</v>
      </c>
      <c r="R234" s="26">
        <f>IF($G234&lt;&gt;0,$G234,IF($H234&lt;&gt;0,$H234/0.75,0))</f>
        <v>0</v>
      </c>
      <c r="S234" s="32" t="b">
        <f>ISNUMBER(R234)</f>
        <v>1</v>
      </c>
      <c r="T234" s="32"/>
    </row>
    <row r="235" spans="1:20" x14ac:dyDescent="0.3">
      <c r="A235" s="9">
        <v>234</v>
      </c>
      <c r="B235" s="21">
        <v>44569.538506944446</v>
      </c>
      <c r="C235" s="11" t="s">
        <v>245</v>
      </c>
      <c r="D235" s="11" t="str">
        <f>IF(ISNUMBER(SEARCH("OSBC", C235)), "GOVT", "RETAIL")</f>
        <v>RETAIL</v>
      </c>
      <c r="E235" s="12">
        <v>50524.35</v>
      </c>
      <c r="F235" s="12">
        <v>0</v>
      </c>
      <c r="G235" s="11">
        <v>0</v>
      </c>
      <c r="H235" s="11">
        <v>47.25</v>
      </c>
      <c r="I235" s="12">
        <v>35793.65</v>
      </c>
      <c r="J235" s="12">
        <v>12527.78</v>
      </c>
      <c r="K235" s="12">
        <v>483</v>
      </c>
      <c r="L235" s="12">
        <v>48804.43</v>
      </c>
      <c r="M235" s="13">
        <v>1719.92</v>
      </c>
      <c r="N235">
        <f>YEAR(B235)</f>
        <v>2022</v>
      </c>
      <c r="O235" s="24">
        <f>IFERROR(J235/$I235,0)</f>
        <v>0.35000006984479093</v>
      </c>
      <c r="P235" s="24">
        <f>IFERROR(K235/$I235,0)</f>
        <v>1.3494013602971476E-2</v>
      </c>
      <c r="Q235" s="24" t="str">
        <f>IF($G235&lt;&gt;0,"Beer",IF($H235&lt;&gt;0,"Liquor","-"))</f>
        <v>Liquor</v>
      </c>
      <c r="R235" s="26">
        <f>IF($G235&lt;&gt;0,$G235,IF($H235&lt;&gt;0,$H235/0.75,0))</f>
        <v>63</v>
      </c>
      <c r="S235" s="32" t="b">
        <f>ISNUMBER(R235)</f>
        <v>1</v>
      </c>
      <c r="T235" s="32"/>
    </row>
    <row r="236" spans="1:20" x14ac:dyDescent="0.3">
      <c r="A236" s="9">
        <v>235</v>
      </c>
      <c r="B236" s="21">
        <v>44571.397152777776</v>
      </c>
      <c r="C236" s="11" t="s">
        <v>246</v>
      </c>
      <c r="D236" s="11" t="str">
        <f>IF(ISNUMBER(SEARCH("OSBC", C236)), "GOVT", "RETAIL")</f>
        <v>GOVT</v>
      </c>
      <c r="E236" s="12">
        <v>1719.92</v>
      </c>
      <c r="F236" s="12">
        <v>50000</v>
      </c>
      <c r="G236" s="11">
        <v>0</v>
      </c>
      <c r="H236" s="11">
        <v>0</v>
      </c>
      <c r="I236" s="12">
        <v>0</v>
      </c>
      <c r="J236" s="12">
        <v>0</v>
      </c>
      <c r="K236" s="12">
        <v>0</v>
      </c>
      <c r="L236" s="12">
        <v>0</v>
      </c>
      <c r="M236" s="13">
        <v>51719.92</v>
      </c>
      <c r="N236">
        <f>YEAR(B236)</f>
        <v>2022</v>
      </c>
      <c r="O236" s="24">
        <f>IFERROR(J236/$I236,0)</f>
        <v>0</v>
      </c>
      <c r="P236" s="24">
        <f>IFERROR(K236/$I236,0)</f>
        <v>0</v>
      </c>
      <c r="Q236" s="24" t="str">
        <f>IF($G236&lt;&gt;0,"Beer",IF($H236&lt;&gt;0,"Liquor","-"))</f>
        <v>-</v>
      </c>
      <c r="R236" s="26">
        <f>IF($G236&lt;&gt;0,$G236,IF($H236&lt;&gt;0,$H236/0.75,0))</f>
        <v>0</v>
      </c>
      <c r="S236" s="32" t="b">
        <f>ISNUMBER(R236)</f>
        <v>1</v>
      </c>
      <c r="T236" s="32"/>
    </row>
    <row r="237" spans="1:20" x14ac:dyDescent="0.3">
      <c r="A237" s="9">
        <v>236</v>
      </c>
      <c r="B237" s="21">
        <v>44571.470057870371</v>
      </c>
      <c r="C237" s="11" t="s">
        <v>247</v>
      </c>
      <c r="D237" s="11" t="str">
        <f>IF(ISNUMBER(SEARCH("OSBC", C237)), "GOVT", "RETAIL")</f>
        <v>RETAIL</v>
      </c>
      <c r="E237" s="12">
        <v>51719.92</v>
      </c>
      <c r="F237" s="12">
        <v>0</v>
      </c>
      <c r="G237" s="11">
        <v>0</v>
      </c>
      <c r="H237" s="11">
        <v>47.25</v>
      </c>
      <c r="I237" s="12">
        <v>34920.629999999997</v>
      </c>
      <c r="J237" s="12">
        <v>12222.22</v>
      </c>
      <c r="K237" s="12">
        <v>471</v>
      </c>
      <c r="L237" s="12">
        <v>47613.85</v>
      </c>
      <c r="M237" s="13">
        <v>4106.07</v>
      </c>
      <c r="N237">
        <f>YEAR(B237)</f>
        <v>2022</v>
      </c>
      <c r="O237" s="24">
        <f>IFERROR(J237/$I237,0)</f>
        <v>0.34999998568181617</v>
      </c>
      <c r="P237" s="24">
        <f>IFERROR(K237/$I237,0)</f>
        <v>1.3487729173270929E-2</v>
      </c>
      <c r="Q237" s="24" t="str">
        <f>IF($G237&lt;&gt;0,"Beer",IF($H237&lt;&gt;0,"Liquor","-"))</f>
        <v>Liquor</v>
      </c>
      <c r="R237" s="26">
        <f>IF($G237&lt;&gt;0,$G237,IF($H237&lt;&gt;0,$H237/0.75,0))</f>
        <v>63</v>
      </c>
      <c r="S237" s="32" t="b">
        <f>ISNUMBER(R237)</f>
        <v>1</v>
      </c>
      <c r="T237" s="32"/>
    </row>
    <row r="238" spans="1:20" x14ac:dyDescent="0.3">
      <c r="A238" s="9">
        <v>237</v>
      </c>
      <c r="B238" s="21">
        <v>44580.398935185185</v>
      </c>
      <c r="C238" s="11" t="s">
        <v>248</v>
      </c>
      <c r="D238" s="11" t="str">
        <f>IF(ISNUMBER(SEARCH("OSBC", C238)), "GOVT", "RETAIL")</f>
        <v>GOVT</v>
      </c>
      <c r="E238" s="12">
        <v>4106.07</v>
      </c>
      <c r="F238" s="12">
        <v>105000</v>
      </c>
      <c r="G238" s="11">
        <v>0</v>
      </c>
      <c r="H238" s="11">
        <v>0</v>
      </c>
      <c r="I238" s="12">
        <v>0</v>
      </c>
      <c r="J238" s="12">
        <v>0</v>
      </c>
      <c r="K238" s="12">
        <v>0</v>
      </c>
      <c r="L238" s="12">
        <v>0</v>
      </c>
      <c r="M238" s="13">
        <v>109106.07</v>
      </c>
      <c r="N238">
        <f>YEAR(B238)</f>
        <v>2022</v>
      </c>
      <c r="O238" s="24">
        <f>IFERROR(J238/$I238,0)</f>
        <v>0</v>
      </c>
      <c r="P238" s="24">
        <f>IFERROR(K238/$I238,0)</f>
        <v>0</v>
      </c>
      <c r="Q238" s="24" t="str">
        <f>IF($G238&lt;&gt;0,"Beer",IF($H238&lt;&gt;0,"Liquor","-"))</f>
        <v>-</v>
      </c>
      <c r="R238" s="26">
        <f>IF($G238&lt;&gt;0,$G238,IF($H238&lt;&gt;0,$H238/0.75,0))</f>
        <v>0</v>
      </c>
      <c r="S238" s="32" t="b">
        <f>ISNUMBER(R238)</f>
        <v>1</v>
      </c>
      <c r="T238" s="32"/>
    </row>
    <row r="239" spans="1:20" x14ac:dyDescent="0.3">
      <c r="A239" s="9">
        <v>238</v>
      </c>
      <c r="B239" s="21">
        <v>44580.475208333337</v>
      </c>
      <c r="C239" s="11" t="s">
        <v>249</v>
      </c>
      <c r="D239" s="11" t="str">
        <f>IF(ISNUMBER(SEARCH("OSBC", C239)), "GOVT", "RETAIL")</f>
        <v>RETAIL</v>
      </c>
      <c r="E239" s="12">
        <v>109106.07</v>
      </c>
      <c r="F239" s="12">
        <v>0</v>
      </c>
      <c r="G239" s="11">
        <v>0</v>
      </c>
      <c r="H239" s="11">
        <v>67.5</v>
      </c>
      <c r="I239" s="12">
        <v>60476.19</v>
      </c>
      <c r="J239" s="12">
        <v>21166.68</v>
      </c>
      <c r="K239" s="12">
        <v>816</v>
      </c>
      <c r="L239" s="12">
        <v>82458.87</v>
      </c>
      <c r="M239" s="13">
        <v>26647.200000000001</v>
      </c>
      <c r="N239">
        <f>YEAR(B239)</f>
        <v>2022</v>
      </c>
      <c r="O239" s="24">
        <f>IFERROR(J239/$I239,0)</f>
        <v>0.35000022322834823</v>
      </c>
      <c r="P239" s="24">
        <f>IFERROR(K239/$I239,0)</f>
        <v>1.3492913492070184E-2</v>
      </c>
      <c r="Q239" s="24" t="str">
        <f>IF($G239&lt;&gt;0,"Beer",IF($H239&lt;&gt;0,"Liquor","-"))</f>
        <v>Liquor</v>
      </c>
      <c r="R239" s="26">
        <f>IF($G239&lt;&gt;0,$G239,IF($H239&lt;&gt;0,$H239/0.75,0))</f>
        <v>90</v>
      </c>
      <c r="S239" s="32" t="b">
        <f>ISNUMBER(R239)</f>
        <v>1</v>
      </c>
      <c r="T239" s="32"/>
    </row>
    <row r="240" spans="1:20" x14ac:dyDescent="0.3">
      <c r="A240" s="9">
        <v>239</v>
      </c>
      <c r="B240" s="21">
        <v>44582.407546296294</v>
      </c>
      <c r="C240" s="11" t="s">
        <v>250</v>
      </c>
      <c r="D240" s="11" t="str">
        <f>IF(ISNUMBER(SEARCH("OSBC", C240)), "GOVT", "RETAIL")</f>
        <v>GOVT</v>
      </c>
      <c r="E240" s="12">
        <v>26647.200000000001</v>
      </c>
      <c r="F240" s="12">
        <v>71500</v>
      </c>
      <c r="G240" s="11">
        <v>0</v>
      </c>
      <c r="H240" s="11">
        <v>0</v>
      </c>
      <c r="I240" s="12">
        <v>0</v>
      </c>
      <c r="J240" s="12">
        <v>0</v>
      </c>
      <c r="K240" s="12">
        <v>0</v>
      </c>
      <c r="L240" s="12">
        <v>0</v>
      </c>
      <c r="M240" s="13">
        <v>98147.199999999997</v>
      </c>
      <c r="N240">
        <f>YEAR(B240)</f>
        <v>2022</v>
      </c>
      <c r="O240" s="24">
        <f>IFERROR(J240/$I240,0)</f>
        <v>0</v>
      </c>
      <c r="P240" s="24">
        <f>IFERROR(K240/$I240,0)</f>
        <v>0</v>
      </c>
      <c r="Q240" s="24" t="str">
        <f>IF($G240&lt;&gt;0,"Beer",IF($H240&lt;&gt;0,"Liquor","-"))</f>
        <v>-</v>
      </c>
      <c r="R240" s="26">
        <f>IF($G240&lt;&gt;0,$G240,IF($H240&lt;&gt;0,$H240/0.75,0))</f>
        <v>0</v>
      </c>
      <c r="S240" s="32" t="b">
        <f>ISNUMBER(R240)</f>
        <v>1</v>
      </c>
      <c r="T240" s="32"/>
    </row>
    <row r="241" spans="1:20" x14ac:dyDescent="0.3">
      <c r="A241" s="9">
        <v>240</v>
      </c>
      <c r="B241" s="21">
        <v>44582.475023148145</v>
      </c>
      <c r="C241" s="11" t="s">
        <v>251</v>
      </c>
      <c r="D241" s="11" t="str">
        <f>IF(ISNUMBER(SEARCH("OSBC", C241)), "GOVT", "RETAIL")</f>
        <v>RETAIL</v>
      </c>
      <c r="E241" s="12">
        <v>98147.199999999997</v>
      </c>
      <c r="F241" s="12">
        <v>0</v>
      </c>
      <c r="G241" s="11">
        <v>0</v>
      </c>
      <c r="H241" s="11">
        <v>82.69</v>
      </c>
      <c r="I241" s="12">
        <v>71190.48</v>
      </c>
      <c r="J241" s="12">
        <v>24916.67</v>
      </c>
      <c r="K241" s="12">
        <v>961</v>
      </c>
      <c r="L241" s="12">
        <v>97068.15</v>
      </c>
      <c r="M241" s="13">
        <v>1079.05</v>
      </c>
      <c r="N241">
        <f>YEAR(B241)</f>
        <v>2022</v>
      </c>
      <c r="O241" s="24">
        <f>IFERROR(J241/$I241,0)</f>
        <v>0.350000028093644</v>
      </c>
      <c r="P241" s="24">
        <f>IFERROR(K241/$I241,0)</f>
        <v>1.3498995933164098E-2</v>
      </c>
      <c r="Q241" s="24" t="str">
        <f>IF($G241&lt;&gt;0,"Beer",IF($H241&lt;&gt;0,"Liquor","-"))</f>
        <v>Liquor</v>
      </c>
      <c r="R241" s="26">
        <f>IF($G241&lt;&gt;0,$G241,IF($H241&lt;&gt;0,$H241/0.75,0))</f>
        <v>110.25333333333333</v>
      </c>
      <c r="S241" s="32" t="b">
        <f>ISNUMBER(R241)</f>
        <v>1</v>
      </c>
      <c r="T241" s="32"/>
    </row>
    <row r="242" spans="1:20" x14ac:dyDescent="0.3">
      <c r="A242" s="9">
        <v>241</v>
      </c>
      <c r="B242" s="21">
        <v>44586.453460648147</v>
      </c>
      <c r="C242" s="11" t="s">
        <v>252</v>
      </c>
      <c r="D242" s="11" t="str">
        <f>IF(ISNUMBER(SEARCH("OSBC", C242)), "GOVT", "RETAIL")</f>
        <v>GOVT</v>
      </c>
      <c r="E242" s="12">
        <v>1079.05</v>
      </c>
      <c r="F242" s="12">
        <v>247000</v>
      </c>
      <c r="G242" s="11">
        <v>0</v>
      </c>
      <c r="H242" s="11">
        <v>0</v>
      </c>
      <c r="I242" s="12">
        <v>0</v>
      </c>
      <c r="J242" s="12">
        <v>0</v>
      </c>
      <c r="K242" s="12">
        <v>0</v>
      </c>
      <c r="L242" s="12">
        <v>0</v>
      </c>
      <c r="M242" s="13">
        <v>248079.05</v>
      </c>
      <c r="N242">
        <f>YEAR(B242)</f>
        <v>2022</v>
      </c>
      <c r="O242" s="24">
        <f>IFERROR(J242/$I242,0)</f>
        <v>0</v>
      </c>
      <c r="P242" s="24">
        <f>IFERROR(K242/$I242,0)</f>
        <v>0</v>
      </c>
      <c r="Q242" s="24" t="str">
        <f>IF($G242&lt;&gt;0,"Beer",IF($H242&lt;&gt;0,"Liquor","-"))</f>
        <v>-</v>
      </c>
      <c r="R242" s="26">
        <f>IF($G242&lt;&gt;0,$G242,IF($H242&lt;&gt;0,$H242/0.75,0))</f>
        <v>0</v>
      </c>
      <c r="S242" s="32" t="b">
        <f>ISNUMBER(R242)</f>
        <v>1</v>
      </c>
      <c r="T242" s="32"/>
    </row>
    <row r="243" spans="1:20" x14ac:dyDescent="0.3">
      <c r="A243" s="9">
        <v>242</v>
      </c>
      <c r="B243" s="21">
        <v>44586.493993055556</v>
      </c>
      <c r="C243" s="11" t="s">
        <v>253</v>
      </c>
      <c r="D243" s="11" t="str">
        <f>IF(ISNUMBER(SEARCH("OSBC", C243)), "GOVT", "RETAIL")</f>
        <v>RETAIL</v>
      </c>
      <c r="E243" s="12">
        <v>248079.05</v>
      </c>
      <c r="F243" s="12">
        <v>0</v>
      </c>
      <c r="G243" s="11">
        <v>0</v>
      </c>
      <c r="H243" s="11">
        <v>102.62</v>
      </c>
      <c r="I243" s="12">
        <v>101011.9</v>
      </c>
      <c r="J243" s="12">
        <v>35354.17</v>
      </c>
      <c r="K243" s="12">
        <v>1364</v>
      </c>
      <c r="L243" s="12">
        <v>137730.07</v>
      </c>
      <c r="M243" s="13">
        <v>110348.98</v>
      </c>
      <c r="N243">
        <f>YEAR(B243)</f>
        <v>2022</v>
      </c>
      <c r="O243" s="24">
        <f>IFERROR(J243/$I243,0)</f>
        <v>0.35000004949911845</v>
      </c>
      <c r="P243" s="24">
        <f>IFERROR(K243/$I243,0)</f>
        <v>1.3503359505167213E-2</v>
      </c>
      <c r="Q243" s="24" t="str">
        <f>IF($G243&lt;&gt;0,"Beer",IF($H243&lt;&gt;0,"Liquor","-"))</f>
        <v>Liquor</v>
      </c>
      <c r="R243" s="26">
        <f>IF($G243&lt;&gt;0,$G243,IF($H243&lt;&gt;0,$H243/0.75,0))</f>
        <v>136.82666666666668</v>
      </c>
      <c r="S243" s="32" t="b">
        <f>ISNUMBER(R243)</f>
        <v>1</v>
      </c>
      <c r="T243" s="32"/>
    </row>
    <row r="244" spans="1:20" x14ac:dyDescent="0.3">
      <c r="A244" s="9">
        <v>243</v>
      </c>
      <c r="B244" s="21">
        <v>44588.417164351849</v>
      </c>
      <c r="C244" s="11" t="s">
        <v>254</v>
      </c>
      <c r="D244" s="11" t="str">
        <f>IF(ISNUMBER(SEARCH("OSBC", C244)), "GOVT", "RETAIL")</f>
        <v>GOVT</v>
      </c>
      <c r="E244" s="12">
        <v>110348.98</v>
      </c>
      <c r="F244" s="12">
        <v>258000</v>
      </c>
      <c r="G244" s="11">
        <v>0</v>
      </c>
      <c r="H244" s="11">
        <v>0</v>
      </c>
      <c r="I244" s="12">
        <v>0</v>
      </c>
      <c r="J244" s="12">
        <v>0</v>
      </c>
      <c r="K244" s="12">
        <v>0</v>
      </c>
      <c r="L244" s="12">
        <v>0</v>
      </c>
      <c r="M244" s="13">
        <v>368348.98</v>
      </c>
      <c r="N244">
        <f>YEAR(B244)</f>
        <v>2022</v>
      </c>
      <c r="O244" s="24">
        <f>IFERROR(J244/$I244,0)</f>
        <v>0</v>
      </c>
      <c r="P244" s="24">
        <f>IFERROR(K244/$I244,0)</f>
        <v>0</v>
      </c>
      <c r="Q244" s="24" t="str">
        <f>IF($G244&lt;&gt;0,"Beer",IF($H244&lt;&gt;0,"Liquor","-"))</f>
        <v>-</v>
      </c>
      <c r="R244" s="26">
        <f>IF($G244&lt;&gt;0,$G244,IF($H244&lt;&gt;0,$H244/0.75,0))</f>
        <v>0</v>
      </c>
      <c r="S244" s="32" t="b">
        <f>ISNUMBER(R244)</f>
        <v>1</v>
      </c>
      <c r="T244" s="32"/>
    </row>
    <row r="245" spans="1:20" x14ac:dyDescent="0.3">
      <c r="A245" s="9">
        <v>244</v>
      </c>
      <c r="B245" s="21">
        <v>44588.488680555558</v>
      </c>
      <c r="C245" s="11" t="s">
        <v>255</v>
      </c>
      <c r="D245" s="11" t="str">
        <f>IF(ISNUMBER(SEARCH("OSBC", C245)), "GOVT", "RETAIL")</f>
        <v>RETAIL</v>
      </c>
      <c r="E245" s="12">
        <v>368348.98</v>
      </c>
      <c r="F245" s="12">
        <v>0</v>
      </c>
      <c r="G245" s="11">
        <v>0</v>
      </c>
      <c r="H245" s="11">
        <v>258.19</v>
      </c>
      <c r="I245" s="12">
        <v>210079.37</v>
      </c>
      <c r="J245" s="12">
        <v>73527.78</v>
      </c>
      <c r="K245" s="12">
        <v>2836</v>
      </c>
      <c r="L245" s="12">
        <v>286443.15000000002</v>
      </c>
      <c r="M245" s="13">
        <v>81905.83</v>
      </c>
      <c r="N245">
        <f>YEAR(B245)</f>
        <v>2022</v>
      </c>
      <c r="O245" s="24">
        <f>IFERROR(J245/$I245,0)</f>
        <v>0.35000000238005285</v>
      </c>
      <c r="P245" s="24">
        <f>IFERROR(K245/$I245,0)</f>
        <v>1.3499659676245222E-2</v>
      </c>
      <c r="Q245" s="24" t="str">
        <f>IF($G245&lt;&gt;0,"Beer",IF($H245&lt;&gt;0,"Liquor","-"))</f>
        <v>Liquor</v>
      </c>
      <c r="R245" s="26">
        <f>IF($G245&lt;&gt;0,$G245,IF($H245&lt;&gt;0,$H245/0.75,0))</f>
        <v>344.25333333333333</v>
      </c>
      <c r="S245" s="32" t="b">
        <f>ISNUMBER(R245)</f>
        <v>1</v>
      </c>
      <c r="T245" s="32"/>
    </row>
    <row r="246" spans="1:20" x14ac:dyDescent="0.3">
      <c r="A246" s="9">
        <v>245</v>
      </c>
      <c r="B246" s="21">
        <v>44588.48909722222</v>
      </c>
      <c r="C246" s="11" t="s">
        <v>256</v>
      </c>
      <c r="D246" s="11" t="str">
        <f>IF(ISNUMBER(SEARCH("OSBC", C246)), "GOVT", "RETAIL")</f>
        <v>RETAIL</v>
      </c>
      <c r="E246" s="12">
        <v>81905.83</v>
      </c>
      <c r="F246" s="12">
        <v>0</v>
      </c>
      <c r="G246" s="11">
        <v>228</v>
      </c>
      <c r="H246" s="11">
        <v>0</v>
      </c>
      <c r="I246" s="12">
        <v>37380.93</v>
      </c>
      <c r="J246" s="12">
        <v>13083.33</v>
      </c>
      <c r="K246" s="12">
        <v>505</v>
      </c>
      <c r="L246" s="12">
        <v>50969.26</v>
      </c>
      <c r="M246" s="13">
        <v>30936.57</v>
      </c>
      <c r="N246">
        <f>YEAR(B246)</f>
        <v>2022</v>
      </c>
      <c r="O246" s="24">
        <f>IFERROR(J246/$I246,0)</f>
        <v>0.35000012038223766</v>
      </c>
      <c r="P246" s="24">
        <f>IFERROR(K246/$I246,0)</f>
        <v>1.3509562228655092E-2</v>
      </c>
      <c r="Q246" s="24" t="str">
        <f>IF($G246&lt;&gt;0,"Beer",IF($H246&lt;&gt;0,"Liquor","-"))</f>
        <v>Beer</v>
      </c>
      <c r="R246" s="26">
        <f>IF($G246&lt;&gt;0,$G246,IF($H246&lt;&gt;0,$H246/0.75,0))</f>
        <v>228</v>
      </c>
      <c r="S246" s="32" t="b">
        <f>ISNUMBER(R246)</f>
        <v>1</v>
      </c>
      <c r="T246" s="32"/>
    </row>
    <row r="247" spans="1:20" x14ac:dyDescent="0.3">
      <c r="A247" s="9">
        <v>246</v>
      </c>
      <c r="B247" s="21">
        <v>44595.459039351852</v>
      </c>
      <c r="C247" s="11" t="s">
        <v>257</v>
      </c>
      <c r="D247" s="11" t="str">
        <f>IF(ISNUMBER(SEARCH("OSBC", C247)), "GOVT", "RETAIL")</f>
        <v>GOVT</v>
      </c>
      <c r="E247" s="12">
        <v>30936.57</v>
      </c>
      <c r="F247" s="12">
        <v>313000</v>
      </c>
      <c r="G247" s="11">
        <v>0</v>
      </c>
      <c r="H247" s="11">
        <v>0</v>
      </c>
      <c r="I247" s="12">
        <v>0</v>
      </c>
      <c r="J247" s="12">
        <v>0</v>
      </c>
      <c r="K247" s="12">
        <v>0</v>
      </c>
      <c r="L247" s="12">
        <v>0</v>
      </c>
      <c r="M247" s="13">
        <v>343936.57</v>
      </c>
      <c r="N247">
        <f>YEAR(B247)</f>
        <v>2022</v>
      </c>
      <c r="O247" s="24">
        <f>IFERROR(J247/$I247,0)</f>
        <v>0</v>
      </c>
      <c r="P247" s="24">
        <f>IFERROR(K247/$I247,0)</f>
        <v>0</v>
      </c>
      <c r="Q247" s="24" t="str">
        <f>IF($G247&lt;&gt;0,"Beer",IF($H247&lt;&gt;0,"Liquor","-"))</f>
        <v>-</v>
      </c>
      <c r="R247" s="26">
        <f>IF($G247&lt;&gt;0,$G247,IF($H247&lt;&gt;0,$H247/0.75,0))</f>
        <v>0</v>
      </c>
      <c r="S247" s="32" t="b">
        <f>ISNUMBER(R247)</f>
        <v>1</v>
      </c>
      <c r="T247" s="32"/>
    </row>
    <row r="248" spans="1:20" x14ac:dyDescent="0.3">
      <c r="A248" s="9">
        <v>247</v>
      </c>
      <c r="B248" s="21">
        <v>44595.529282407406</v>
      </c>
      <c r="C248" s="11" t="s">
        <v>258</v>
      </c>
      <c r="D248" s="11" t="str">
        <f>IF(ISNUMBER(SEARCH("OSBC", C248)), "GOVT", "RETAIL")</f>
        <v>RETAIL</v>
      </c>
      <c r="E248" s="12">
        <v>343936.57</v>
      </c>
      <c r="F248" s="12">
        <v>0</v>
      </c>
      <c r="G248" s="11">
        <v>314.39999999999998</v>
      </c>
      <c r="H248" s="11">
        <v>0</v>
      </c>
      <c r="I248" s="12">
        <v>47619</v>
      </c>
      <c r="J248" s="12">
        <v>16666.650000000001</v>
      </c>
      <c r="K248" s="12">
        <v>643</v>
      </c>
      <c r="L248" s="12">
        <v>64928.65</v>
      </c>
      <c r="M248" s="13">
        <v>279007.92</v>
      </c>
      <c r="N248">
        <f>YEAR(B248)</f>
        <v>2022</v>
      </c>
      <c r="O248" s="24">
        <f>IFERROR(J248/$I248,0)</f>
        <v>0.35000000000000003</v>
      </c>
      <c r="P248" s="24">
        <f>IFERROR(K248/$I248,0)</f>
        <v>1.3503013503013504E-2</v>
      </c>
      <c r="Q248" s="24" t="str">
        <f>IF($G248&lt;&gt;0,"Beer",IF($H248&lt;&gt;0,"Liquor","-"))</f>
        <v>Beer</v>
      </c>
      <c r="R248" s="26">
        <f>IF($G248&lt;&gt;0,$G248,IF($H248&lt;&gt;0,$H248/0.75,0))</f>
        <v>314.39999999999998</v>
      </c>
      <c r="S248" s="32" t="b">
        <f>ISNUMBER(R248)</f>
        <v>1</v>
      </c>
      <c r="T248" s="32"/>
    </row>
    <row r="249" spans="1:20" x14ac:dyDescent="0.3">
      <c r="A249" s="9">
        <v>248</v>
      </c>
      <c r="B249" s="21">
        <v>44595.53</v>
      </c>
      <c r="C249" s="11" t="s">
        <v>259</v>
      </c>
      <c r="D249" s="11" t="str">
        <f>IF(ISNUMBER(SEARCH("OSBC", C249)), "GOVT", "RETAIL")</f>
        <v>RETAIL</v>
      </c>
      <c r="E249" s="12">
        <v>279007.92</v>
      </c>
      <c r="F249" s="12">
        <v>0</v>
      </c>
      <c r="G249" s="11">
        <v>0</v>
      </c>
      <c r="H249" s="11">
        <v>168.75</v>
      </c>
      <c r="I249" s="12">
        <v>152182.57</v>
      </c>
      <c r="J249" s="12">
        <v>53263.9</v>
      </c>
      <c r="K249" s="12">
        <v>2054</v>
      </c>
      <c r="L249" s="12">
        <v>207500.47</v>
      </c>
      <c r="M249" s="13">
        <v>71507.45</v>
      </c>
      <c r="N249">
        <f>YEAR(B249)</f>
        <v>2022</v>
      </c>
      <c r="O249" s="24">
        <f>IFERROR(J249/$I249,0)</f>
        <v>0.35000000328552738</v>
      </c>
      <c r="P249" s="24">
        <f>IFERROR(K249/$I249,0)</f>
        <v>1.3496946463711317E-2</v>
      </c>
      <c r="Q249" s="24" t="str">
        <f>IF($G249&lt;&gt;0,"Beer",IF($H249&lt;&gt;0,"Liquor","-"))</f>
        <v>Liquor</v>
      </c>
      <c r="R249" s="26">
        <f>IF($G249&lt;&gt;0,$G249,IF($H249&lt;&gt;0,$H249/0.75,0))</f>
        <v>225</v>
      </c>
      <c r="S249" s="32" t="b">
        <f>ISNUMBER(R249)</f>
        <v>1</v>
      </c>
      <c r="T249" s="32"/>
    </row>
    <row r="250" spans="1:20" x14ac:dyDescent="0.3">
      <c r="A250" s="9">
        <v>249</v>
      </c>
      <c r="B250" s="21">
        <v>44602.543379629627</v>
      </c>
      <c r="C250" s="11" t="s">
        <v>260</v>
      </c>
      <c r="D250" s="11" t="str">
        <f>IF(ISNUMBER(SEARCH("OSBC", C250)), "GOVT", "RETAIL")</f>
        <v>RETAIL</v>
      </c>
      <c r="E250" s="12">
        <v>71507.45</v>
      </c>
      <c r="F250" s="12">
        <v>0</v>
      </c>
      <c r="G250" s="11">
        <v>319.8</v>
      </c>
      <c r="H250" s="11">
        <v>0</v>
      </c>
      <c r="I250" s="12">
        <v>52380.98</v>
      </c>
      <c r="J250" s="12">
        <v>18333.34</v>
      </c>
      <c r="K250" s="12">
        <v>707</v>
      </c>
      <c r="L250" s="12">
        <v>71421.320000000007</v>
      </c>
      <c r="M250" s="13">
        <v>86.13</v>
      </c>
      <c r="N250">
        <f>YEAR(B250)</f>
        <v>2022</v>
      </c>
      <c r="O250" s="24">
        <f>IFERROR(J250/$I250,0)</f>
        <v>0.34999994272730289</v>
      </c>
      <c r="P250" s="24">
        <f>IFERROR(K250/$I250,0)</f>
        <v>1.3497265610532678E-2</v>
      </c>
      <c r="Q250" s="24" t="str">
        <f>IF($G250&lt;&gt;0,"Beer",IF($H250&lt;&gt;0,"Liquor","-"))</f>
        <v>Beer</v>
      </c>
      <c r="R250" s="26">
        <f>IF($G250&lt;&gt;0,$G250,IF($H250&lt;&gt;0,$H250/0.75,0))</f>
        <v>319.8</v>
      </c>
      <c r="S250" s="32" t="b">
        <f>ISNUMBER(R250)</f>
        <v>1</v>
      </c>
      <c r="T250" s="32"/>
    </row>
    <row r="251" spans="1:20" x14ac:dyDescent="0.3">
      <c r="A251" s="9">
        <v>250</v>
      </c>
      <c r="B251" s="21">
        <v>44648.522650462961</v>
      </c>
      <c r="C251" s="11" t="s">
        <v>261</v>
      </c>
      <c r="D251" s="11" t="str">
        <f>IF(ISNUMBER(SEARCH("OSBC", C251)), "GOVT", "RETAIL")</f>
        <v>GOVT</v>
      </c>
      <c r="E251" s="12">
        <v>86.13</v>
      </c>
      <c r="F251" s="12">
        <v>100000</v>
      </c>
      <c r="G251" s="11">
        <v>0</v>
      </c>
      <c r="H251" s="11">
        <v>0</v>
      </c>
      <c r="I251" s="12">
        <v>0</v>
      </c>
      <c r="J251" s="12">
        <v>0</v>
      </c>
      <c r="K251" s="12">
        <v>0</v>
      </c>
      <c r="L251" s="12">
        <v>0</v>
      </c>
      <c r="M251" s="13">
        <v>100086.13</v>
      </c>
      <c r="N251">
        <f>YEAR(B251)</f>
        <v>2022</v>
      </c>
      <c r="O251" s="24">
        <f>IFERROR(J251/$I251,0)</f>
        <v>0</v>
      </c>
      <c r="P251" s="24">
        <f>IFERROR(K251/$I251,0)</f>
        <v>0</v>
      </c>
      <c r="Q251" s="24" t="str">
        <f>IF($G251&lt;&gt;0,"Beer",IF($H251&lt;&gt;0,"Liquor","-"))</f>
        <v>-</v>
      </c>
      <c r="R251" s="26">
        <f>IF($G251&lt;&gt;0,$G251,IF($H251&lt;&gt;0,$H251/0.75,0))</f>
        <v>0</v>
      </c>
      <c r="S251" s="32" t="b">
        <f>ISNUMBER(R251)</f>
        <v>1</v>
      </c>
      <c r="T251" s="32"/>
    </row>
    <row r="252" spans="1:20" x14ac:dyDescent="0.3">
      <c r="A252" s="9">
        <v>251</v>
      </c>
      <c r="B252" s="21">
        <v>44648.524305555555</v>
      </c>
      <c r="C252" s="11" t="s">
        <v>262</v>
      </c>
      <c r="D252" s="11" t="str">
        <f>IF(ISNUMBER(SEARCH("OSBC", C252)), "GOVT", "RETAIL")</f>
        <v>GOVT</v>
      </c>
      <c r="E252" s="12">
        <v>100086.13</v>
      </c>
      <c r="F252" s="12">
        <v>300000</v>
      </c>
      <c r="G252" s="11">
        <v>0</v>
      </c>
      <c r="H252" s="11">
        <v>0</v>
      </c>
      <c r="I252" s="12">
        <v>0</v>
      </c>
      <c r="J252" s="12">
        <v>0</v>
      </c>
      <c r="K252" s="12">
        <v>0</v>
      </c>
      <c r="L252" s="12">
        <v>0</v>
      </c>
      <c r="M252" s="13">
        <v>400086.13</v>
      </c>
      <c r="N252">
        <f>YEAR(B252)</f>
        <v>2022</v>
      </c>
      <c r="O252" s="24">
        <f>IFERROR(J252/$I252,0)</f>
        <v>0</v>
      </c>
      <c r="P252" s="24">
        <f>IFERROR(K252/$I252,0)</f>
        <v>0</v>
      </c>
      <c r="Q252" s="24" t="str">
        <f>IF($G252&lt;&gt;0,"Beer",IF($H252&lt;&gt;0,"Liquor","-"))</f>
        <v>-</v>
      </c>
      <c r="R252" s="26">
        <f>IF($G252&lt;&gt;0,$G252,IF($H252&lt;&gt;0,$H252/0.75,0))</f>
        <v>0</v>
      </c>
      <c r="S252" s="32" t="b">
        <f>ISNUMBER(R252)</f>
        <v>1</v>
      </c>
      <c r="T252" s="32"/>
    </row>
    <row r="253" spans="1:20" x14ac:dyDescent="0.3">
      <c r="A253" s="9">
        <v>252</v>
      </c>
      <c r="B253" s="21">
        <v>44648.526435185187</v>
      </c>
      <c r="C253" s="11" t="s">
        <v>263</v>
      </c>
      <c r="D253" s="11" t="str">
        <f>IF(ISNUMBER(SEARCH("OSBC", C253)), "GOVT", "RETAIL")</f>
        <v>GOVT</v>
      </c>
      <c r="E253" s="12">
        <v>400086.13</v>
      </c>
      <c r="F253" s="12">
        <v>48000</v>
      </c>
      <c r="G253" s="11">
        <v>0</v>
      </c>
      <c r="H253" s="11">
        <v>0</v>
      </c>
      <c r="I253" s="12">
        <v>0</v>
      </c>
      <c r="J253" s="12">
        <v>0</v>
      </c>
      <c r="K253" s="12">
        <v>0</v>
      </c>
      <c r="L253" s="12">
        <v>0</v>
      </c>
      <c r="M253" s="13">
        <v>448086.13</v>
      </c>
      <c r="N253">
        <f>YEAR(B253)</f>
        <v>2022</v>
      </c>
      <c r="O253" s="24">
        <f>IFERROR(J253/$I253,0)</f>
        <v>0</v>
      </c>
      <c r="P253" s="24">
        <f>IFERROR(K253/$I253,0)</f>
        <v>0</v>
      </c>
      <c r="Q253" s="24" t="str">
        <f>IF($G253&lt;&gt;0,"Beer",IF($H253&lt;&gt;0,"Liquor","-"))</f>
        <v>-</v>
      </c>
      <c r="R253" s="26">
        <f>IF($G253&lt;&gt;0,$G253,IF($H253&lt;&gt;0,$H253/0.75,0))</f>
        <v>0</v>
      </c>
      <c r="S253" s="32" t="b">
        <f>ISNUMBER(R253)</f>
        <v>1</v>
      </c>
      <c r="T253" s="32"/>
    </row>
    <row r="254" spans="1:20" x14ac:dyDescent="0.3">
      <c r="A254" s="9">
        <v>253</v>
      </c>
      <c r="B254" s="21">
        <v>44650.92728009259</v>
      </c>
      <c r="C254" s="11" t="s">
        <v>264</v>
      </c>
      <c r="D254" s="11" t="str">
        <f>IF(ISNUMBER(SEARCH("OSBC", C254)), "GOVT", "RETAIL")</f>
        <v>RETAIL</v>
      </c>
      <c r="E254" s="12">
        <v>448086.13</v>
      </c>
      <c r="F254" s="12">
        <v>0</v>
      </c>
      <c r="G254" s="11">
        <v>0</v>
      </c>
      <c r="H254" s="11">
        <v>188</v>
      </c>
      <c r="I254" s="12">
        <v>153412.71</v>
      </c>
      <c r="J254" s="12">
        <v>53694.45</v>
      </c>
      <c r="K254" s="12">
        <v>2071</v>
      </c>
      <c r="L254" s="12">
        <v>209178.16</v>
      </c>
      <c r="M254" s="13">
        <v>238907.97</v>
      </c>
      <c r="N254">
        <f>YEAR(B254)</f>
        <v>2022</v>
      </c>
      <c r="O254" s="24">
        <f>IFERROR(J254/$I254,0)</f>
        <v>0.35000000977754714</v>
      </c>
      <c r="P254" s="24">
        <f>IFERROR(K254/$I254,0)</f>
        <v>1.349953338285987E-2</v>
      </c>
      <c r="Q254" s="24" t="str">
        <f>IF($G254&lt;&gt;0,"Beer",IF($H254&lt;&gt;0,"Liquor","-"))</f>
        <v>Liquor</v>
      </c>
      <c r="R254" s="26">
        <f>IF($G254&lt;&gt;0,$G254,IF($H254&lt;&gt;0,$H254/0.75,0))</f>
        <v>250.66666666666666</v>
      </c>
      <c r="S254" s="32" t="b">
        <f>ISNUMBER(R254)</f>
        <v>1</v>
      </c>
      <c r="T254" s="32"/>
    </row>
    <row r="255" spans="1:20" x14ac:dyDescent="0.3">
      <c r="A255" s="9">
        <v>254</v>
      </c>
      <c r="B255" s="21">
        <v>44650.927662037036</v>
      </c>
      <c r="C255" s="11" t="s">
        <v>265</v>
      </c>
      <c r="D255" s="11" t="str">
        <f>IF(ISNUMBER(SEARCH("OSBC", C255)), "GOVT", "RETAIL")</f>
        <v>RETAIL</v>
      </c>
      <c r="E255" s="12">
        <v>238907.97</v>
      </c>
      <c r="F255" s="12">
        <v>0</v>
      </c>
      <c r="G255" s="11">
        <v>1050</v>
      </c>
      <c r="H255" s="11">
        <v>0</v>
      </c>
      <c r="I255" s="12">
        <v>174761.83</v>
      </c>
      <c r="J255" s="12">
        <v>61166.559999999998</v>
      </c>
      <c r="K255" s="12">
        <v>2359</v>
      </c>
      <c r="L255" s="12">
        <v>238287.39</v>
      </c>
      <c r="M255" s="13">
        <v>620.58000000000004</v>
      </c>
      <c r="N255">
        <f>YEAR(B255)</f>
        <v>2022</v>
      </c>
      <c r="O255" s="24">
        <f>IFERROR(J255/$I255,0)</f>
        <v>0.34999953937309997</v>
      </c>
      <c r="P255" s="24">
        <f>IFERROR(K255/$I255,0)</f>
        <v>1.3498370897123246E-2</v>
      </c>
      <c r="Q255" s="24" t="str">
        <f>IF($G255&lt;&gt;0,"Beer",IF($H255&lt;&gt;0,"Liquor","-"))</f>
        <v>Beer</v>
      </c>
      <c r="R255" s="26">
        <f>IF($G255&lt;&gt;0,$G255,IF($H255&lt;&gt;0,$H255/0.75,0))</f>
        <v>1050</v>
      </c>
      <c r="S255" s="32" t="b">
        <f>ISNUMBER(R255)</f>
        <v>1</v>
      </c>
      <c r="T255" s="32"/>
    </row>
    <row r="256" spans="1:20" x14ac:dyDescent="0.3">
      <c r="A256" s="9">
        <v>255</v>
      </c>
      <c r="B256" s="10">
        <v>44674.400069444448</v>
      </c>
      <c r="C256" s="11" t="s">
        <v>266</v>
      </c>
      <c r="D256" s="11" t="str">
        <f>IF(ISNUMBER(SEARCH("OSBC", C256)), "GOVT", "RETAIL")</f>
        <v>GOVT</v>
      </c>
      <c r="E256" s="12">
        <v>620.58000000000004</v>
      </c>
      <c r="F256" s="12">
        <v>200000</v>
      </c>
      <c r="G256" s="11">
        <v>0</v>
      </c>
      <c r="H256" s="11">
        <v>0</v>
      </c>
      <c r="I256" s="12">
        <v>0</v>
      </c>
      <c r="J256" s="12">
        <v>0</v>
      </c>
      <c r="K256" s="12">
        <v>0</v>
      </c>
      <c r="L256" s="12">
        <v>0</v>
      </c>
      <c r="M256" s="13">
        <v>200620.58</v>
      </c>
      <c r="N256">
        <f>YEAR(B256)</f>
        <v>2022</v>
      </c>
      <c r="O256" s="24">
        <f>IFERROR(J256/$I256,0)</f>
        <v>0</v>
      </c>
      <c r="P256" s="24">
        <f>IFERROR(K256/$I256,0)</f>
        <v>0</v>
      </c>
      <c r="Q256" s="24" t="str">
        <f>IF($G256&lt;&gt;0,"Beer",IF($H256&lt;&gt;0,"Liquor","-"))</f>
        <v>-</v>
      </c>
      <c r="R256" s="26">
        <f>IF($G256&lt;&gt;0,$G256,IF($H256&lt;&gt;0,$H256/0.75,0))</f>
        <v>0</v>
      </c>
      <c r="S256" s="32" t="b">
        <f>ISNUMBER(R256)</f>
        <v>1</v>
      </c>
      <c r="T256" s="32"/>
    </row>
    <row r="257" spans="1:20" x14ac:dyDescent="0.3">
      <c r="A257" s="9">
        <v>256</v>
      </c>
      <c r="B257" s="10">
        <v>44676.257245370369</v>
      </c>
      <c r="C257" s="11" t="s">
        <v>267</v>
      </c>
      <c r="D257" s="11" t="str">
        <f>IF(ISNUMBER(SEARCH("OSBC", C257)), "GOVT", "RETAIL")</f>
        <v>GOVT</v>
      </c>
      <c r="E257" s="12">
        <v>200620.58</v>
      </c>
      <c r="F257" s="12">
        <v>300000</v>
      </c>
      <c r="G257" s="11">
        <v>0</v>
      </c>
      <c r="H257" s="11">
        <v>0</v>
      </c>
      <c r="I257" s="12">
        <v>0</v>
      </c>
      <c r="J257" s="12">
        <v>0</v>
      </c>
      <c r="K257" s="12">
        <v>0</v>
      </c>
      <c r="L257" s="12">
        <v>0</v>
      </c>
      <c r="M257" s="13">
        <v>500620.58</v>
      </c>
      <c r="N257">
        <f>YEAR(B257)</f>
        <v>2022</v>
      </c>
      <c r="O257" s="24">
        <f>IFERROR(J257/$I257,0)</f>
        <v>0</v>
      </c>
      <c r="P257" s="24">
        <f>IFERROR(K257/$I257,0)</f>
        <v>0</v>
      </c>
      <c r="Q257" s="24" t="str">
        <f>IF($G257&lt;&gt;0,"Beer",IF($H257&lt;&gt;0,"Liquor","-"))</f>
        <v>-</v>
      </c>
      <c r="R257" s="26">
        <f>IF($G257&lt;&gt;0,$G257,IF($H257&lt;&gt;0,$H257/0.75,0))</f>
        <v>0</v>
      </c>
      <c r="S257" s="32" t="b">
        <f>ISNUMBER(R257)</f>
        <v>1</v>
      </c>
      <c r="T257" s="32"/>
    </row>
    <row r="258" spans="1:20" x14ac:dyDescent="0.3">
      <c r="A258" s="9">
        <v>257</v>
      </c>
      <c r="B258" s="10">
        <v>44676.884548611109</v>
      </c>
      <c r="C258" s="11" t="s">
        <v>268</v>
      </c>
      <c r="D258" s="11" t="str">
        <f>IF(ISNUMBER(SEARCH("OSBC", C258)), "GOVT", "RETAIL")</f>
        <v>RETAIL</v>
      </c>
      <c r="E258" s="12">
        <v>500620.58</v>
      </c>
      <c r="F258" s="12">
        <v>0</v>
      </c>
      <c r="G258" s="11">
        <v>1320.72</v>
      </c>
      <c r="H258" s="11">
        <v>0</v>
      </c>
      <c r="I258" s="12">
        <v>206507.93</v>
      </c>
      <c r="J258" s="12">
        <v>72277.86</v>
      </c>
      <c r="K258" s="12">
        <v>2788</v>
      </c>
      <c r="L258" s="12">
        <v>281573.78999999998</v>
      </c>
      <c r="M258" s="13">
        <v>219046.79</v>
      </c>
      <c r="N258">
        <f>YEAR(B258)</f>
        <v>2022</v>
      </c>
      <c r="O258" s="24">
        <f>IFERROR(J258/$I258,0)</f>
        <v>0.35000040918525505</v>
      </c>
      <c r="P258" s="24">
        <f>IFERROR(K258/$I258,0)</f>
        <v>1.3500692201021045E-2</v>
      </c>
      <c r="Q258" s="24" t="str">
        <f>IF($G258&lt;&gt;0,"Beer",IF($H258&lt;&gt;0,"Liquor","-"))</f>
        <v>Beer</v>
      </c>
      <c r="R258" s="26">
        <f>IF($G258&lt;&gt;0,$G258,IF($H258&lt;&gt;0,$H258/0.75,0))</f>
        <v>1320.72</v>
      </c>
      <c r="S258" s="32" t="b">
        <f>ISNUMBER(R258)</f>
        <v>1</v>
      </c>
      <c r="T258" s="32"/>
    </row>
    <row r="259" spans="1:20" x14ac:dyDescent="0.3">
      <c r="A259" s="9">
        <v>258</v>
      </c>
      <c r="B259" s="10">
        <v>44676.885509259257</v>
      </c>
      <c r="C259" s="11" t="s">
        <v>269</v>
      </c>
      <c r="D259" s="11" t="str">
        <f>IF(ISNUMBER(SEARCH("OSBC", C259)), "GOVT", "RETAIL")</f>
        <v>RETAIL</v>
      </c>
      <c r="E259" s="12">
        <v>219046.79</v>
      </c>
      <c r="F259" s="12">
        <v>0</v>
      </c>
      <c r="G259" s="11">
        <v>0</v>
      </c>
      <c r="H259" s="11">
        <v>174.23</v>
      </c>
      <c r="I259" s="12">
        <v>159850.54</v>
      </c>
      <c r="J259" s="12">
        <v>55947.69</v>
      </c>
      <c r="K259" s="12">
        <v>2158</v>
      </c>
      <c r="L259" s="12">
        <v>217956.23</v>
      </c>
      <c r="M259" s="13">
        <v>1090.56</v>
      </c>
      <c r="N259">
        <f>YEAR(B259)</f>
        <v>2022</v>
      </c>
      <c r="O259" s="24">
        <f>IFERROR(J259/$I259,0)</f>
        <v>0.35000000625584371</v>
      </c>
      <c r="P259" s="24">
        <f>IFERROR(K259/$I259,0)</f>
        <v>1.3500110790992635E-2</v>
      </c>
      <c r="Q259" s="24" t="str">
        <f>IF($G259&lt;&gt;0,"Beer",IF($H259&lt;&gt;0,"Liquor","-"))</f>
        <v>Liquor</v>
      </c>
      <c r="R259" s="26">
        <f>IF($G259&lt;&gt;0,$G259,IF($H259&lt;&gt;0,$H259/0.75,0))</f>
        <v>232.30666666666664</v>
      </c>
      <c r="S259" s="32" t="b">
        <f>ISNUMBER(R259)</f>
        <v>1</v>
      </c>
      <c r="T259" s="32"/>
    </row>
    <row r="260" spans="1:20" x14ac:dyDescent="0.3">
      <c r="A260" s="9">
        <v>259</v>
      </c>
      <c r="B260" s="10">
        <v>44683.46230324074</v>
      </c>
      <c r="C260" s="11" t="s">
        <v>270</v>
      </c>
      <c r="D260" s="11" t="str">
        <f>IF(ISNUMBER(SEARCH("OSBC", C260)), "GOVT", "RETAIL")</f>
        <v>GOVT</v>
      </c>
      <c r="E260" s="12">
        <v>1090.56</v>
      </c>
      <c r="F260" s="12">
        <v>430000</v>
      </c>
      <c r="G260" s="11">
        <v>0</v>
      </c>
      <c r="H260" s="11">
        <v>0</v>
      </c>
      <c r="I260" s="12">
        <v>0</v>
      </c>
      <c r="J260" s="12">
        <v>0</v>
      </c>
      <c r="K260" s="12">
        <v>0</v>
      </c>
      <c r="L260" s="12">
        <v>0</v>
      </c>
      <c r="M260" s="13">
        <v>431090.56</v>
      </c>
      <c r="N260">
        <f>YEAR(B260)</f>
        <v>2022</v>
      </c>
      <c r="O260" s="24">
        <f>IFERROR(J260/$I260,0)</f>
        <v>0</v>
      </c>
      <c r="P260" s="24">
        <f>IFERROR(K260/$I260,0)</f>
        <v>0</v>
      </c>
      <c r="Q260" s="24" t="str">
        <f>IF($G260&lt;&gt;0,"Beer",IF($H260&lt;&gt;0,"Liquor","-"))</f>
        <v>-</v>
      </c>
      <c r="R260" s="26">
        <f>IF($G260&lt;&gt;0,$G260,IF($H260&lt;&gt;0,$H260/0.75,0))</f>
        <v>0</v>
      </c>
      <c r="S260" s="32" t="b">
        <f>ISNUMBER(R260)</f>
        <v>1</v>
      </c>
      <c r="T260" s="32"/>
    </row>
    <row r="261" spans="1:20" x14ac:dyDescent="0.3">
      <c r="A261" s="9">
        <v>260</v>
      </c>
      <c r="B261" s="10">
        <v>44685.525266203702</v>
      </c>
      <c r="C261" s="11" t="s">
        <v>271</v>
      </c>
      <c r="D261" s="11" t="str">
        <f>IF(ISNUMBER(SEARCH("OSBC", C261)), "GOVT", "RETAIL")</f>
        <v>RETAIL</v>
      </c>
      <c r="E261" s="12">
        <v>431090.56</v>
      </c>
      <c r="F261" s="12">
        <v>0</v>
      </c>
      <c r="G261" s="11">
        <v>0</v>
      </c>
      <c r="H261" s="11">
        <v>105.19</v>
      </c>
      <c r="I261" s="12">
        <v>96200.6</v>
      </c>
      <c r="J261" s="12">
        <v>33670.21</v>
      </c>
      <c r="K261" s="12">
        <v>1299</v>
      </c>
      <c r="L261" s="12">
        <v>131169.81</v>
      </c>
      <c r="M261" s="13">
        <v>299920.75</v>
      </c>
      <c r="N261">
        <f>YEAR(B261)</f>
        <v>2022</v>
      </c>
      <c r="O261" s="24">
        <f>IFERROR(J261/$I261,0)</f>
        <v>0.35</v>
      </c>
      <c r="P261" s="24">
        <f>IFERROR(K261/$I261,0)</f>
        <v>1.3503034284609451E-2</v>
      </c>
      <c r="Q261" s="24" t="str">
        <f>IF($G261&lt;&gt;0,"Beer",IF($H261&lt;&gt;0,"Liquor","-"))</f>
        <v>Liquor</v>
      </c>
      <c r="R261" s="26">
        <f>IF($G261&lt;&gt;0,$G261,IF($H261&lt;&gt;0,$H261/0.75,0))</f>
        <v>140.25333333333333</v>
      </c>
      <c r="S261" s="32" t="b">
        <f>ISNUMBER(R261)</f>
        <v>1</v>
      </c>
      <c r="T261" s="32"/>
    </row>
    <row r="262" spans="1:20" x14ac:dyDescent="0.3">
      <c r="A262" s="9">
        <v>261</v>
      </c>
      <c r="B262" s="10">
        <v>44685.525717592594</v>
      </c>
      <c r="C262" s="11" t="s">
        <v>272</v>
      </c>
      <c r="D262" s="11" t="str">
        <f>IF(ISNUMBER(SEARCH("OSBC", C262)), "GOVT", "RETAIL")</f>
        <v>RETAIL</v>
      </c>
      <c r="E262" s="12">
        <v>299920.75</v>
      </c>
      <c r="F262" s="12">
        <v>0</v>
      </c>
      <c r="G262" s="11">
        <v>1362.6</v>
      </c>
      <c r="H262" s="11">
        <v>0</v>
      </c>
      <c r="I262" s="12">
        <v>219603.03</v>
      </c>
      <c r="J262" s="12">
        <v>76861</v>
      </c>
      <c r="K262" s="12">
        <v>2965</v>
      </c>
      <c r="L262" s="12">
        <v>299429.03000000003</v>
      </c>
      <c r="M262" s="13">
        <v>491.72</v>
      </c>
      <c r="N262">
        <f>YEAR(B262)</f>
        <v>2022</v>
      </c>
      <c r="O262" s="24">
        <f>IFERROR(J262/$I262,0)</f>
        <v>0.34999972450289052</v>
      </c>
      <c r="P262" s="24">
        <f>IFERROR(K262/$I262,0)</f>
        <v>1.3501635200570775E-2</v>
      </c>
      <c r="Q262" s="24" t="str">
        <f>IF($G262&lt;&gt;0,"Beer",IF($H262&lt;&gt;0,"Liquor","-"))</f>
        <v>Beer</v>
      </c>
      <c r="R262" s="26">
        <f>IF($G262&lt;&gt;0,$G262,IF($H262&lt;&gt;0,$H262/0.75,0))</f>
        <v>1362.6</v>
      </c>
      <c r="S262" s="32" t="b">
        <f>ISNUMBER(R262)</f>
        <v>1</v>
      </c>
      <c r="T262" s="32"/>
    </row>
    <row r="263" spans="1:20" x14ac:dyDescent="0.3">
      <c r="A263" s="9">
        <v>262</v>
      </c>
      <c r="B263" s="10">
        <v>44690.430324074077</v>
      </c>
      <c r="C263" s="11" t="s">
        <v>273</v>
      </c>
      <c r="D263" s="11" t="str">
        <f>IF(ISNUMBER(SEARCH("OSBC", C263)), "GOVT", "RETAIL")</f>
        <v>GOVT</v>
      </c>
      <c r="E263" s="12">
        <v>491.72</v>
      </c>
      <c r="F263" s="12">
        <v>300000</v>
      </c>
      <c r="G263" s="11">
        <v>0</v>
      </c>
      <c r="H263" s="11">
        <v>0</v>
      </c>
      <c r="I263" s="12">
        <v>0</v>
      </c>
      <c r="J263" s="12">
        <v>0</v>
      </c>
      <c r="K263" s="12">
        <v>0</v>
      </c>
      <c r="L263" s="12">
        <v>0</v>
      </c>
      <c r="M263" s="13">
        <v>300491.71999999997</v>
      </c>
      <c r="N263">
        <f>YEAR(B263)</f>
        <v>2022</v>
      </c>
      <c r="O263" s="24">
        <f>IFERROR(J263/$I263,0)</f>
        <v>0</v>
      </c>
      <c r="P263" s="24">
        <f>IFERROR(K263/$I263,0)</f>
        <v>0</v>
      </c>
      <c r="Q263" s="24" t="str">
        <f>IF($G263&lt;&gt;0,"Beer",IF($H263&lt;&gt;0,"Liquor","-"))</f>
        <v>-</v>
      </c>
      <c r="R263" s="26">
        <f>IF($G263&lt;&gt;0,$G263,IF($H263&lt;&gt;0,$H263/0.75,0))</f>
        <v>0</v>
      </c>
      <c r="S263" s="32" t="b">
        <f>ISNUMBER(R263)</f>
        <v>1</v>
      </c>
      <c r="T263" s="32"/>
    </row>
    <row r="264" spans="1:20" x14ac:dyDescent="0.3">
      <c r="A264" s="9">
        <v>263</v>
      </c>
      <c r="B264" s="10">
        <v>44690.504849537036</v>
      </c>
      <c r="C264" s="11" t="s">
        <v>274</v>
      </c>
      <c r="D264" s="11" t="str">
        <f>IF(ISNUMBER(SEARCH("OSBC", C264)), "GOVT", "RETAIL")</f>
        <v>RETAIL</v>
      </c>
      <c r="E264" s="12">
        <v>300491.71999999997</v>
      </c>
      <c r="F264" s="12">
        <v>0</v>
      </c>
      <c r="G264" s="11">
        <v>0</v>
      </c>
      <c r="H264" s="11">
        <v>260.29000000000002</v>
      </c>
      <c r="I264" s="12">
        <v>220119.08</v>
      </c>
      <c r="J264" s="12">
        <v>77041.679999999993</v>
      </c>
      <c r="K264" s="12">
        <v>2972</v>
      </c>
      <c r="L264" s="12">
        <v>300132.76</v>
      </c>
      <c r="M264" s="13">
        <v>358.96</v>
      </c>
      <c r="N264">
        <f>YEAR(B264)</f>
        <v>2022</v>
      </c>
      <c r="O264" s="24">
        <f>IFERROR(J264/$I264,0)</f>
        <v>0.3500000090859911</v>
      </c>
      <c r="P264" s="24">
        <f>IFERROR(K264/$I264,0)</f>
        <v>1.350178276231211E-2</v>
      </c>
      <c r="Q264" s="24" t="str">
        <f>IF($G264&lt;&gt;0,"Beer",IF($H264&lt;&gt;0,"Liquor","-"))</f>
        <v>Liquor</v>
      </c>
      <c r="R264" s="26">
        <f>IF($G264&lt;&gt;0,$G264,IF($H264&lt;&gt;0,$H264/0.75,0))</f>
        <v>347.05333333333334</v>
      </c>
      <c r="S264" s="32" t="b">
        <f>ISNUMBER(R264)</f>
        <v>1</v>
      </c>
      <c r="T264" s="32"/>
    </row>
    <row r="265" spans="1:20" x14ac:dyDescent="0.3">
      <c r="A265" s="9">
        <v>264</v>
      </c>
      <c r="B265" s="10">
        <v>44697.418402777781</v>
      </c>
      <c r="C265" s="11" t="s">
        <v>275</v>
      </c>
      <c r="D265" s="11" t="str">
        <f>IF(ISNUMBER(SEARCH("OSBC", C265)), "GOVT", "RETAIL")</f>
        <v>GOVT</v>
      </c>
      <c r="E265" s="12">
        <v>358.96</v>
      </c>
      <c r="F265" s="12">
        <v>180000</v>
      </c>
      <c r="G265" s="11">
        <v>0</v>
      </c>
      <c r="H265" s="11">
        <v>0</v>
      </c>
      <c r="I265" s="12">
        <v>0</v>
      </c>
      <c r="J265" s="12">
        <v>0</v>
      </c>
      <c r="K265" s="12">
        <v>0</v>
      </c>
      <c r="L265" s="12">
        <v>0</v>
      </c>
      <c r="M265" s="13">
        <v>180358.96</v>
      </c>
      <c r="N265">
        <f>YEAR(B265)</f>
        <v>2022</v>
      </c>
      <c r="O265" s="24">
        <f>IFERROR(J265/$I265,0)</f>
        <v>0</v>
      </c>
      <c r="P265" s="24">
        <f>IFERROR(K265/$I265,0)</f>
        <v>0</v>
      </c>
      <c r="Q265" s="24" t="str">
        <f>IF($G265&lt;&gt;0,"Beer",IF($H265&lt;&gt;0,"Liquor","-"))</f>
        <v>-</v>
      </c>
      <c r="R265" s="26">
        <f>IF($G265&lt;&gt;0,$G265,IF($H265&lt;&gt;0,$H265/0.75,0))</f>
        <v>0</v>
      </c>
      <c r="S265" s="32" t="b">
        <f>ISNUMBER(R265)</f>
        <v>1</v>
      </c>
      <c r="T265" s="32"/>
    </row>
    <row r="266" spans="1:20" x14ac:dyDescent="0.3">
      <c r="A266" s="9">
        <v>265</v>
      </c>
      <c r="B266" s="10">
        <v>44697.716238425928</v>
      </c>
      <c r="C266" s="11" t="s">
        <v>276</v>
      </c>
      <c r="D266" s="11" t="str">
        <f>IF(ISNUMBER(SEARCH("OSBC", C266)), "GOVT", "RETAIL")</f>
        <v>RETAIL</v>
      </c>
      <c r="E266" s="12">
        <v>180358.96</v>
      </c>
      <c r="F266" s="12">
        <v>0</v>
      </c>
      <c r="G266" s="11">
        <v>789</v>
      </c>
      <c r="H266" s="11">
        <v>0</v>
      </c>
      <c r="I266" s="12">
        <v>131746.09</v>
      </c>
      <c r="J266" s="12">
        <v>46111.05</v>
      </c>
      <c r="K266" s="12">
        <v>1779</v>
      </c>
      <c r="L266" s="12">
        <v>179636.14</v>
      </c>
      <c r="M266" s="13">
        <v>722.82</v>
      </c>
      <c r="N266">
        <f>YEAR(B266)</f>
        <v>2022</v>
      </c>
      <c r="O266" s="24">
        <f>IFERROR(J266/$I266,0)</f>
        <v>0.34999938138581571</v>
      </c>
      <c r="P266" s="24">
        <f>IFERROR(K266/$I266,0)</f>
        <v>1.3503247041335344E-2</v>
      </c>
      <c r="Q266" s="24" t="str">
        <f>IF($G266&lt;&gt;0,"Beer",IF($H266&lt;&gt;0,"Liquor","-"))</f>
        <v>Beer</v>
      </c>
      <c r="R266" s="26">
        <f>IF($G266&lt;&gt;0,$G266,IF($H266&lt;&gt;0,$H266/0.75,0))</f>
        <v>789</v>
      </c>
      <c r="S266" s="32" t="b">
        <f>ISNUMBER(R266)</f>
        <v>1</v>
      </c>
      <c r="T266" s="32"/>
    </row>
    <row r="267" spans="1:20" x14ac:dyDescent="0.3">
      <c r="A267" s="9">
        <v>266</v>
      </c>
      <c r="B267" s="10">
        <v>44701.282800925925</v>
      </c>
      <c r="C267" s="11" t="s">
        <v>277</v>
      </c>
      <c r="D267" s="11" t="str">
        <f>IF(ISNUMBER(SEARCH("OSBC", C267)), "GOVT", "RETAIL")</f>
        <v>GOVT</v>
      </c>
      <c r="E267" s="12">
        <v>722.82</v>
      </c>
      <c r="F267" s="12">
        <v>190000</v>
      </c>
      <c r="G267" s="11">
        <v>0</v>
      </c>
      <c r="H267" s="11">
        <v>0</v>
      </c>
      <c r="I267" s="12">
        <v>0</v>
      </c>
      <c r="J267" s="12">
        <v>0</v>
      </c>
      <c r="K267" s="12">
        <v>0</v>
      </c>
      <c r="L267" s="12">
        <v>0</v>
      </c>
      <c r="M267" s="13">
        <v>190722.82</v>
      </c>
      <c r="N267">
        <f>YEAR(B267)</f>
        <v>2022</v>
      </c>
      <c r="O267" s="24">
        <f>IFERROR(J267/$I267,0)</f>
        <v>0</v>
      </c>
      <c r="P267" s="24">
        <f>IFERROR(K267/$I267,0)</f>
        <v>0</v>
      </c>
      <c r="Q267" s="24" t="str">
        <f>IF($G267&lt;&gt;0,"Beer",IF($H267&lt;&gt;0,"Liquor","-"))</f>
        <v>-</v>
      </c>
      <c r="R267" s="26">
        <f>IF($G267&lt;&gt;0,$G267,IF($H267&lt;&gt;0,$H267/0.75,0))</f>
        <v>0</v>
      </c>
      <c r="S267" s="32" t="b">
        <f>ISNUMBER(R267)</f>
        <v>1</v>
      </c>
      <c r="T267" s="32"/>
    </row>
    <row r="268" spans="1:20" x14ac:dyDescent="0.3">
      <c r="A268" s="9">
        <v>267</v>
      </c>
      <c r="B268" s="10">
        <v>44701.516111111108</v>
      </c>
      <c r="C268" s="11" t="s">
        <v>278</v>
      </c>
      <c r="D268" s="11" t="str">
        <f>IF(ISNUMBER(SEARCH("OSBC", C268)), "GOVT", "RETAIL")</f>
        <v>RETAIL</v>
      </c>
      <c r="E268" s="12">
        <v>190722.82</v>
      </c>
      <c r="F268" s="12">
        <v>0</v>
      </c>
      <c r="G268" s="11">
        <v>543.6</v>
      </c>
      <c r="H268" s="11">
        <v>0</v>
      </c>
      <c r="I268" s="12">
        <v>80952.41</v>
      </c>
      <c r="J268" s="12">
        <v>28333.439999999999</v>
      </c>
      <c r="K268" s="12">
        <v>1093</v>
      </c>
      <c r="L268" s="12">
        <v>110378.85</v>
      </c>
      <c r="M268" s="13">
        <v>80343.97</v>
      </c>
      <c r="N268">
        <f>YEAR(B268)</f>
        <v>2022</v>
      </c>
      <c r="O268" s="24">
        <f>IFERROR(J268/$I268,0)</f>
        <v>0.35000119205839575</v>
      </c>
      <c r="P268" s="24">
        <f>IFERROR(K268/$I268,0)</f>
        <v>1.3501759861133226E-2</v>
      </c>
      <c r="Q268" s="24" t="str">
        <f>IF($G268&lt;&gt;0,"Beer",IF($H268&lt;&gt;0,"Liquor","-"))</f>
        <v>Beer</v>
      </c>
      <c r="R268" s="26">
        <f>IF($G268&lt;&gt;0,$G268,IF($H268&lt;&gt;0,$H268/0.75,0))</f>
        <v>543.6</v>
      </c>
      <c r="S268" s="32" t="b">
        <f>ISNUMBER(R268)</f>
        <v>1</v>
      </c>
      <c r="T268" s="32"/>
    </row>
    <row r="269" spans="1:20" x14ac:dyDescent="0.3">
      <c r="A269" s="9">
        <v>268</v>
      </c>
      <c r="B269" s="10">
        <v>44704.433182870373</v>
      </c>
      <c r="C269" s="11" t="s">
        <v>279</v>
      </c>
      <c r="D269" s="11" t="str">
        <f>IF(ISNUMBER(SEARCH("OSBC", C269)), "GOVT", "RETAIL")</f>
        <v>GOVT</v>
      </c>
      <c r="E269" s="12">
        <v>80343.97</v>
      </c>
      <c r="F269" s="12">
        <v>190000</v>
      </c>
      <c r="G269" s="11">
        <v>0</v>
      </c>
      <c r="H269" s="11">
        <v>0</v>
      </c>
      <c r="I269" s="12">
        <v>0</v>
      </c>
      <c r="J269" s="12">
        <v>0</v>
      </c>
      <c r="K269" s="12">
        <v>0</v>
      </c>
      <c r="L269" s="12">
        <v>0</v>
      </c>
      <c r="M269" s="13">
        <v>270343.96999999997</v>
      </c>
      <c r="N269">
        <f>YEAR(B269)</f>
        <v>2022</v>
      </c>
      <c r="O269" s="24">
        <f>IFERROR(J269/$I269,0)</f>
        <v>0</v>
      </c>
      <c r="P269" s="24">
        <f>IFERROR(K269/$I269,0)</f>
        <v>0</v>
      </c>
      <c r="Q269" s="24" t="str">
        <f>IF($G269&lt;&gt;0,"Beer",IF($H269&lt;&gt;0,"Liquor","-"))</f>
        <v>-</v>
      </c>
      <c r="R269" s="26">
        <f>IF($G269&lt;&gt;0,$G269,IF($H269&lt;&gt;0,$H269/0.75,0))</f>
        <v>0</v>
      </c>
      <c r="S269" s="32" t="b">
        <f>ISNUMBER(R269)</f>
        <v>1</v>
      </c>
      <c r="T269" s="32"/>
    </row>
    <row r="270" spans="1:20" x14ac:dyDescent="0.3">
      <c r="A270" s="9">
        <v>269</v>
      </c>
      <c r="B270" s="10">
        <v>44704.535497685189</v>
      </c>
      <c r="C270" s="11" t="s">
        <v>280</v>
      </c>
      <c r="D270" s="11" t="str">
        <f>IF(ISNUMBER(SEARCH("OSBC", C270)), "GOVT", "RETAIL")</f>
        <v>RETAIL</v>
      </c>
      <c r="E270" s="12">
        <v>270343.96999999997</v>
      </c>
      <c r="F270" s="12">
        <v>0</v>
      </c>
      <c r="G270" s="11">
        <v>160.80000000000001</v>
      </c>
      <c r="H270" s="11">
        <v>0</v>
      </c>
      <c r="I270" s="12">
        <v>24285.69</v>
      </c>
      <c r="J270" s="12">
        <v>8500</v>
      </c>
      <c r="K270" s="12">
        <v>328</v>
      </c>
      <c r="L270" s="12">
        <v>33113.69</v>
      </c>
      <c r="M270" s="13">
        <v>237230.28</v>
      </c>
      <c r="N270">
        <f>YEAR(B270)</f>
        <v>2022</v>
      </c>
      <c r="O270" s="24">
        <f>IFERROR(J270/$I270,0)</f>
        <v>0.35000035000035001</v>
      </c>
      <c r="P270" s="24">
        <f>IFERROR(K270/$I270,0)</f>
        <v>1.3505895858837037E-2</v>
      </c>
      <c r="Q270" s="24" t="str">
        <f>IF($G270&lt;&gt;0,"Beer",IF($H270&lt;&gt;0,"Liquor","-"))</f>
        <v>Beer</v>
      </c>
      <c r="R270" s="26">
        <f>IF($G270&lt;&gt;0,$G270,IF($H270&lt;&gt;0,$H270/0.75,0))</f>
        <v>160.80000000000001</v>
      </c>
      <c r="S270" s="32" t="b">
        <f>ISNUMBER(R270)</f>
        <v>1</v>
      </c>
      <c r="T270" s="32"/>
    </row>
    <row r="271" spans="1:20" x14ac:dyDescent="0.3">
      <c r="A271" s="9">
        <v>270</v>
      </c>
      <c r="B271" s="10">
        <v>44704.717766203707</v>
      </c>
      <c r="C271" s="11" t="s">
        <v>281</v>
      </c>
      <c r="D271" s="11" t="str">
        <f>IF(ISNUMBER(SEARCH("OSBC", C271)), "GOVT", "RETAIL")</f>
        <v>RETAIL</v>
      </c>
      <c r="E271" s="12">
        <v>237230.28</v>
      </c>
      <c r="F271" s="12">
        <v>0</v>
      </c>
      <c r="G271" s="11">
        <v>0</v>
      </c>
      <c r="H271" s="11">
        <v>201.12</v>
      </c>
      <c r="I271" s="12">
        <v>173591.29</v>
      </c>
      <c r="J271" s="12">
        <v>60756.95</v>
      </c>
      <c r="K271" s="12">
        <v>2343</v>
      </c>
      <c r="L271" s="12">
        <v>236691.24</v>
      </c>
      <c r="M271" s="13">
        <v>539.04</v>
      </c>
      <c r="N271">
        <f>YEAR(B271)</f>
        <v>2022</v>
      </c>
      <c r="O271" s="24">
        <f>IFERROR(J271/$I271,0)</f>
        <v>0.34999999135901344</v>
      </c>
      <c r="P271" s="24">
        <f>IFERROR(K271/$I271,0)</f>
        <v>1.3497220972319521E-2</v>
      </c>
      <c r="Q271" s="24" t="str">
        <f>IF($G271&lt;&gt;0,"Beer",IF($H271&lt;&gt;0,"Liquor","-"))</f>
        <v>Liquor</v>
      </c>
      <c r="R271" s="26">
        <f>IF($G271&lt;&gt;0,$G271,IF($H271&lt;&gt;0,$H271/0.75,0))</f>
        <v>268.16000000000003</v>
      </c>
      <c r="S271" s="32" t="b">
        <f>ISNUMBER(R271)</f>
        <v>1</v>
      </c>
      <c r="T271" s="32"/>
    </row>
    <row r="272" spans="1:20" x14ac:dyDescent="0.3">
      <c r="A272" s="9">
        <v>271</v>
      </c>
      <c r="B272" s="10">
        <v>44712.454155092593</v>
      </c>
      <c r="C272" s="11" t="s">
        <v>282</v>
      </c>
      <c r="D272" s="11" t="str">
        <f>IF(ISNUMBER(SEARCH("OSBC", C272)), "GOVT", "RETAIL")</f>
        <v>GOVT</v>
      </c>
      <c r="E272" s="12">
        <v>539.04</v>
      </c>
      <c r="F272" s="12">
        <v>200000</v>
      </c>
      <c r="G272" s="11">
        <v>0</v>
      </c>
      <c r="H272" s="11">
        <v>0</v>
      </c>
      <c r="I272" s="12">
        <v>0</v>
      </c>
      <c r="J272" s="12">
        <v>0</v>
      </c>
      <c r="K272" s="12">
        <v>0</v>
      </c>
      <c r="L272" s="12">
        <v>0</v>
      </c>
      <c r="M272" s="13">
        <v>200539.04</v>
      </c>
      <c r="N272">
        <f>YEAR(B272)</f>
        <v>2022</v>
      </c>
      <c r="O272" s="24">
        <f>IFERROR(J272/$I272,0)</f>
        <v>0</v>
      </c>
      <c r="P272" s="24">
        <f>IFERROR(K272/$I272,0)</f>
        <v>0</v>
      </c>
      <c r="Q272" s="24" t="str">
        <f>IF($G272&lt;&gt;0,"Beer",IF($H272&lt;&gt;0,"Liquor","-"))</f>
        <v>-</v>
      </c>
      <c r="R272" s="26">
        <f>IF($G272&lt;&gt;0,$G272,IF($H272&lt;&gt;0,$H272/0.75,0))</f>
        <v>0</v>
      </c>
      <c r="S272" s="32" t="b">
        <f>ISNUMBER(R272)</f>
        <v>1</v>
      </c>
      <c r="T272" s="32"/>
    </row>
    <row r="273" spans="1:20" x14ac:dyDescent="0.3">
      <c r="A273" s="9">
        <v>272</v>
      </c>
      <c r="B273" s="10">
        <v>44712.522627314815</v>
      </c>
      <c r="C273" s="11" t="s">
        <v>283</v>
      </c>
      <c r="D273" s="11" t="str">
        <f>IF(ISNUMBER(SEARCH("OSBC", C273)), "GOVT", "RETAIL")</f>
        <v>RETAIL</v>
      </c>
      <c r="E273" s="12">
        <v>200539.04</v>
      </c>
      <c r="F273" s="12">
        <v>0</v>
      </c>
      <c r="G273" s="11">
        <v>921.72</v>
      </c>
      <c r="H273" s="11">
        <v>0</v>
      </c>
      <c r="I273" s="12">
        <v>141825.38</v>
      </c>
      <c r="J273" s="12">
        <v>49638.91</v>
      </c>
      <c r="K273" s="12">
        <v>1915</v>
      </c>
      <c r="L273" s="12">
        <v>193379.29</v>
      </c>
      <c r="M273" s="13">
        <v>7159.75</v>
      </c>
      <c r="N273">
        <f>YEAR(B273)</f>
        <v>2022</v>
      </c>
      <c r="O273" s="24">
        <f>IFERROR(J273/$I273,0)</f>
        <v>0.35000019037495267</v>
      </c>
      <c r="P273" s="24">
        <f>IFERROR(K273/$I273,0)</f>
        <v>1.3502519788771233E-2</v>
      </c>
      <c r="Q273" s="24" t="str">
        <f>IF($G273&lt;&gt;0,"Beer",IF($H273&lt;&gt;0,"Liquor","-"))</f>
        <v>Beer</v>
      </c>
      <c r="R273" s="26">
        <f>IF($G273&lt;&gt;0,$G273,IF($H273&lt;&gt;0,$H273/0.75,0))</f>
        <v>921.72</v>
      </c>
      <c r="S273" s="32" t="b">
        <f>ISNUMBER(R273)</f>
        <v>1</v>
      </c>
      <c r="T273" s="32"/>
    </row>
    <row r="274" spans="1:20" x14ac:dyDescent="0.3">
      <c r="A274" s="9">
        <v>273</v>
      </c>
      <c r="B274" s="10">
        <v>44716.416307870371</v>
      </c>
      <c r="C274" s="11" t="s">
        <v>284</v>
      </c>
      <c r="D274" s="11" t="str">
        <f>IF(ISNUMBER(SEARCH("OSBC", C274)), "GOVT", "RETAIL")</f>
        <v>GOVT</v>
      </c>
      <c r="E274" s="12">
        <v>7159.75</v>
      </c>
      <c r="F274" s="12">
        <v>250000</v>
      </c>
      <c r="G274" s="11">
        <v>0</v>
      </c>
      <c r="H274" s="11">
        <v>0</v>
      </c>
      <c r="I274" s="12">
        <v>0</v>
      </c>
      <c r="J274" s="12">
        <v>0</v>
      </c>
      <c r="K274" s="12">
        <v>0</v>
      </c>
      <c r="L274" s="12">
        <v>0</v>
      </c>
      <c r="M274" s="13">
        <v>257159.75</v>
      </c>
      <c r="N274">
        <f>YEAR(B274)</f>
        <v>2022</v>
      </c>
      <c r="O274" s="24">
        <f>IFERROR(J274/$I274,0)</f>
        <v>0</v>
      </c>
      <c r="P274" s="24">
        <f>IFERROR(K274/$I274,0)</f>
        <v>0</v>
      </c>
      <c r="Q274" s="24" t="str">
        <f>IF($G274&lt;&gt;0,"Beer",IF($H274&lt;&gt;0,"Liquor","-"))</f>
        <v>-</v>
      </c>
      <c r="R274" s="26">
        <f>IF($G274&lt;&gt;0,$G274,IF($H274&lt;&gt;0,$H274/0.75,0))</f>
        <v>0</v>
      </c>
      <c r="S274" s="32" t="b">
        <f>ISNUMBER(R274)</f>
        <v>1</v>
      </c>
      <c r="T274" s="32"/>
    </row>
    <row r="275" spans="1:20" x14ac:dyDescent="0.3">
      <c r="A275" s="9">
        <v>274</v>
      </c>
      <c r="B275" s="10">
        <v>44716.54178240741</v>
      </c>
      <c r="C275" s="11" t="s">
        <v>285</v>
      </c>
      <c r="D275" s="11" t="str">
        <f>IF(ISNUMBER(SEARCH("OSBC", C275)), "GOVT", "RETAIL")</f>
        <v>RETAIL</v>
      </c>
      <c r="E275" s="12">
        <v>257159.75</v>
      </c>
      <c r="F275" s="12">
        <v>0</v>
      </c>
      <c r="G275" s="11">
        <v>562.91999999999996</v>
      </c>
      <c r="H275" s="11">
        <v>0</v>
      </c>
      <c r="I275" s="12">
        <v>86111.15</v>
      </c>
      <c r="J275" s="12">
        <v>30139.03</v>
      </c>
      <c r="K275" s="12">
        <v>1163</v>
      </c>
      <c r="L275" s="12">
        <v>117413.18</v>
      </c>
      <c r="M275" s="13">
        <v>139746.57</v>
      </c>
      <c r="N275">
        <f>YEAR(B275)</f>
        <v>2022</v>
      </c>
      <c r="O275" s="24">
        <f>IFERROR(J275/$I275,0)</f>
        <v>0.3500014806444926</v>
      </c>
      <c r="P275" s="24">
        <f>IFERROR(K275/$I275,0)</f>
        <v>1.3505800352219197E-2</v>
      </c>
      <c r="Q275" s="24" t="str">
        <f>IF($G275&lt;&gt;0,"Beer",IF($H275&lt;&gt;0,"Liquor","-"))</f>
        <v>Beer</v>
      </c>
      <c r="R275" s="26">
        <f>IF($G275&lt;&gt;0,$G275,IF($H275&lt;&gt;0,$H275/0.75,0))</f>
        <v>562.91999999999996</v>
      </c>
      <c r="S275" s="32" t="b">
        <f>ISNUMBER(R275)</f>
        <v>1</v>
      </c>
      <c r="T275" s="32"/>
    </row>
    <row r="276" spans="1:20" x14ac:dyDescent="0.3">
      <c r="A276" s="9">
        <v>275</v>
      </c>
      <c r="B276" s="10">
        <v>44719.679328703707</v>
      </c>
      <c r="C276" s="11" t="s">
        <v>286</v>
      </c>
      <c r="D276" s="11" t="str">
        <f>IF(ISNUMBER(SEARCH("OSBC", C276)), "GOVT", "RETAIL")</f>
        <v>RETAIL</v>
      </c>
      <c r="E276" s="12">
        <v>139746.57</v>
      </c>
      <c r="F276" s="12">
        <v>0</v>
      </c>
      <c r="G276" s="11">
        <v>633</v>
      </c>
      <c r="H276" s="11">
        <v>0</v>
      </c>
      <c r="I276" s="12">
        <v>102380.97</v>
      </c>
      <c r="J276" s="12">
        <v>35833.379999999997</v>
      </c>
      <c r="K276" s="12">
        <v>1382</v>
      </c>
      <c r="L276" s="12">
        <v>139596.35</v>
      </c>
      <c r="M276" s="13">
        <v>150.22</v>
      </c>
      <c r="N276">
        <f>YEAR(B276)</f>
        <v>2022</v>
      </c>
      <c r="O276" s="24">
        <f>IFERROR(J276/$I276,0)</f>
        <v>0.35000039558132723</v>
      </c>
      <c r="P276" s="24">
        <f>IFERROR(K276/$I276,0)</f>
        <v>1.3498602328147506E-2</v>
      </c>
      <c r="Q276" s="24" t="str">
        <f>IF($G276&lt;&gt;0,"Beer",IF($H276&lt;&gt;0,"Liquor","-"))</f>
        <v>Beer</v>
      </c>
      <c r="R276" s="26">
        <f>IF($G276&lt;&gt;0,$G276,IF($H276&lt;&gt;0,$H276/0.75,0))</f>
        <v>633</v>
      </c>
      <c r="S276" s="32" t="b">
        <f>ISNUMBER(R276)</f>
        <v>1</v>
      </c>
      <c r="T276" s="32"/>
    </row>
    <row r="277" spans="1:20" x14ac:dyDescent="0.3">
      <c r="A277" s="9">
        <v>276</v>
      </c>
      <c r="B277" s="10">
        <v>44721.381203703706</v>
      </c>
      <c r="C277" s="11" t="s">
        <v>287</v>
      </c>
      <c r="D277" s="11" t="str">
        <f>IF(ISNUMBER(SEARCH("OSBC", C277)), "GOVT", "RETAIL")</f>
        <v>GOVT</v>
      </c>
      <c r="E277" s="12">
        <v>150.22</v>
      </c>
      <c r="F277" s="12">
        <v>150000</v>
      </c>
      <c r="G277" s="11">
        <v>0</v>
      </c>
      <c r="H277" s="11">
        <v>0</v>
      </c>
      <c r="I277" s="12">
        <v>0</v>
      </c>
      <c r="J277" s="12">
        <v>0</v>
      </c>
      <c r="K277" s="12">
        <v>0</v>
      </c>
      <c r="L277" s="12">
        <v>0</v>
      </c>
      <c r="M277" s="13">
        <v>150150.22</v>
      </c>
      <c r="N277">
        <f>YEAR(B277)</f>
        <v>2022</v>
      </c>
      <c r="O277" s="24">
        <f>IFERROR(J277/$I277,0)</f>
        <v>0</v>
      </c>
      <c r="P277" s="24">
        <f>IFERROR(K277/$I277,0)</f>
        <v>0</v>
      </c>
      <c r="Q277" s="24" t="str">
        <f>IF($G277&lt;&gt;0,"Beer",IF($H277&lt;&gt;0,"Liquor","-"))</f>
        <v>-</v>
      </c>
      <c r="R277" s="26">
        <f>IF($G277&lt;&gt;0,$G277,IF($H277&lt;&gt;0,$H277/0.75,0))</f>
        <v>0</v>
      </c>
      <c r="S277" s="32" t="b">
        <f>ISNUMBER(R277)</f>
        <v>1</v>
      </c>
      <c r="T277" s="32"/>
    </row>
    <row r="278" spans="1:20" x14ac:dyDescent="0.3">
      <c r="A278" s="9">
        <v>277</v>
      </c>
      <c r="B278" s="10">
        <v>44721.487280092595</v>
      </c>
      <c r="C278" s="11" t="s">
        <v>288</v>
      </c>
      <c r="D278" s="11" t="str">
        <f>IF(ISNUMBER(SEARCH("OSBC", C278)), "GOVT", "RETAIL")</f>
        <v>RETAIL</v>
      </c>
      <c r="E278" s="12">
        <v>150150.22</v>
      </c>
      <c r="F278" s="12">
        <v>0</v>
      </c>
      <c r="G278" s="11">
        <v>537</v>
      </c>
      <c r="H278" s="11">
        <v>0</v>
      </c>
      <c r="I278" s="12">
        <v>87063.59</v>
      </c>
      <c r="J278" s="12">
        <v>30472.18</v>
      </c>
      <c r="K278" s="12">
        <v>1175</v>
      </c>
      <c r="L278" s="12">
        <v>118710.77</v>
      </c>
      <c r="M278" s="13">
        <v>31439.45</v>
      </c>
      <c r="N278">
        <f>YEAR(B278)</f>
        <v>2022</v>
      </c>
      <c r="O278" s="24">
        <f>IFERROR(J278/$I278,0)</f>
        <v>0.34999912133189087</v>
      </c>
      <c r="P278" s="24">
        <f>IFERROR(K278/$I278,0)</f>
        <v>1.349588272204259E-2</v>
      </c>
      <c r="Q278" s="24" t="str">
        <f>IF($G278&lt;&gt;0,"Beer",IF($H278&lt;&gt;0,"Liquor","-"))</f>
        <v>Beer</v>
      </c>
      <c r="R278" s="26">
        <f>IF($G278&lt;&gt;0,$G278,IF($H278&lt;&gt;0,$H278/0.75,0))</f>
        <v>537</v>
      </c>
      <c r="S278" s="32" t="b">
        <f>ISNUMBER(R278)</f>
        <v>1</v>
      </c>
      <c r="T278" s="32"/>
    </row>
    <row r="279" spans="1:20" x14ac:dyDescent="0.3">
      <c r="A279" s="9">
        <v>278</v>
      </c>
      <c r="B279" s="10">
        <v>44723.399409722224</v>
      </c>
      <c r="C279" s="11" t="s">
        <v>289</v>
      </c>
      <c r="D279" s="11" t="str">
        <f>IF(ISNUMBER(SEARCH("OSBC", C279)), "GOVT", "RETAIL")</f>
        <v>GOVT</v>
      </c>
      <c r="E279" s="12">
        <v>31439.45</v>
      </c>
      <c r="F279" s="12">
        <v>90000</v>
      </c>
      <c r="G279" s="11">
        <v>0</v>
      </c>
      <c r="H279" s="11">
        <v>0</v>
      </c>
      <c r="I279" s="12">
        <v>0</v>
      </c>
      <c r="J279" s="12">
        <v>0</v>
      </c>
      <c r="K279" s="12">
        <v>0</v>
      </c>
      <c r="L279" s="12">
        <v>0</v>
      </c>
      <c r="M279" s="13">
        <v>121439.45</v>
      </c>
      <c r="N279">
        <f>YEAR(B279)</f>
        <v>2022</v>
      </c>
      <c r="O279" s="24">
        <f>IFERROR(J279/$I279,0)</f>
        <v>0</v>
      </c>
      <c r="P279" s="24">
        <f>IFERROR(K279/$I279,0)</f>
        <v>0</v>
      </c>
      <c r="Q279" s="24" t="str">
        <f>IF($G279&lt;&gt;0,"Beer",IF($H279&lt;&gt;0,"Liquor","-"))</f>
        <v>-</v>
      </c>
      <c r="R279" s="26">
        <f>IF($G279&lt;&gt;0,$G279,IF($H279&lt;&gt;0,$H279/0.75,0))</f>
        <v>0</v>
      </c>
      <c r="S279" s="32" t="b">
        <f>ISNUMBER(R279)</f>
        <v>1</v>
      </c>
      <c r="T279" s="32"/>
    </row>
    <row r="280" spans="1:20" x14ac:dyDescent="0.3">
      <c r="A280" s="9">
        <v>279</v>
      </c>
      <c r="B280" s="10">
        <v>44723.691006944442</v>
      </c>
      <c r="C280" s="11" t="s">
        <v>290</v>
      </c>
      <c r="D280" s="11" t="str">
        <f>IF(ISNUMBER(SEARCH("OSBC", C280)), "GOVT", "RETAIL")</f>
        <v>RETAIL</v>
      </c>
      <c r="E280" s="12">
        <v>121439.45</v>
      </c>
      <c r="F280" s="12">
        <v>0</v>
      </c>
      <c r="G280" s="11">
        <v>566.4</v>
      </c>
      <c r="H280" s="11">
        <v>0</v>
      </c>
      <c r="I280" s="12">
        <v>88968.320000000007</v>
      </c>
      <c r="J280" s="12">
        <v>31139.02</v>
      </c>
      <c r="K280" s="12">
        <v>1201</v>
      </c>
      <c r="L280" s="12">
        <v>121308.34</v>
      </c>
      <c r="M280" s="13">
        <v>131.11000000000001</v>
      </c>
      <c r="N280">
        <f>YEAR(B280)</f>
        <v>2022</v>
      </c>
      <c r="O280" s="24">
        <f>IFERROR(J280/$I280,0)</f>
        <v>0.3500012139152453</v>
      </c>
      <c r="P280" s="24">
        <f>IFERROR(K280/$I280,0)</f>
        <v>1.3499187126383863E-2</v>
      </c>
      <c r="Q280" s="24" t="str">
        <f>IF($G280&lt;&gt;0,"Beer",IF($H280&lt;&gt;0,"Liquor","-"))</f>
        <v>Beer</v>
      </c>
      <c r="R280" s="26">
        <f>IF($G280&lt;&gt;0,$G280,IF($H280&lt;&gt;0,$H280/0.75,0))</f>
        <v>566.4</v>
      </c>
      <c r="S280" s="32" t="b">
        <f>ISNUMBER(R280)</f>
        <v>1</v>
      </c>
      <c r="T280" s="32"/>
    </row>
    <row r="281" spans="1:20" x14ac:dyDescent="0.3">
      <c r="A281" s="9">
        <v>280</v>
      </c>
      <c r="B281" s="10">
        <v>44726.373842592591</v>
      </c>
      <c r="C281" s="11" t="s">
        <v>291</v>
      </c>
      <c r="D281" s="11" t="str">
        <f>IF(ISNUMBER(SEARCH("OSBC", C281)), "GOVT", "RETAIL")</f>
        <v>GOVT</v>
      </c>
      <c r="E281" s="12">
        <v>131.11000000000001</v>
      </c>
      <c r="F281" s="12">
        <v>65000</v>
      </c>
      <c r="G281" s="11">
        <v>0</v>
      </c>
      <c r="H281" s="11">
        <v>0</v>
      </c>
      <c r="I281" s="12">
        <v>0</v>
      </c>
      <c r="J281" s="12">
        <v>0</v>
      </c>
      <c r="K281" s="12">
        <v>0</v>
      </c>
      <c r="L281" s="12">
        <v>0</v>
      </c>
      <c r="M281" s="13">
        <v>65131.11</v>
      </c>
      <c r="N281">
        <f>YEAR(B281)</f>
        <v>2022</v>
      </c>
      <c r="O281" s="24">
        <f>IFERROR(J281/$I281,0)</f>
        <v>0</v>
      </c>
      <c r="P281" s="24">
        <f>IFERROR(K281/$I281,0)</f>
        <v>0</v>
      </c>
      <c r="Q281" s="24" t="str">
        <f>IF($G281&lt;&gt;0,"Beer",IF($H281&lt;&gt;0,"Liquor","-"))</f>
        <v>-</v>
      </c>
      <c r="R281" s="26">
        <f>IF($G281&lt;&gt;0,$G281,IF($H281&lt;&gt;0,$H281/0.75,0))</f>
        <v>0</v>
      </c>
      <c r="S281" s="32" t="b">
        <f>ISNUMBER(R281)</f>
        <v>1</v>
      </c>
      <c r="T281" s="32"/>
    </row>
    <row r="282" spans="1:20" x14ac:dyDescent="0.3">
      <c r="A282" s="9">
        <v>281</v>
      </c>
      <c r="B282" s="10">
        <v>44729.377152777779</v>
      </c>
      <c r="C282" s="11" t="s">
        <v>292</v>
      </c>
      <c r="D282" s="11" t="str">
        <f>IF(ISNUMBER(SEARCH("OSBC", C282)), "GOVT", "RETAIL")</f>
        <v>GOVT</v>
      </c>
      <c r="E282" s="12">
        <v>65131.11</v>
      </c>
      <c r="F282" s="12">
        <v>150000</v>
      </c>
      <c r="G282" s="11">
        <v>0</v>
      </c>
      <c r="H282" s="11">
        <v>0</v>
      </c>
      <c r="I282" s="12">
        <v>0</v>
      </c>
      <c r="J282" s="12">
        <v>0</v>
      </c>
      <c r="K282" s="12">
        <v>0</v>
      </c>
      <c r="L282" s="12">
        <v>0</v>
      </c>
      <c r="M282" s="13">
        <v>215131.11</v>
      </c>
      <c r="N282">
        <f>YEAR(B282)</f>
        <v>2022</v>
      </c>
      <c r="O282" s="24">
        <f>IFERROR(J282/$I282,0)</f>
        <v>0</v>
      </c>
      <c r="P282" s="24">
        <f>IFERROR(K282/$I282,0)</f>
        <v>0</v>
      </c>
      <c r="Q282" s="24" t="str">
        <f>IF($G282&lt;&gt;0,"Beer",IF($H282&lt;&gt;0,"Liquor","-"))</f>
        <v>-</v>
      </c>
      <c r="R282" s="26">
        <f>IF($G282&lt;&gt;0,$G282,IF($H282&lt;&gt;0,$H282/0.75,0))</f>
        <v>0</v>
      </c>
      <c r="S282" s="32" t="b">
        <f>ISNUMBER(R282)</f>
        <v>1</v>
      </c>
      <c r="T282" s="32"/>
    </row>
    <row r="283" spans="1:20" x14ac:dyDescent="0.3">
      <c r="A283" s="9">
        <v>282</v>
      </c>
      <c r="B283" s="10">
        <v>44729.470185185186</v>
      </c>
      <c r="C283" s="11" t="s">
        <v>293</v>
      </c>
      <c r="D283" s="11" t="str">
        <f>IF(ISNUMBER(SEARCH("OSBC", C283)), "GOVT", "RETAIL")</f>
        <v>RETAIL</v>
      </c>
      <c r="E283" s="12">
        <v>215131.11</v>
      </c>
      <c r="F283" s="12">
        <v>0</v>
      </c>
      <c r="G283" s="11">
        <v>514.32000000000005</v>
      </c>
      <c r="H283" s="11">
        <v>0</v>
      </c>
      <c r="I283" s="12">
        <v>78412.83</v>
      </c>
      <c r="J283" s="12">
        <v>27444.61</v>
      </c>
      <c r="K283" s="12">
        <v>1059</v>
      </c>
      <c r="L283" s="12">
        <v>106916.44</v>
      </c>
      <c r="M283" s="13">
        <v>108214.67</v>
      </c>
      <c r="N283">
        <f>YEAR(B283)</f>
        <v>2022</v>
      </c>
      <c r="O283" s="24">
        <f>IFERROR(J283/$I283,0)</f>
        <v>0.35000152398529677</v>
      </c>
      <c r="P283" s="24">
        <f>IFERROR(K283/$I283,0)</f>
        <v>1.3505442923052261E-2</v>
      </c>
      <c r="Q283" s="24" t="str">
        <f>IF($G283&lt;&gt;0,"Beer",IF($H283&lt;&gt;0,"Liquor","-"))</f>
        <v>Beer</v>
      </c>
      <c r="R283" s="26">
        <f>IF($G283&lt;&gt;0,$G283,IF($H283&lt;&gt;0,$H283/0.75,0))</f>
        <v>514.32000000000005</v>
      </c>
      <c r="S283" s="32" t="b">
        <f>ISNUMBER(R283)</f>
        <v>1</v>
      </c>
      <c r="T283" s="32"/>
    </row>
    <row r="284" spans="1:20" x14ac:dyDescent="0.3">
      <c r="A284" s="9">
        <v>283</v>
      </c>
      <c r="B284" s="10">
        <v>44732.449444444443</v>
      </c>
      <c r="C284" s="11" t="s">
        <v>294</v>
      </c>
      <c r="D284" s="11" t="str">
        <f>IF(ISNUMBER(SEARCH("OSBC", C284)), "GOVT", "RETAIL")</f>
        <v>GOVT</v>
      </c>
      <c r="E284" s="12">
        <v>108214.67</v>
      </c>
      <c r="F284" s="12">
        <v>450000</v>
      </c>
      <c r="G284" s="11">
        <v>0</v>
      </c>
      <c r="H284" s="11">
        <v>0</v>
      </c>
      <c r="I284" s="12">
        <v>0</v>
      </c>
      <c r="J284" s="12">
        <v>0</v>
      </c>
      <c r="K284" s="12">
        <v>0</v>
      </c>
      <c r="L284" s="12">
        <v>0</v>
      </c>
      <c r="M284" s="13">
        <v>558214.67000000004</v>
      </c>
      <c r="N284">
        <f>YEAR(B284)</f>
        <v>2022</v>
      </c>
      <c r="O284" s="24">
        <f>IFERROR(J284/$I284,0)</f>
        <v>0</v>
      </c>
      <c r="P284" s="24">
        <f>IFERROR(K284/$I284,0)</f>
        <v>0</v>
      </c>
      <c r="Q284" s="24" t="str">
        <f>IF($G284&lt;&gt;0,"Beer",IF($H284&lt;&gt;0,"Liquor","-"))</f>
        <v>-</v>
      </c>
      <c r="R284" s="26">
        <f>IF($G284&lt;&gt;0,$G284,IF($H284&lt;&gt;0,$H284/0.75,0))</f>
        <v>0</v>
      </c>
      <c r="S284" s="32" t="b">
        <f>ISNUMBER(R284)</f>
        <v>1</v>
      </c>
      <c r="T284" s="32"/>
    </row>
    <row r="285" spans="1:20" x14ac:dyDescent="0.3">
      <c r="A285" s="9">
        <v>284</v>
      </c>
      <c r="B285" s="10">
        <v>44732.717245370368</v>
      </c>
      <c r="C285" s="11" t="s">
        <v>295</v>
      </c>
      <c r="D285" s="11" t="str">
        <f>IF(ISNUMBER(SEARCH("OSBC", C285)), "GOVT", "RETAIL")</f>
        <v>RETAIL</v>
      </c>
      <c r="E285" s="12">
        <v>558214.67000000004</v>
      </c>
      <c r="F285" s="12">
        <v>0</v>
      </c>
      <c r="G285" s="11">
        <v>786.72</v>
      </c>
      <c r="H285" s="11">
        <v>0</v>
      </c>
      <c r="I285" s="12">
        <v>122619.17</v>
      </c>
      <c r="J285" s="12">
        <v>42916.83</v>
      </c>
      <c r="K285" s="12">
        <v>1655</v>
      </c>
      <c r="L285" s="12">
        <v>167191</v>
      </c>
      <c r="M285" s="13">
        <v>391023.67</v>
      </c>
      <c r="N285">
        <f>YEAR(B285)</f>
        <v>2022</v>
      </c>
      <c r="O285" s="24">
        <f>IFERROR(J285/$I285,0)</f>
        <v>0.35000098271746583</v>
      </c>
      <c r="P285" s="24">
        <f>IFERROR(K285/$I285,0)</f>
        <v>1.3497073907774779E-2</v>
      </c>
      <c r="Q285" s="24" t="str">
        <f>IF($G285&lt;&gt;0,"Beer",IF($H285&lt;&gt;0,"Liquor","-"))</f>
        <v>Beer</v>
      </c>
      <c r="R285" s="26">
        <f>IF($G285&lt;&gt;0,$G285,IF($H285&lt;&gt;0,$H285/0.75,0))</f>
        <v>786.72</v>
      </c>
      <c r="S285" s="32" t="b">
        <f>ISNUMBER(R285)</f>
        <v>1</v>
      </c>
      <c r="T285" s="32"/>
    </row>
    <row r="286" spans="1:20" x14ac:dyDescent="0.3">
      <c r="A286" s="9">
        <v>285</v>
      </c>
      <c r="B286" s="10">
        <v>44732.717916666668</v>
      </c>
      <c r="C286" s="11" t="s">
        <v>296</v>
      </c>
      <c r="D286" s="11" t="str">
        <f>IF(ISNUMBER(SEARCH("OSBC", C286)), "GOVT", "RETAIL")</f>
        <v>RETAIL</v>
      </c>
      <c r="E286" s="12">
        <v>391023.67</v>
      </c>
      <c r="F286" s="12">
        <v>0</v>
      </c>
      <c r="G286" s="11">
        <v>0</v>
      </c>
      <c r="H286" s="11">
        <v>258.39</v>
      </c>
      <c r="I286" s="12">
        <v>219127.04000000001</v>
      </c>
      <c r="J286" s="12">
        <v>76694.460000000006</v>
      </c>
      <c r="K286" s="12">
        <v>2958</v>
      </c>
      <c r="L286" s="12">
        <v>298779.5</v>
      </c>
      <c r="M286" s="13">
        <v>92244.17</v>
      </c>
      <c r="N286">
        <f>YEAR(B286)</f>
        <v>2022</v>
      </c>
      <c r="O286" s="24">
        <f>IFERROR(J286/$I286,0)</f>
        <v>0.34999998174574898</v>
      </c>
      <c r="P286" s="24">
        <f>IFERROR(K286/$I286,0)</f>
        <v>1.3499018651463553E-2</v>
      </c>
      <c r="Q286" s="24" t="str">
        <f>IF($G286&lt;&gt;0,"Beer",IF($H286&lt;&gt;0,"Liquor","-"))</f>
        <v>Liquor</v>
      </c>
      <c r="R286" s="26">
        <f>IF($G286&lt;&gt;0,$G286,IF($H286&lt;&gt;0,$H286/0.75,0))</f>
        <v>344.52</v>
      </c>
      <c r="S286" s="32" t="b">
        <f>ISNUMBER(R286)</f>
        <v>1</v>
      </c>
      <c r="T286" s="32"/>
    </row>
    <row r="287" spans="1:20" x14ac:dyDescent="0.3">
      <c r="A287" s="9">
        <v>286</v>
      </c>
      <c r="B287" s="10">
        <v>44739.684270833335</v>
      </c>
      <c r="C287" s="11" t="s">
        <v>297</v>
      </c>
      <c r="D287" s="11" t="str">
        <f>IF(ISNUMBER(SEARCH("OSBC", C287)), "GOVT", "RETAIL")</f>
        <v>RETAIL</v>
      </c>
      <c r="E287" s="12">
        <v>92244.17</v>
      </c>
      <c r="F287" s="12">
        <v>0</v>
      </c>
      <c r="G287" s="11">
        <v>426.6</v>
      </c>
      <c r="H287" s="11">
        <v>0</v>
      </c>
      <c r="I287" s="12">
        <v>66825.37</v>
      </c>
      <c r="J287" s="12">
        <v>23388.83</v>
      </c>
      <c r="K287" s="12">
        <v>902</v>
      </c>
      <c r="L287" s="12">
        <v>91116.2</v>
      </c>
      <c r="M287" s="13">
        <v>1127.97</v>
      </c>
      <c r="N287">
        <f>YEAR(B287)</f>
        <v>2022</v>
      </c>
      <c r="O287" s="24">
        <f>IFERROR(J287/$I287,0)</f>
        <v>0.34999925926336067</v>
      </c>
      <c r="P287" s="24">
        <f>IFERROR(K287/$I287,0)</f>
        <v>1.3497867651163025E-2</v>
      </c>
      <c r="Q287" s="24" t="str">
        <f>IF($G287&lt;&gt;0,"Beer",IF($H287&lt;&gt;0,"Liquor","-"))</f>
        <v>Beer</v>
      </c>
      <c r="R287" s="26">
        <f>IF($G287&lt;&gt;0,$G287,IF($H287&lt;&gt;0,$H287/0.75,0))</f>
        <v>426.6</v>
      </c>
      <c r="S287" s="32" t="b">
        <f>ISNUMBER(R287)</f>
        <v>1</v>
      </c>
      <c r="T287" s="32"/>
    </row>
    <row r="288" spans="1:20" x14ac:dyDescent="0.3">
      <c r="A288" s="9">
        <v>287</v>
      </c>
      <c r="B288" s="10">
        <v>44744.469861111109</v>
      </c>
      <c r="C288" s="11" t="s">
        <v>298</v>
      </c>
      <c r="D288" s="11" t="str">
        <f>IF(ISNUMBER(SEARCH("OSBC", C288)), "GOVT", "RETAIL")</f>
        <v>GOVT</v>
      </c>
      <c r="E288" s="12">
        <v>1127.97</v>
      </c>
      <c r="F288" s="12">
        <v>300000</v>
      </c>
      <c r="G288" s="11">
        <v>0</v>
      </c>
      <c r="H288" s="11">
        <v>0</v>
      </c>
      <c r="I288" s="12">
        <v>0</v>
      </c>
      <c r="J288" s="12">
        <v>0</v>
      </c>
      <c r="K288" s="12">
        <v>0</v>
      </c>
      <c r="L288" s="12">
        <v>0</v>
      </c>
      <c r="M288" s="13">
        <v>301127.96999999997</v>
      </c>
      <c r="N288">
        <f>YEAR(B288)</f>
        <v>2022</v>
      </c>
      <c r="O288" s="24">
        <f>IFERROR(J288/$I288,0)</f>
        <v>0</v>
      </c>
      <c r="P288" s="24">
        <f>IFERROR(K288/$I288,0)</f>
        <v>0</v>
      </c>
      <c r="Q288" s="24" t="str">
        <f>IF($G288&lt;&gt;0,"Beer",IF($H288&lt;&gt;0,"Liquor","-"))</f>
        <v>-</v>
      </c>
      <c r="R288" s="26">
        <f>IF($G288&lt;&gt;0,$G288,IF($H288&lt;&gt;0,$H288/0.75,0))</f>
        <v>0</v>
      </c>
      <c r="S288" s="32" t="b">
        <f>ISNUMBER(R288)</f>
        <v>1</v>
      </c>
      <c r="T288" s="32"/>
    </row>
    <row r="289" spans="1:20" x14ac:dyDescent="0.3">
      <c r="A289" s="9">
        <v>288</v>
      </c>
      <c r="B289" s="10">
        <v>44744.681388888886</v>
      </c>
      <c r="C289" s="11" t="s">
        <v>299</v>
      </c>
      <c r="D289" s="11" t="str">
        <f>IF(ISNUMBER(SEARCH("OSBC", C289)), "GOVT", "RETAIL")</f>
        <v>RETAIL</v>
      </c>
      <c r="E289" s="12">
        <v>301127.96999999997</v>
      </c>
      <c r="F289" s="12">
        <v>0</v>
      </c>
      <c r="G289" s="11">
        <v>0</v>
      </c>
      <c r="H289" s="11">
        <v>265.97000000000003</v>
      </c>
      <c r="I289" s="12">
        <v>220595.28</v>
      </c>
      <c r="J289" s="12">
        <v>77208.36</v>
      </c>
      <c r="K289" s="12">
        <v>2978</v>
      </c>
      <c r="L289" s="12">
        <v>300781.64</v>
      </c>
      <c r="M289" s="13">
        <v>346.33</v>
      </c>
      <c r="N289">
        <f>YEAR(B289)</f>
        <v>2022</v>
      </c>
      <c r="O289" s="24">
        <f>IFERROR(J289/$I289,0)</f>
        <v>0.35000005439826276</v>
      </c>
      <c r="P289" s="24">
        <f>IFERROR(K289/$I289,0)</f>
        <v>1.3499835535918991E-2</v>
      </c>
      <c r="Q289" s="24" t="str">
        <f>IF($G289&lt;&gt;0,"Beer",IF($H289&lt;&gt;0,"Liquor","-"))</f>
        <v>Liquor</v>
      </c>
      <c r="R289" s="26">
        <f>IF($G289&lt;&gt;0,$G289,IF($H289&lt;&gt;0,$H289/0.75,0))</f>
        <v>354.62666666666672</v>
      </c>
      <c r="S289" s="32" t="b">
        <f>ISNUMBER(R289)</f>
        <v>1</v>
      </c>
      <c r="T289" s="32"/>
    </row>
    <row r="290" spans="1:20" x14ac:dyDescent="0.3">
      <c r="A290" s="9">
        <v>289</v>
      </c>
      <c r="B290" s="10">
        <v>44753.353425925925</v>
      </c>
      <c r="C290" s="11" t="s">
        <v>300</v>
      </c>
      <c r="D290" s="11" t="str">
        <f>IF(ISNUMBER(SEARCH("OSBC", C290)), "GOVT", "RETAIL")</f>
        <v>GOVT</v>
      </c>
      <c r="E290" s="12">
        <v>346.33</v>
      </c>
      <c r="F290" s="12">
        <v>340000</v>
      </c>
      <c r="G290" s="11">
        <v>0</v>
      </c>
      <c r="H290" s="11">
        <v>0</v>
      </c>
      <c r="I290" s="12">
        <v>0</v>
      </c>
      <c r="J290" s="12">
        <v>0</v>
      </c>
      <c r="K290" s="12">
        <v>0</v>
      </c>
      <c r="L290" s="12">
        <v>0</v>
      </c>
      <c r="M290" s="13">
        <v>340346.33</v>
      </c>
      <c r="N290">
        <f>YEAR(B290)</f>
        <v>2022</v>
      </c>
      <c r="O290" s="24">
        <f>IFERROR(J290/$I290,0)</f>
        <v>0</v>
      </c>
      <c r="P290" s="24">
        <f>IFERROR(K290/$I290,0)</f>
        <v>0</v>
      </c>
      <c r="Q290" s="24" t="str">
        <f>IF($G290&lt;&gt;0,"Beer",IF($H290&lt;&gt;0,"Liquor","-"))</f>
        <v>-</v>
      </c>
      <c r="R290" s="26">
        <f>IF($G290&lt;&gt;0,$G290,IF($H290&lt;&gt;0,$H290/0.75,0))</f>
        <v>0</v>
      </c>
      <c r="S290" s="32" t="b">
        <f>ISNUMBER(R290)</f>
        <v>1</v>
      </c>
      <c r="T290" s="32"/>
    </row>
    <row r="291" spans="1:20" x14ac:dyDescent="0.3">
      <c r="A291" s="9">
        <v>290</v>
      </c>
      <c r="B291" s="10">
        <v>44753.683125000003</v>
      </c>
      <c r="C291" s="11" t="s">
        <v>301</v>
      </c>
      <c r="D291" s="11" t="str">
        <f>IF(ISNUMBER(SEARCH("OSBC", C291)), "GOVT", "RETAIL")</f>
        <v>RETAIL</v>
      </c>
      <c r="E291" s="12">
        <v>340346.33</v>
      </c>
      <c r="F291" s="12">
        <v>0</v>
      </c>
      <c r="G291" s="11">
        <v>0</v>
      </c>
      <c r="H291" s="11">
        <v>281.51</v>
      </c>
      <c r="I291" s="12">
        <v>245484.55</v>
      </c>
      <c r="J291" s="12">
        <v>85919.58</v>
      </c>
      <c r="K291" s="12">
        <v>3314</v>
      </c>
      <c r="L291" s="12">
        <v>334718.13</v>
      </c>
      <c r="M291" s="13">
        <v>5628.2</v>
      </c>
      <c r="N291">
        <f>YEAR(B291)</f>
        <v>2022</v>
      </c>
      <c r="O291" s="24">
        <f>IFERROR(J291/$I291,0)</f>
        <v>0.34999994908029858</v>
      </c>
      <c r="P291" s="24">
        <f>IFERROR(K291/$I291,0)</f>
        <v>1.3499831252109349E-2</v>
      </c>
      <c r="Q291" s="24" t="str">
        <f>IF($G291&lt;&gt;0,"Beer",IF($H291&lt;&gt;0,"Liquor","-"))</f>
        <v>Liquor</v>
      </c>
      <c r="R291" s="26">
        <f>IF($G291&lt;&gt;0,$G291,IF($H291&lt;&gt;0,$H291/0.75,0))</f>
        <v>375.34666666666664</v>
      </c>
      <c r="S291" s="32" t="b">
        <f>ISNUMBER(R291)</f>
        <v>1</v>
      </c>
      <c r="T291" s="32"/>
    </row>
    <row r="292" spans="1:20" x14ac:dyDescent="0.3">
      <c r="A292" s="9">
        <v>291</v>
      </c>
      <c r="B292" s="10">
        <v>44760.453449074077</v>
      </c>
      <c r="C292" s="11" t="s">
        <v>302</v>
      </c>
      <c r="D292" s="11" t="str">
        <f>IF(ISNUMBER(SEARCH("OSBC", C292)), "GOVT", "RETAIL")</f>
        <v>GOVT</v>
      </c>
      <c r="E292" s="12">
        <v>5628.2</v>
      </c>
      <c r="F292" s="12">
        <v>150000</v>
      </c>
      <c r="G292" s="11">
        <v>0</v>
      </c>
      <c r="H292" s="11">
        <v>0</v>
      </c>
      <c r="I292" s="12">
        <v>0</v>
      </c>
      <c r="J292" s="12">
        <v>0</v>
      </c>
      <c r="K292" s="12">
        <v>0</v>
      </c>
      <c r="L292" s="12">
        <v>0</v>
      </c>
      <c r="M292" s="13">
        <v>155628.20000000001</v>
      </c>
      <c r="N292">
        <f>YEAR(B292)</f>
        <v>2022</v>
      </c>
      <c r="O292" s="24">
        <f>IFERROR(J292/$I292,0)</f>
        <v>0</v>
      </c>
      <c r="P292" s="24">
        <f>IFERROR(K292/$I292,0)</f>
        <v>0</v>
      </c>
      <c r="Q292" s="24" t="str">
        <f>IF($G292&lt;&gt;0,"Beer",IF($H292&lt;&gt;0,"Liquor","-"))</f>
        <v>-</v>
      </c>
      <c r="R292" s="26">
        <f>IF($G292&lt;&gt;0,$G292,IF($H292&lt;&gt;0,$H292/0.75,0))</f>
        <v>0</v>
      </c>
      <c r="S292" s="32" t="b">
        <f>ISNUMBER(R292)</f>
        <v>1</v>
      </c>
      <c r="T292" s="32"/>
    </row>
    <row r="293" spans="1:20" x14ac:dyDescent="0.3">
      <c r="A293" s="9">
        <v>292</v>
      </c>
      <c r="B293" s="10">
        <v>44762.470682870371</v>
      </c>
      <c r="C293" s="11" t="s">
        <v>303</v>
      </c>
      <c r="D293" s="11" t="str">
        <f>IF(ISNUMBER(SEARCH("OSBC", C293)), "GOVT", "RETAIL")</f>
        <v>GOVT</v>
      </c>
      <c r="E293" s="12">
        <v>155628.20000000001</v>
      </c>
      <c r="F293" s="12">
        <v>75000</v>
      </c>
      <c r="G293" s="11">
        <v>0</v>
      </c>
      <c r="H293" s="11">
        <v>0</v>
      </c>
      <c r="I293" s="12">
        <v>0</v>
      </c>
      <c r="J293" s="12">
        <v>0</v>
      </c>
      <c r="K293" s="12">
        <v>0</v>
      </c>
      <c r="L293" s="12">
        <v>0</v>
      </c>
      <c r="M293" s="13">
        <v>230628.2</v>
      </c>
      <c r="N293">
        <f>YEAR(B293)</f>
        <v>2022</v>
      </c>
      <c r="O293" s="24">
        <f>IFERROR(J293/$I293,0)</f>
        <v>0</v>
      </c>
      <c r="P293" s="24">
        <f>IFERROR(K293/$I293,0)</f>
        <v>0</v>
      </c>
      <c r="Q293" s="24" t="str">
        <f>IF($G293&lt;&gt;0,"Beer",IF($H293&lt;&gt;0,"Liquor","-"))</f>
        <v>-</v>
      </c>
      <c r="R293" s="26">
        <f>IF($G293&lt;&gt;0,$G293,IF($H293&lt;&gt;0,$H293/0.75,0))</f>
        <v>0</v>
      </c>
      <c r="S293" s="32" t="b">
        <f>ISNUMBER(R293)</f>
        <v>1</v>
      </c>
      <c r="T293" s="32"/>
    </row>
    <row r="294" spans="1:20" x14ac:dyDescent="0.3">
      <c r="A294" s="9">
        <v>293</v>
      </c>
      <c r="B294" s="10">
        <v>44762.706064814818</v>
      </c>
      <c r="C294" s="11" t="s">
        <v>304</v>
      </c>
      <c r="D294" s="11" t="str">
        <f>IF(ISNUMBER(SEARCH("OSBC", C294)), "GOVT", "RETAIL")</f>
        <v>RETAIL</v>
      </c>
      <c r="E294" s="12">
        <v>230628.2</v>
      </c>
      <c r="F294" s="12">
        <v>0</v>
      </c>
      <c r="G294" s="11">
        <v>0</v>
      </c>
      <c r="H294" s="11">
        <v>40.44</v>
      </c>
      <c r="I294" s="12">
        <v>47578.3</v>
      </c>
      <c r="J294" s="12">
        <v>16652.41</v>
      </c>
      <c r="K294" s="12">
        <v>642</v>
      </c>
      <c r="L294" s="12">
        <v>64872.71</v>
      </c>
      <c r="M294" s="13">
        <v>165755.49</v>
      </c>
      <c r="N294">
        <f>YEAR(B294)</f>
        <v>2022</v>
      </c>
      <c r="O294" s="24">
        <f>IFERROR(J294/$I294,0)</f>
        <v>0.35000010508992541</v>
      </c>
      <c r="P294" s="24">
        <f>IFERROR(K294/$I294,0)</f>
        <v>1.3493546427678164E-2</v>
      </c>
      <c r="Q294" s="24" t="str">
        <f>IF($G294&lt;&gt;0,"Beer",IF($H294&lt;&gt;0,"Liquor","-"))</f>
        <v>Liquor</v>
      </c>
      <c r="R294" s="26">
        <f>IF($G294&lt;&gt;0,$G294,IF($H294&lt;&gt;0,$H294/0.75,0))</f>
        <v>53.919999999999995</v>
      </c>
      <c r="S294" s="32" t="b">
        <f>ISNUMBER(R294)</f>
        <v>1</v>
      </c>
      <c r="T294" s="32"/>
    </row>
    <row r="295" spans="1:20" x14ac:dyDescent="0.3">
      <c r="A295" s="9">
        <v>294</v>
      </c>
      <c r="B295" s="10">
        <v>44762.706666666665</v>
      </c>
      <c r="C295" s="11" t="s">
        <v>305</v>
      </c>
      <c r="D295" s="11" t="str">
        <f>IF(ISNUMBER(SEARCH("OSBC", C295)), "GOVT", "RETAIL")</f>
        <v>RETAIL</v>
      </c>
      <c r="E295" s="12">
        <v>165755.49</v>
      </c>
      <c r="F295" s="12">
        <v>0</v>
      </c>
      <c r="G295" s="11">
        <v>736.2</v>
      </c>
      <c r="H295" s="11">
        <v>0</v>
      </c>
      <c r="I295" s="12">
        <v>121349.39</v>
      </c>
      <c r="J295" s="12">
        <v>42472.29</v>
      </c>
      <c r="K295" s="12">
        <v>1638</v>
      </c>
      <c r="L295" s="12">
        <v>165459.68</v>
      </c>
      <c r="M295" s="13">
        <v>295.81</v>
      </c>
      <c r="N295">
        <f>YEAR(B295)</f>
        <v>2022</v>
      </c>
      <c r="O295" s="24">
        <f>IFERROR(J295/$I295,0)</f>
        <v>0.350000028842337</v>
      </c>
      <c r="P295" s="24">
        <f>IFERROR(K295/$I295,0)</f>
        <v>1.3498213711663487E-2</v>
      </c>
      <c r="Q295" s="24" t="str">
        <f>IF($G295&lt;&gt;0,"Beer",IF($H295&lt;&gt;0,"Liquor","-"))</f>
        <v>Beer</v>
      </c>
      <c r="R295" s="26">
        <f>IF($G295&lt;&gt;0,$G295,IF($H295&lt;&gt;0,$H295/0.75,0))</f>
        <v>736.2</v>
      </c>
      <c r="S295" s="32" t="b">
        <f>ISNUMBER(R295)</f>
        <v>1</v>
      </c>
      <c r="T295" s="32"/>
    </row>
    <row r="296" spans="1:20" x14ac:dyDescent="0.3">
      <c r="A296" s="9">
        <v>295</v>
      </c>
      <c r="B296" s="10">
        <v>44771.456863425927</v>
      </c>
      <c r="C296" s="11" t="s">
        <v>306</v>
      </c>
      <c r="D296" s="11" t="str">
        <f>IF(ISNUMBER(SEARCH("OSBC", C296)), "GOVT", "RETAIL")</f>
        <v>GOVT</v>
      </c>
      <c r="E296" s="12">
        <v>295.81</v>
      </c>
      <c r="F296" s="12">
        <v>320000</v>
      </c>
      <c r="G296" s="11">
        <v>0</v>
      </c>
      <c r="H296" s="11">
        <v>0</v>
      </c>
      <c r="I296" s="12">
        <v>0</v>
      </c>
      <c r="J296" s="12">
        <v>0</v>
      </c>
      <c r="K296" s="12">
        <v>0</v>
      </c>
      <c r="L296" s="12">
        <v>0</v>
      </c>
      <c r="M296" s="13">
        <v>320295.81</v>
      </c>
      <c r="N296">
        <f>YEAR(B296)</f>
        <v>2022</v>
      </c>
      <c r="O296" s="24">
        <f>IFERROR(J296/$I296,0)</f>
        <v>0</v>
      </c>
      <c r="P296" s="24">
        <f>IFERROR(K296/$I296,0)</f>
        <v>0</v>
      </c>
      <c r="Q296" s="24" t="str">
        <f>IF($G296&lt;&gt;0,"Beer",IF($H296&lt;&gt;0,"Liquor","-"))</f>
        <v>-</v>
      </c>
      <c r="R296" s="26">
        <f>IF($G296&lt;&gt;0,$G296,IF($H296&lt;&gt;0,$H296/0.75,0))</f>
        <v>0</v>
      </c>
      <c r="S296" s="32" t="b">
        <f>ISNUMBER(R296)</f>
        <v>1</v>
      </c>
      <c r="T296" s="32"/>
    </row>
    <row r="297" spans="1:20" x14ac:dyDescent="0.3">
      <c r="A297" s="9">
        <v>296</v>
      </c>
      <c r="B297" s="10">
        <v>44771.664525462962</v>
      </c>
      <c r="C297" s="11" t="s">
        <v>307</v>
      </c>
      <c r="D297" s="11" t="str">
        <f>IF(ISNUMBER(SEARCH("OSBC", C297)), "GOVT", "RETAIL")</f>
        <v>RETAIL</v>
      </c>
      <c r="E297" s="12">
        <v>320295.81</v>
      </c>
      <c r="F297" s="12">
        <v>0</v>
      </c>
      <c r="G297" s="11">
        <v>0</v>
      </c>
      <c r="H297" s="11">
        <v>257.18</v>
      </c>
      <c r="I297" s="12">
        <v>234821.48</v>
      </c>
      <c r="J297" s="12">
        <v>82187.520000000004</v>
      </c>
      <c r="K297" s="12">
        <v>3170</v>
      </c>
      <c r="L297" s="12">
        <v>320179</v>
      </c>
      <c r="M297" s="13">
        <v>116.81</v>
      </c>
      <c r="N297">
        <f>YEAR(B297)</f>
        <v>2022</v>
      </c>
      <c r="O297" s="24">
        <f>IFERROR(J297/$I297,0)</f>
        <v>0.35000000851710839</v>
      </c>
      <c r="P297" s="24">
        <f>IFERROR(K297/$I297,0)</f>
        <v>1.3499616815293047E-2</v>
      </c>
      <c r="Q297" s="24" t="str">
        <f>IF($G297&lt;&gt;0,"Beer",IF($H297&lt;&gt;0,"Liquor","-"))</f>
        <v>Liquor</v>
      </c>
      <c r="R297" s="26">
        <f>IF($G297&lt;&gt;0,$G297,IF($H297&lt;&gt;0,$H297/0.75,0))</f>
        <v>342.90666666666669</v>
      </c>
      <c r="S297" s="32" t="b">
        <f>ISNUMBER(R297)</f>
        <v>1</v>
      </c>
      <c r="T297" s="32"/>
    </row>
    <row r="298" spans="1:20" x14ac:dyDescent="0.3">
      <c r="A298" s="9">
        <v>297</v>
      </c>
      <c r="B298" s="10">
        <v>44774.462141203701</v>
      </c>
      <c r="C298" s="11" t="s">
        <v>308</v>
      </c>
      <c r="D298" s="11" t="str">
        <f>IF(ISNUMBER(SEARCH("OSBC", C298)), "GOVT", "RETAIL")</f>
        <v>GOVT</v>
      </c>
      <c r="E298" s="12">
        <v>116.81</v>
      </c>
      <c r="F298" s="12">
        <v>130000</v>
      </c>
      <c r="G298" s="11">
        <v>0</v>
      </c>
      <c r="H298" s="11">
        <v>0</v>
      </c>
      <c r="I298" s="12">
        <v>0</v>
      </c>
      <c r="J298" s="12">
        <v>0</v>
      </c>
      <c r="K298" s="12">
        <v>0</v>
      </c>
      <c r="L298" s="12">
        <v>0</v>
      </c>
      <c r="M298" s="13">
        <v>130116.81</v>
      </c>
      <c r="N298">
        <f>YEAR(B298)</f>
        <v>2022</v>
      </c>
      <c r="O298" s="24">
        <f>IFERROR(J298/$I298,0)</f>
        <v>0</v>
      </c>
      <c r="P298" s="24">
        <f>IFERROR(K298/$I298,0)</f>
        <v>0</v>
      </c>
      <c r="Q298" s="24" t="str">
        <f>IF($G298&lt;&gt;0,"Beer",IF($H298&lt;&gt;0,"Liquor","-"))</f>
        <v>-</v>
      </c>
      <c r="R298" s="26">
        <f>IF($G298&lt;&gt;0,$G298,IF($H298&lt;&gt;0,$H298/0.75,0))</f>
        <v>0</v>
      </c>
      <c r="S298" s="32" t="b">
        <f>ISNUMBER(R298)</f>
        <v>1</v>
      </c>
      <c r="T298" s="32"/>
    </row>
    <row r="299" spans="1:20" x14ac:dyDescent="0.3">
      <c r="A299" s="9">
        <v>298</v>
      </c>
      <c r="B299" s="10">
        <v>44774.664548611108</v>
      </c>
      <c r="C299" s="11" t="s">
        <v>309</v>
      </c>
      <c r="D299" s="11" t="str">
        <f>IF(ISNUMBER(SEARCH("OSBC", C299)), "GOVT", "RETAIL")</f>
        <v>RETAIL</v>
      </c>
      <c r="E299" s="12">
        <v>130116.81</v>
      </c>
      <c r="F299" s="12">
        <v>0</v>
      </c>
      <c r="G299" s="11">
        <v>560.16</v>
      </c>
      <c r="H299" s="11">
        <v>0</v>
      </c>
      <c r="I299" s="12">
        <v>94682.58</v>
      </c>
      <c r="J299" s="12">
        <v>33138.9</v>
      </c>
      <c r="K299" s="12">
        <v>1278</v>
      </c>
      <c r="L299" s="12">
        <v>129099.48</v>
      </c>
      <c r="M299" s="13">
        <v>1017.33</v>
      </c>
      <c r="N299">
        <f>YEAR(B299)</f>
        <v>2022</v>
      </c>
      <c r="O299" s="24">
        <f>IFERROR(J299/$I299,0)</f>
        <v>0.34999996831518532</v>
      </c>
      <c r="P299" s="24">
        <f>IFERROR(K299/$I299,0)</f>
        <v>1.3497731050421312E-2</v>
      </c>
      <c r="Q299" s="24" t="str">
        <f>IF($G299&lt;&gt;0,"Beer",IF($H299&lt;&gt;0,"Liquor","-"))</f>
        <v>Beer</v>
      </c>
      <c r="R299" s="26">
        <f>IF($G299&lt;&gt;0,$G299,IF($H299&lt;&gt;0,$H299/0.75,0))</f>
        <v>560.16</v>
      </c>
      <c r="S299" s="32" t="b">
        <f>ISNUMBER(R299)</f>
        <v>1</v>
      </c>
      <c r="T299" s="32"/>
    </row>
    <row r="300" spans="1:20" x14ac:dyDescent="0.3">
      <c r="A300" s="9">
        <v>299</v>
      </c>
      <c r="B300" s="10">
        <v>44782.491979166669</v>
      </c>
      <c r="C300" s="11" t="s">
        <v>310</v>
      </c>
      <c r="D300" s="11" t="str">
        <f>IF(ISNUMBER(SEARCH("OSBC", C300)), "GOVT", "RETAIL")</f>
        <v>GOVT</v>
      </c>
      <c r="E300" s="12">
        <v>1017.33</v>
      </c>
      <c r="F300" s="12">
        <v>280000</v>
      </c>
      <c r="G300" s="11">
        <v>0</v>
      </c>
      <c r="H300" s="11">
        <v>0</v>
      </c>
      <c r="I300" s="12">
        <v>0</v>
      </c>
      <c r="J300" s="12">
        <v>0</v>
      </c>
      <c r="K300" s="12">
        <v>0</v>
      </c>
      <c r="L300" s="12">
        <v>0</v>
      </c>
      <c r="M300" s="13">
        <v>281017.33</v>
      </c>
      <c r="N300">
        <f>YEAR(B300)</f>
        <v>2022</v>
      </c>
      <c r="O300" s="24">
        <f>IFERROR(J300/$I300,0)</f>
        <v>0</v>
      </c>
      <c r="P300" s="24">
        <f>IFERROR(K300/$I300,0)</f>
        <v>0</v>
      </c>
      <c r="Q300" s="24" t="str">
        <f>IF($G300&lt;&gt;0,"Beer",IF($H300&lt;&gt;0,"Liquor","-"))</f>
        <v>-</v>
      </c>
      <c r="R300" s="26">
        <f>IF($G300&lt;&gt;0,$G300,IF($H300&lt;&gt;0,$H300/0.75,0))</f>
        <v>0</v>
      </c>
      <c r="S300" s="32" t="b">
        <f>ISNUMBER(R300)</f>
        <v>1</v>
      </c>
      <c r="T300" s="32"/>
    </row>
    <row r="301" spans="1:20" x14ac:dyDescent="0.3">
      <c r="A301" s="9">
        <v>300</v>
      </c>
      <c r="B301" s="10">
        <v>44782.539618055554</v>
      </c>
      <c r="C301" s="11" t="s">
        <v>311</v>
      </c>
      <c r="D301" s="11" t="str">
        <f>IF(ISNUMBER(SEARCH("OSBC", C301)), "GOVT", "RETAIL")</f>
        <v>RETAIL</v>
      </c>
      <c r="E301" s="12">
        <v>281017.33</v>
      </c>
      <c r="F301" s="12">
        <v>0</v>
      </c>
      <c r="G301" s="11">
        <v>293.39999999999998</v>
      </c>
      <c r="H301" s="11">
        <v>0</v>
      </c>
      <c r="I301" s="12">
        <v>49444.52</v>
      </c>
      <c r="J301" s="12">
        <v>17305.580000000002</v>
      </c>
      <c r="K301" s="12">
        <v>668</v>
      </c>
      <c r="L301" s="12">
        <v>67418.100000000006</v>
      </c>
      <c r="M301" s="13">
        <v>213599.23</v>
      </c>
      <c r="N301">
        <f>YEAR(B301)</f>
        <v>2022</v>
      </c>
      <c r="O301" s="24">
        <f>IFERROR(J301/$I301,0)</f>
        <v>0.34999995955062368</v>
      </c>
      <c r="P301" s="24">
        <f>IFERROR(K301/$I301,0)</f>
        <v>1.3510091714916033E-2</v>
      </c>
      <c r="Q301" s="24" t="str">
        <f>IF($G301&lt;&gt;0,"Beer",IF($H301&lt;&gt;0,"Liquor","-"))</f>
        <v>Beer</v>
      </c>
      <c r="R301" s="26">
        <f>IF($G301&lt;&gt;0,$G301,IF($H301&lt;&gt;0,$H301/0.75,0))</f>
        <v>293.39999999999998</v>
      </c>
      <c r="S301" s="32" t="b">
        <f>ISNUMBER(R301)</f>
        <v>1</v>
      </c>
      <c r="T301" s="32"/>
    </row>
    <row r="302" spans="1:20" x14ac:dyDescent="0.3">
      <c r="A302" s="9">
        <v>301</v>
      </c>
      <c r="B302" s="10">
        <v>44782.54</v>
      </c>
      <c r="C302" s="11" t="s">
        <v>312</v>
      </c>
      <c r="D302" s="11" t="str">
        <f>IF(ISNUMBER(SEARCH("OSBC", C302)), "GOVT", "RETAIL")</f>
        <v>RETAIL</v>
      </c>
      <c r="E302" s="12">
        <v>213599.23</v>
      </c>
      <c r="F302" s="12">
        <v>0</v>
      </c>
      <c r="G302" s="11">
        <v>0</v>
      </c>
      <c r="H302" s="11">
        <v>123.93</v>
      </c>
      <c r="I302" s="12">
        <v>101349.23</v>
      </c>
      <c r="J302" s="12">
        <v>35472.230000000003</v>
      </c>
      <c r="K302" s="12">
        <v>1368</v>
      </c>
      <c r="L302" s="12">
        <v>138189.46</v>
      </c>
      <c r="M302" s="13">
        <v>75409.77</v>
      </c>
      <c r="N302">
        <f>YEAR(B302)</f>
        <v>2022</v>
      </c>
      <c r="O302" s="24">
        <f>IFERROR(J302/$I302,0)</f>
        <v>0.34999999506656343</v>
      </c>
      <c r="P302" s="24">
        <f>IFERROR(K302/$I302,0)</f>
        <v>1.3497882519679726E-2</v>
      </c>
      <c r="Q302" s="24" t="str">
        <f>IF($G302&lt;&gt;0,"Beer",IF($H302&lt;&gt;0,"Liquor","-"))</f>
        <v>Liquor</v>
      </c>
      <c r="R302" s="26">
        <f>IF($G302&lt;&gt;0,$G302,IF($H302&lt;&gt;0,$H302/0.75,0))</f>
        <v>165.24</v>
      </c>
      <c r="S302" s="32" t="b">
        <f>ISNUMBER(R302)</f>
        <v>1</v>
      </c>
      <c r="T302" s="32"/>
    </row>
    <row r="303" spans="1:20" x14ac:dyDescent="0.3">
      <c r="A303" s="9">
        <v>302</v>
      </c>
      <c r="B303" s="10">
        <v>44785.46979166667</v>
      </c>
      <c r="C303" s="11" t="s">
        <v>313</v>
      </c>
      <c r="D303" s="11" t="str">
        <f>IF(ISNUMBER(SEARCH("OSBC", C303)), "GOVT", "RETAIL")</f>
        <v>GOVT</v>
      </c>
      <c r="E303" s="12">
        <v>75409.77</v>
      </c>
      <c r="F303" s="12">
        <v>145000</v>
      </c>
      <c r="G303" s="11">
        <v>0</v>
      </c>
      <c r="H303" s="11">
        <v>0</v>
      </c>
      <c r="I303" s="12">
        <v>0</v>
      </c>
      <c r="J303" s="12">
        <v>0</v>
      </c>
      <c r="K303" s="12">
        <v>0</v>
      </c>
      <c r="L303" s="12">
        <v>0</v>
      </c>
      <c r="M303" s="13">
        <v>220409.77</v>
      </c>
      <c r="N303">
        <f>YEAR(B303)</f>
        <v>2022</v>
      </c>
      <c r="O303" s="24">
        <f>IFERROR(J303/$I303,0)</f>
        <v>0</v>
      </c>
      <c r="P303" s="24">
        <f>IFERROR(K303/$I303,0)</f>
        <v>0</v>
      </c>
      <c r="Q303" s="24" t="str">
        <f>IF($G303&lt;&gt;0,"Beer",IF($H303&lt;&gt;0,"Liquor","-"))</f>
        <v>-</v>
      </c>
      <c r="R303" s="26">
        <f>IF($G303&lt;&gt;0,$G303,IF($H303&lt;&gt;0,$H303/0.75,0))</f>
        <v>0</v>
      </c>
      <c r="S303" s="32" t="b">
        <f>ISNUMBER(R303)</f>
        <v>1</v>
      </c>
      <c r="T303" s="32"/>
    </row>
    <row r="304" spans="1:20" x14ac:dyDescent="0.3">
      <c r="A304" s="9">
        <v>303</v>
      </c>
      <c r="B304" s="10">
        <v>44785.656886574077</v>
      </c>
      <c r="C304" s="11" t="s">
        <v>314</v>
      </c>
      <c r="D304" s="11" t="str">
        <f>IF(ISNUMBER(SEARCH("OSBC", C304)), "GOVT", "RETAIL")</f>
        <v>RETAIL</v>
      </c>
      <c r="E304" s="12">
        <v>220409.77</v>
      </c>
      <c r="F304" s="12">
        <v>0</v>
      </c>
      <c r="G304" s="11">
        <v>0</v>
      </c>
      <c r="H304" s="11">
        <v>172.07</v>
      </c>
      <c r="I304" s="12">
        <v>161319.65</v>
      </c>
      <c r="J304" s="12">
        <v>56461.88</v>
      </c>
      <c r="K304" s="12">
        <v>2178</v>
      </c>
      <c r="L304" s="12">
        <v>219959.53</v>
      </c>
      <c r="M304" s="13">
        <v>450.24</v>
      </c>
      <c r="N304">
        <f>YEAR(B304)</f>
        <v>2022</v>
      </c>
      <c r="O304" s="24">
        <f>IFERROR(J304/$I304,0)</f>
        <v>0.35000001549718213</v>
      </c>
      <c r="P304" s="24">
        <f>IFERROR(K304/$I304,0)</f>
        <v>1.350114508678887E-2</v>
      </c>
      <c r="Q304" s="24" t="str">
        <f>IF($G304&lt;&gt;0,"Beer",IF($H304&lt;&gt;0,"Liquor","-"))</f>
        <v>Liquor</v>
      </c>
      <c r="R304" s="26">
        <f>IF($G304&lt;&gt;0,$G304,IF($H304&lt;&gt;0,$H304/0.75,0))</f>
        <v>229.42666666666665</v>
      </c>
      <c r="S304" s="32" t="b">
        <f>ISNUMBER(R304)</f>
        <v>1</v>
      </c>
      <c r="T304" s="32"/>
    </row>
    <row r="305" spans="1:20" x14ac:dyDescent="0.3">
      <c r="A305" s="9">
        <v>304</v>
      </c>
      <c r="B305" s="10">
        <v>44795.482870370368</v>
      </c>
      <c r="C305" s="11" t="s">
        <v>315</v>
      </c>
      <c r="D305" s="11" t="str">
        <f>IF(ISNUMBER(SEARCH("OSBC", C305)), "GOVT", "RETAIL")</f>
        <v>GOVT</v>
      </c>
      <c r="E305" s="12">
        <v>450.24</v>
      </c>
      <c r="F305" s="12">
        <v>499900</v>
      </c>
      <c r="G305" s="11">
        <v>0</v>
      </c>
      <c r="H305" s="11">
        <v>0</v>
      </c>
      <c r="I305" s="12">
        <v>0</v>
      </c>
      <c r="J305" s="12">
        <v>0</v>
      </c>
      <c r="K305" s="12">
        <v>0</v>
      </c>
      <c r="L305" s="12">
        <v>0</v>
      </c>
      <c r="M305" s="13">
        <v>500350.24</v>
      </c>
      <c r="N305">
        <f>YEAR(B305)</f>
        <v>2022</v>
      </c>
      <c r="O305" s="24">
        <f>IFERROR(J305/$I305,0)</f>
        <v>0</v>
      </c>
      <c r="P305" s="24">
        <f>IFERROR(K305/$I305,0)</f>
        <v>0</v>
      </c>
      <c r="Q305" s="24" t="str">
        <f>IF($G305&lt;&gt;0,"Beer",IF($H305&lt;&gt;0,"Liquor","-"))</f>
        <v>-</v>
      </c>
      <c r="R305" s="26">
        <f>IF($G305&lt;&gt;0,$G305,IF($H305&lt;&gt;0,$H305/0.75,0))</f>
        <v>0</v>
      </c>
      <c r="S305" s="32" t="b">
        <f>ISNUMBER(R305)</f>
        <v>1</v>
      </c>
      <c r="T305" s="32"/>
    </row>
    <row r="306" spans="1:20" x14ac:dyDescent="0.3">
      <c r="A306" s="9">
        <v>305</v>
      </c>
      <c r="B306" s="10">
        <v>44795.68986111111</v>
      </c>
      <c r="C306" s="11" t="s">
        <v>316</v>
      </c>
      <c r="D306" s="11" t="str">
        <f>IF(ISNUMBER(SEARCH("OSBC", C306)), "GOVT", "RETAIL")</f>
        <v>RETAIL</v>
      </c>
      <c r="E306" s="12">
        <v>500350.24</v>
      </c>
      <c r="F306" s="12">
        <v>0</v>
      </c>
      <c r="G306" s="11">
        <v>837.36</v>
      </c>
      <c r="H306" s="11">
        <v>0</v>
      </c>
      <c r="I306" s="12">
        <v>140714.45000000001</v>
      </c>
      <c r="J306" s="12">
        <v>49250.06</v>
      </c>
      <c r="K306" s="12">
        <v>1900</v>
      </c>
      <c r="L306" s="12">
        <v>191864.51</v>
      </c>
      <c r="M306" s="13">
        <v>308485.73</v>
      </c>
      <c r="N306">
        <f>YEAR(B306)</f>
        <v>2022</v>
      </c>
      <c r="O306" s="24">
        <f>IFERROR(J306/$I306,0)</f>
        <v>0.35000001776647666</v>
      </c>
      <c r="P306" s="24">
        <f>IFERROR(K306/$I306,0)</f>
        <v>1.3502522306699844E-2</v>
      </c>
      <c r="Q306" s="24" t="str">
        <f>IF($G306&lt;&gt;0,"Beer",IF($H306&lt;&gt;0,"Liquor","-"))</f>
        <v>Beer</v>
      </c>
      <c r="R306" s="26">
        <f>IF($G306&lt;&gt;0,$G306,IF($H306&lt;&gt;0,$H306/0.75,0))</f>
        <v>837.36</v>
      </c>
      <c r="S306" s="32" t="b">
        <f>ISNUMBER(R306)</f>
        <v>1</v>
      </c>
      <c r="T306" s="32"/>
    </row>
    <row r="307" spans="1:20" x14ac:dyDescent="0.3">
      <c r="A307" s="9">
        <v>306</v>
      </c>
      <c r="B307" s="10">
        <v>44795.691562499997</v>
      </c>
      <c r="C307" s="11" t="s">
        <v>317</v>
      </c>
      <c r="D307" s="11" t="str">
        <f>IF(ISNUMBER(SEARCH("OSBC", C307)), "GOVT", "RETAIL")</f>
        <v>RETAIL</v>
      </c>
      <c r="E307" s="12">
        <v>308485.73</v>
      </c>
      <c r="F307" s="12">
        <v>0</v>
      </c>
      <c r="G307" s="11">
        <v>0</v>
      </c>
      <c r="H307" s="11">
        <v>243.07</v>
      </c>
      <c r="I307" s="12">
        <v>225654.72</v>
      </c>
      <c r="J307" s="12">
        <v>78979.149999999994</v>
      </c>
      <c r="K307" s="12">
        <v>3046</v>
      </c>
      <c r="L307" s="12">
        <v>307679.87</v>
      </c>
      <c r="M307" s="13">
        <v>805.86</v>
      </c>
      <c r="N307">
        <f>YEAR(B307)</f>
        <v>2022</v>
      </c>
      <c r="O307" s="24">
        <f>IFERROR(J307/$I307,0)</f>
        <v>0.3499999911369015</v>
      </c>
      <c r="P307" s="24">
        <f>IFERROR(K307/$I307,0)</f>
        <v>1.3498498945645808E-2</v>
      </c>
      <c r="Q307" s="24" t="str">
        <f>IF($G307&lt;&gt;0,"Beer",IF($H307&lt;&gt;0,"Liquor","-"))</f>
        <v>Liquor</v>
      </c>
      <c r="R307" s="26">
        <f>IF($G307&lt;&gt;0,$G307,IF($H307&lt;&gt;0,$H307/0.75,0))</f>
        <v>324.09333333333331</v>
      </c>
      <c r="S307" s="32" t="b">
        <f>ISNUMBER(R307)</f>
        <v>1</v>
      </c>
      <c r="T307" s="32"/>
    </row>
    <row r="308" spans="1:20" x14ac:dyDescent="0.3">
      <c r="A308" s="9">
        <v>307</v>
      </c>
      <c r="B308" s="10">
        <v>44806.287175925929</v>
      </c>
      <c r="C308" s="11" t="s">
        <v>318</v>
      </c>
      <c r="D308" s="11" t="str">
        <f>IF(ISNUMBER(SEARCH("OSBC", C308)), "GOVT", "RETAIL")</f>
        <v>GOVT</v>
      </c>
      <c r="E308" s="12">
        <v>805.86</v>
      </c>
      <c r="F308" s="12">
        <v>300000</v>
      </c>
      <c r="G308" s="11">
        <v>0</v>
      </c>
      <c r="H308" s="11">
        <v>0</v>
      </c>
      <c r="I308" s="12">
        <v>0</v>
      </c>
      <c r="J308" s="12">
        <v>0</v>
      </c>
      <c r="K308" s="12">
        <v>0</v>
      </c>
      <c r="L308" s="12">
        <v>0</v>
      </c>
      <c r="M308" s="13">
        <v>300805.86</v>
      </c>
      <c r="N308">
        <f>YEAR(B308)</f>
        <v>2022</v>
      </c>
      <c r="O308" s="24">
        <f>IFERROR(J308/$I308,0)</f>
        <v>0</v>
      </c>
      <c r="P308" s="24">
        <f>IFERROR(K308/$I308,0)</f>
        <v>0</v>
      </c>
      <c r="Q308" s="24" t="str">
        <f>IF($G308&lt;&gt;0,"Beer",IF($H308&lt;&gt;0,"Liquor","-"))</f>
        <v>-</v>
      </c>
      <c r="R308" s="26">
        <f>IF($G308&lt;&gt;0,$G308,IF($H308&lt;&gt;0,$H308/0.75,0))</f>
        <v>0</v>
      </c>
      <c r="S308" s="32" t="b">
        <f>ISNUMBER(R308)</f>
        <v>1</v>
      </c>
      <c r="T308" s="32"/>
    </row>
    <row r="309" spans="1:20" x14ac:dyDescent="0.3">
      <c r="A309" s="9">
        <v>308</v>
      </c>
      <c r="B309" s="10">
        <v>44806.462199074071</v>
      </c>
      <c r="C309" s="11" t="s">
        <v>319</v>
      </c>
      <c r="D309" s="11" t="str">
        <f>IF(ISNUMBER(SEARCH("OSBC", C309)), "GOVT", "RETAIL")</f>
        <v>GOVT</v>
      </c>
      <c r="E309" s="12">
        <v>300805.86</v>
      </c>
      <c r="F309" s="12">
        <v>199500</v>
      </c>
      <c r="G309" s="11">
        <v>0</v>
      </c>
      <c r="H309" s="11">
        <v>0</v>
      </c>
      <c r="I309" s="12">
        <v>0</v>
      </c>
      <c r="J309" s="12">
        <v>0</v>
      </c>
      <c r="K309" s="12">
        <v>0</v>
      </c>
      <c r="L309" s="12">
        <v>0</v>
      </c>
      <c r="M309" s="13">
        <v>500305.86</v>
      </c>
      <c r="N309">
        <f>YEAR(B309)</f>
        <v>2022</v>
      </c>
      <c r="O309" s="24">
        <f>IFERROR(J309/$I309,0)</f>
        <v>0</v>
      </c>
      <c r="P309" s="24">
        <f>IFERROR(K309/$I309,0)</f>
        <v>0</v>
      </c>
      <c r="Q309" s="24" t="str">
        <f>IF($G309&lt;&gt;0,"Beer",IF($H309&lt;&gt;0,"Liquor","-"))</f>
        <v>-</v>
      </c>
      <c r="R309" s="26">
        <f>IF($G309&lt;&gt;0,$G309,IF($H309&lt;&gt;0,$H309/0.75,0))</f>
        <v>0</v>
      </c>
      <c r="S309" s="32" t="b">
        <f>ISNUMBER(R309)</f>
        <v>1</v>
      </c>
      <c r="T309" s="32"/>
    </row>
    <row r="310" spans="1:20" x14ac:dyDescent="0.3">
      <c r="A310" s="9">
        <v>309</v>
      </c>
      <c r="B310" s="10">
        <v>44806.676412037035</v>
      </c>
      <c r="C310" s="11" t="s">
        <v>320</v>
      </c>
      <c r="D310" s="11" t="str">
        <f>IF(ISNUMBER(SEARCH("OSBC", C310)), "GOVT", "RETAIL")</f>
        <v>RETAIL</v>
      </c>
      <c r="E310" s="12">
        <v>500305.86</v>
      </c>
      <c r="F310" s="12">
        <v>0</v>
      </c>
      <c r="G310" s="11">
        <v>582.6</v>
      </c>
      <c r="H310" s="11">
        <v>0</v>
      </c>
      <c r="I310" s="12">
        <v>98571.56</v>
      </c>
      <c r="J310" s="12">
        <v>34500.050000000003</v>
      </c>
      <c r="K310" s="12">
        <v>1331</v>
      </c>
      <c r="L310" s="12">
        <v>134402.60999999999</v>
      </c>
      <c r="M310" s="13">
        <v>365903.25</v>
      </c>
      <c r="N310">
        <f>YEAR(B310)</f>
        <v>2022</v>
      </c>
      <c r="O310" s="24">
        <f>IFERROR(J310/$I310,0)</f>
        <v>0.35000004057965606</v>
      </c>
      <c r="P310" s="24">
        <f>IFERROR(K310/$I310,0)</f>
        <v>1.3502880546883908E-2</v>
      </c>
      <c r="Q310" s="24" t="str">
        <f>IF($G310&lt;&gt;0,"Beer",IF($H310&lt;&gt;0,"Liquor","-"))</f>
        <v>Beer</v>
      </c>
      <c r="R310" s="26">
        <f>IF($G310&lt;&gt;0,$G310,IF($H310&lt;&gt;0,$H310/0.75,0))</f>
        <v>582.6</v>
      </c>
      <c r="S310" s="32" t="b">
        <f>ISNUMBER(R310)</f>
        <v>1</v>
      </c>
      <c r="T310" s="32"/>
    </row>
    <row r="311" spans="1:20" x14ac:dyDescent="0.3">
      <c r="A311" s="9">
        <v>310</v>
      </c>
      <c r="B311" s="10">
        <v>44806.678159722222</v>
      </c>
      <c r="C311" s="11" t="s">
        <v>321</v>
      </c>
      <c r="D311" s="11" t="str">
        <f>IF(ISNUMBER(SEARCH("OSBC", C311)), "GOVT", "RETAIL")</f>
        <v>RETAIL</v>
      </c>
      <c r="E311" s="12">
        <v>365903.25</v>
      </c>
      <c r="F311" s="12">
        <v>0</v>
      </c>
      <c r="G311" s="11">
        <v>0</v>
      </c>
      <c r="H311" s="11">
        <v>287.97000000000003</v>
      </c>
      <c r="I311" s="12">
        <v>268260.88</v>
      </c>
      <c r="J311" s="12">
        <v>93891.31</v>
      </c>
      <c r="K311" s="12">
        <v>3622</v>
      </c>
      <c r="L311" s="12">
        <v>365774.19</v>
      </c>
      <c r="M311" s="13">
        <v>129.06</v>
      </c>
      <c r="N311">
        <f>YEAR(B311)</f>
        <v>2022</v>
      </c>
      <c r="O311" s="24">
        <f>IFERROR(J311/$I311,0)</f>
        <v>0.3500000074554292</v>
      </c>
      <c r="P311" s="24">
        <f>IFERROR(K311/$I311,0)</f>
        <v>1.3501782294906362E-2</v>
      </c>
      <c r="Q311" s="24" t="str">
        <f>IF($G311&lt;&gt;0,"Beer",IF($H311&lt;&gt;0,"Liquor","-"))</f>
        <v>Liquor</v>
      </c>
      <c r="R311" s="26">
        <f>IF($G311&lt;&gt;0,$G311,IF($H311&lt;&gt;0,$H311/0.75,0))</f>
        <v>383.96000000000004</v>
      </c>
      <c r="S311" s="32" t="b">
        <f>ISNUMBER(R311)</f>
        <v>1</v>
      </c>
      <c r="T311" s="32"/>
    </row>
    <row r="312" spans="1:20" x14ac:dyDescent="0.3">
      <c r="A312" s="9">
        <v>311</v>
      </c>
      <c r="B312" s="10">
        <v>44816.484699074077</v>
      </c>
      <c r="C312" s="11" t="s">
        <v>322</v>
      </c>
      <c r="D312" s="11" t="str">
        <f>IF(ISNUMBER(SEARCH("OSBC", C312)), "GOVT", "RETAIL")</f>
        <v>GOVT</v>
      </c>
      <c r="E312" s="12">
        <v>129.06</v>
      </c>
      <c r="F312" s="12">
        <v>100000</v>
      </c>
      <c r="G312" s="11">
        <v>0</v>
      </c>
      <c r="H312" s="11">
        <v>0</v>
      </c>
      <c r="I312" s="12">
        <v>0</v>
      </c>
      <c r="J312" s="12">
        <v>0</v>
      </c>
      <c r="K312" s="12">
        <v>0</v>
      </c>
      <c r="L312" s="12">
        <v>0</v>
      </c>
      <c r="M312" s="13">
        <v>100129.06</v>
      </c>
      <c r="N312">
        <f>YEAR(B312)</f>
        <v>2022</v>
      </c>
      <c r="O312" s="24">
        <f>IFERROR(J312/$I312,0)</f>
        <v>0</v>
      </c>
      <c r="P312" s="24">
        <f>IFERROR(K312/$I312,0)</f>
        <v>0</v>
      </c>
      <c r="Q312" s="24" t="str">
        <f>IF($G312&lt;&gt;0,"Beer",IF($H312&lt;&gt;0,"Liquor","-"))</f>
        <v>-</v>
      </c>
      <c r="R312" s="26">
        <f>IF($G312&lt;&gt;0,$G312,IF($H312&lt;&gt;0,$H312/0.75,0))</f>
        <v>0</v>
      </c>
      <c r="S312" s="32" t="b">
        <f>ISNUMBER(R312)</f>
        <v>1</v>
      </c>
      <c r="T312" s="32"/>
    </row>
    <row r="313" spans="1:20" x14ac:dyDescent="0.3">
      <c r="A313" s="9">
        <v>312</v>
      </c>
      <c r="B313" s="10">
        <v>44816.495937500003</v>
      </c>
      <c r="C313" s="11" t="s">
        <v>323</v>
      </c>
      <c r="D313" s="11" t="str">
        <f>IF(ISNUMBER(SEARCH("OSBC", C313)), "GOVT", "RETAIL")</f>
        <v>GOVT</v>
      </c>
      <c r="E313" s="12">
        <v>100129.06</v>
      </c>
      <c r="F313" s="12">
        <v>150000</v>
      </c>
      <c r="G313" s="11">
        <v>0</v>
      </c>
      <c r="H313" s="11">
        <v>0</v>
      </c>
      <c r="I313" s="12">
        <v>0</v>
      </c>
      <c r="J313" s="12">
        <v>0</v>
      </c>
      <c r="K313" s="12">
        <v>0</v>
      </c>
      <c r="L313" s="12">
        <v>0</v>
      </c>
      <c r="M313" s="13">
        <v>250129.06</v>
      </c>
      <c r="N313">
        <f>YEAR(B313)</f>
        <v>2022</v>
      </c>
      <c r="O313" s="24">
        <f>IFERROR(J313/$I313,0)</f>
        <v>0</v>
      </c>
      <c r="P313" s="24">
        <f>IFERROR(K313/$I313,0)</f>
        <v>0</v>
      </c>
      <c r="Q313" s="24" t="str">
        <f>IF($G313&lt;&gt;0,"Beer",IF($H313&lt;&gt;0,"Liquor","-"))</f>
        <v>-</v>
      </c>
      <c r="R313" s="26">
        <f>IF($G313&lt;&gt;0,$G313,IF($H313&lt;&gt;0,$H313/0.75,0))</f>
        <v>0</v>
      </c>
      <c r="S313" s="32" t="b">
        <f>ISNUMBER(R313)</f>
        <v>1</v>
      </c>
      <c r="T313" s="32"/>
    </row>
    <row r="314" spans="1:20" x14ac:dyDescent="0.3">
      <c r="A314" s="9">
        <v>313</v>
      </c>
      <c r="B314" s="10">
        <v>44816.524050925924</v>
      </c>
      <c r="C314" s="11" t="s">
        <v>324</v>
      </c>
      <c r="D314" s="11" t="str">
        <f>IF(ISNUMBER(SEARCH("OSBC", C314)), "GOVT", "RETAIL")</f>
        <v>RETAIL</v>
      </c>
      <c r="E314" s="12">
        <v>250129.06</v>
      </c>
      <c r="F314" s="12">
        <v>0</v>
      </c>
      <c r="G314" s="11">
        <v>0</v>
      </c>
      <c r="H314" s="11">
        <v>211.68</v>
      </c>
      <c r="I314" s="12">
        <v>178174.62</v>
      </c>
      <c r="J314" s="12">
        <v>62361.120000000003</v>
      </c>
      <c r="K314" s="12">
        <v>2405</v>
      </c>
      <c r="L314" s="12">
        <v>242940.74</v>
      </c>
      <c r="M314" s="13">
        <v>7188.32</v>
      </c>
      <c r="N314">
        <f>YEAR(B314)</f>
        <v>2022</v>
      </c>
      <c r="O314" s="24">
        <f>IFERROR(J314/$I314,0)</f>
        <v>0.35000001683741494</v>
      </c>
      <c r="P314" s="24">
        <f>IFERROR(K314/$I314,0)</f>
        <v>1.3497994271013459E-2</v>
      </c>
      <c r="Q314" s="24" t="str">
        <f>IF($G314&lt;&gt;0,"Beer",IF($H314&lt;&gt;0,"Liquor","-"))</f>
        <v>Liquor</v>
      </c>
      <c r="R314" s="26">
        <f>IF($G314&lt;&gt;0,$G314,IF($H314&lt;&gt;0,$H314/0.75,0))</f>
        <v>282.24</v>
      </c>
      <c r="S314" s="32" t="b">
        <f>ISNUMBER(R314)</f>
        <v>1</v>
      </c>
      <c r="T314" s="32"/>
    </row>
    <row r="315" spans="1:20" x14ac:dyDescent="0.3">
      <c r="A315" s="9">
        <v>314</v>
      </c>
      <c r="B315" s="10">
        <v>44819.475138888891</v>
      </c>
      <c r="C315" s="11" t="s">
        <v>325</v>
      </c>
      <c r="D315" s="11" t="str">
        <f>IF(ISNUMBER(SEARCH("OSBC", C315)), "GOVT", "RETAIL")</f>
        <v>GOVT</v>
      </c>
      <c r="E315" s="12">
        <v>7188.32</v>
      </c>
      <c r="F315" s="12">
        <v>250000</v>
      </c>
      <c r="G315" s="11">
        <v>0</v>
      </c>
      <c r="H315" s="11">
        <v>0</v>
      </c>
      <c r="I315" s="12">
        <v>0</v>
      </c>
      <c r="J315" s="12">
        <v>0</v>
      </c>
      <c r="K315" s="12">
        <v>0</v>
      </c>
      <c r="L315" s="12">
        <v>0</v>
      </c>
      <c r="M315" s="13">
        <v>257188.32</v>
      </c>
      <c r="N315">
        <f>YEAR(B315)</f>
        <v>2022</v>
      </c>
      <c r="O315" s="24">
        <f>IFERROR(J315/$I315,0)</f>
        <v>0</v>
      </c>
      <c r="P315" s="24">
        <f>IFERROR(K315/$I315,0)</f>
        <v>0</v>
      </c>
      <c r="Q315" s="24" t="str">
        <f>IF($G315&lt;&gt;0,"Beer",IF($H315&lt;&gt;0,"Liquor","-"))</f>
        <v>-</v>
      </c>
      <c r="R315" s="26">
        <f>IF($G315&lt;&gt;0,$G315,IF($H315&lt;&gt;0,$H315/0.75,0))</f>
        <v>0</v>
      </c>
      <c r="S315" s="32" t="b">
        <f>ISNUMBER(R315)</f>
        <v>1</v>
      </c>
      <c r="T315" s="32"/>
    </row>
    <row r="316" spans="1:20" x14ac:dyDescent="0.3">
      <c r="A316" s="9">
        <v>315</v>
      </c>
      <c r="B316" s="10">
        <v>44819.552372685182</v>
      </c>
      <c r="C316" s="11" t="s">
        <v>326</v>
      </c>
      <c r="D316" s="11" t="str">
        <f>IF(ISNUMBER(SEARCH("OSBC", C316)), "GOVT", "RETAIL")</f>
        <v>RETAIL</v>
      </c>
      <c r="E316" s="12">
        <v>257188.32</v>
      </c>
      <c r="F316" s="12">
        <v>0</v>
      </c>
      <c r="G316" s="11">
        <v>0</v>
      </c>
      <c r="H316" s="11">
        <v>161.72</v>
      </c>
      <c r="I316" s="12">
        <v>137552.95000000001</v>
      </c>
      <c r="J316" s="12">
        <v>48143.53</v>
      </c>
      <c r="K316" s="12">
        <v>1857</v>
      </c>
      <c r="L316" s="12">
        <v>187553.48</v>
      </c>
      <c r="M316" s="13">
        <v>69634.84</v>
      </c>
      <c r="N316">
        <f>YEAR(B316)</f>
        <v>2022</v>
      </c>
      <c r="O316" s="24">
        <f>IFERROR(J316/$I316,0)</f>
        <v>0.34999998182518072</v>
      </c>
      <c r="P316" s="24">
        <f>IFERROR(K316/$I316,0)</f>
        <v>1.3500255719706483E-2</v>
      </c>
      <c r="Q316" s="24" t="str">
        <f>IF($G316&lt;&gt;0,"Beer",IF($H316&lt;&gt;0,"Liquor","-"))</f>
        <v>Liquor</v>
      </c>
      <c r="R316" s="26">
        <f>IF($G316&lt;&gt;0,$G316,IF($H316&lt;&gt;0,$H316/0.75,0))</f>
        <v>215.62666666666667</v>
      </c>
      <c r="S316" s="32" t="b">
        <f>ISNUMBER(R316)</f>
        <v>1</v>
      </c>
      <c r="T316" s="32"/>
    </row>
    <row r="317" spans="1:20" x14ac:dyDescent="0.3">
      <c r="A317" s="9">
        <v>316</v>
      </c>
      <c r="B317" s="10">
        <v>44819.637337962966</v>
      </c>
      <c r="C317" s="11" t="s">
        <v>327</v>
      </c>
      <c r="D317" s="11" t="str">
        <f>IF(ISNUMBER(SEARCH("OSBC", C317)), "GOVT", "RETAIL")</f>
        <v>RETAIL</v>
      </c>
      <c r="E317" s="12">
        <v>69634.84</v>
      </c>
      <c r="F317" s="12">
        <v>0</v>
      </c>
      <c r="G317" s="11">
        <v>306.24</v>
      </c>
      <c r="H317" s="11">
        <v>0</v>
      </c>
      <c r="I317" s="12">
        <v>51031.8</v>
      </c>
      <c r="J317" s="12">
        <v>17861.13</v>
      </c>
      <c r="K317" s="12">
        <v>689</v>
      </c>
      <c r="L317" s="12">
        <v>69581.929999999993</v>
      </c>
      <c r="M317" s="13">
        <v>52.91</v>
      </c>
      <c r="N317">
        <f>YEAR(B317)</f>
        <v>2022</v>
      </c>
      <c r="O317" s="24">
        <f>IFERROR(J317/$I317,0)</f>
        <v>0.35</v>
      </c>
      <c r="P317" s="24">
        <f>IFERROR(K317/$I317,0)</f>
        <v>1.3501385410665506E-2</v>
      </c>
      <c r="Q317" s="24" t="str">
        <f>IF($G317&lt;&gt;0,"Beer",IF($H317&lt;&gt;0,"Liquor","-"))</f>
        <v>Beer</v>
      </c>
      <c r="R317" s="26">
        <f>IF($G317&lt;&gt;0,$G317,IF($H317&lt;&gt;0,$H317/0.75,0))</f>
        <v>306.24</v>
      </c>
      <c r="S317" s="32" t="b">
        <f>ISNUMBER(R317)</f>
        <v>1</v>
      </c>
      <c r="T317" s="32"/>
    </row>
    <row r="318" spans="1:20" x14ac:dyDescent="0.3">
      <c r="A318" s="9">
        <v>317</v>
      </c>
      <c r="B318" s="10">
        <v>44826.490682870368</v>
      </c>
      <c r="C318" s="11" t="s">
        <v>328</v>
      </c>
      <c r="D318" s="11" t="str">
        <f>IF(ISNUMBER(SEARCH("OSBC", C318)), "GOVT", "RETAIL")</f>
        <v>GOVT</v>
      </c>
      <c r="E318" s="12">
        <v>52.91</v>
      </c>
      <c r="F318" s="12">
        <v>300000</v>
      </c>
      <c r="G318" s="11">
        <v>0</v>
      </c>
      <c r="H318" s="11">
        <v>0</v>
      </c>
      <c r="I318" s="12">
        <v>0</v>
      </c>
      <c r="J318" s="12">
        <v>0</v>
      </c>
      <c r="K318" s="12">
        <v>0</v>
      </c>
      <c r="L318" s="12">
        <v>0</v>
      </c>
      <c r="M318" s="13">
        <v>300052.90999999997</v>
      </c>
      <c r="N318">
        <f>YEAR(B318)</f>
        <v>2022</v>
      </c>
      <c r="O318" s="24">
        <f>IFERROR(J318/$I318,0)</f>
        <v>0</v>
      </c>
      <c r="P318" s="24">
        <f>IFERROR(K318/$I318,0)</f>
        <v>0</v>
      </c>
      <c r="Q318" s="24" t="str">
        <f>IF($G318&lt;&gt;0,"Beer",IF($H318&lt;&gt;0,"Liquor","-"))</f>
        <v>-</v>
      </c>
      <c r="R318" s="26">
        <f>IF($G318&lt;&gt;0,$G318,IF($H318&lt;&gt;0,$H318/0.75,0))</f>
        <v>0</v>
      </c>
      <c r="S318" s="32" t="b">
        <f>ISNUMBER(R318)</f>
        <v>1</v>
      </c>
      <c r="T318" s="32"/>
    </row>
    <row r="319" spans="1:20" x14ac:dyDescent="0.3">
      <c r="A319" s="9">
        <v>318</v>
      </c>
      <c r="B319" s="10">
        <v>44826.66170138889</v>
      </c>
      <c r="C319" s="11" t="s">
        <v>329</v>
      </c>
      <c r="D319" s="11" t="str">
        <f>IF(ISNUMBER(SEARCH("OSBC", C319)), "GOVT", "RETAIL")</f>
        <v>RETAIL</v>
      </c>
      <c r="E319" s="12">
        <v>300052.90999999997</v>
      </c>
      <c r="F319" s="12">
        <v>0</v>
      </c>
      <c r="G319" s="11">
        <v>326.39999999999998</v>
      </c>
      <c r="H319" s="11">
        <v>0</v>
      </c>
      <c r="I319" s="12">
        <v>52539.76</v>
      </c>
      <c r="J319" s="12">
        <v>18388.919999999998</v>
      </c>
      <c r="K319" s="12">
        <v>709</v>
      </c>
      <c r="L319" s="12">
        <v>71637.679999999993</v>
      </c>
      <c r="M319" s="13">
        <v>228415.23</v>
      </c>
      <c r="N319">
        <f>YEAR(B319)</f>
        <v>2022</v>
      </c>
      <c r="O319" s="24">
        <f>IFERROR(J319/$I319,0)</f>
        <v>0.35000007613281825</v>
      </c>
      <c r="P319" s="24">
        <f>IFERROR(K319/$I319,0)</f>
        <v>1.3494542038258263E-2</v>
      </c>
      <c r="Q319" s="24" t="str">
        <f>IF($G319&lt;&gt;0,"Beer",IF($H319&lt;&gt;0,"Liquor","-"))</f>
        <v>Beer</v>
      </c>
      <c r="R319" s="26">
        <f>IF($G319&lt;&gt;0,$G319,IF($H319&lt;&gt;0,$H319/0.75,0))</f>
        <v>326.39999999999998</v>
      </c>
      <c r="S319" s="32" t="b">
        <f>ISNUMBER(R319)</f>
        <v>1</v>
      </c>
      <c r="T319" s="32"/>
    </row>
    <row r="320" spans="1:20" x14ac:dyDescent="0.3">
      <c r="A320" s="9">
        <v>319</v>
      </c>
      <c r="B320" s="10">
        <v>44826.67869212963</v>
      </c>
      <c r="C320" s="11" t="s">
        <v>330</v>
      </c>
      <c r="D320" s="11" t="str">
        <f>IF(ISNUMBER(SEARCH("OSBC", C320)), "GOVT", "RETAIL")</f>
        <v>RETAIL</v>
      </c>
      <c r="E320" s="12">
        <v>228415.23</v>
      </c>
      <c r="F320" s="12">
        <v>0</v>
      </c>
      <c r="G320" s="11">
        <v>0</v>
      </c>
      <c r="H320" s="11">
        <v>188.33</v>
      </c>
      <c r="I320" s="12">
        <v>158759.26999999999</v>
      </c>
      <c r="J320" s="12">
        <v>55565.74</v>
      </c>
      <c r="K320" s="12">
        <v>2143</v>
      </c>
      <c r="L320" s="12">
        <v>216468.01</v>
      </c>
      <c r="M320" s="13">
        <v>11947.22</v>
      </c>
      <c r="N320">
        <f>YEAR(B320)</f>
        <v>2022</v>
      </c>
      <c r="O320" s="24">
        <f>IFERROR(J320/$I320,0)</f>
        <v>0.34999997165519847</v>
      </c>
      <c r="P320" s="24">
        <f>IFERROR(K320/$I320,0)</f>
        <v>1.3498424375471114E-2</v>
      </c>
      <c r="Q320" s="24" t="str">
        <f>IF($G320&lt;&gt;0,"Beer",IF($H320&lt;&gt;0,"Liquor","-"))</f>
        <v>Liquor</v>
      </c>
      <c r="R320" s="26">
        <f>IF($G320&lt;&gt;0,$G320,IF($H320&lt;&gt;0,$H320/0.75,0))</f>
        <v>251.10666666666668</v>
      </c>
      <c r="S320" s="32" t="b">
        <f>ISNUMBER(R320)</f>
        <v>1</v>
      </c>
      <c r="T320" s="32"/>
    </row>
    <row r="321" spans="1:20" x14ac:dyDescent="0.3">
      <c r="A321" s="9">
        <v>320</v>
      </c>
      <c r="B321" s="10">
        <v>44833.412777777776</v>
      </c>
      <c r="C321" s="11" t="s">
        <v>331</v>
      </c>
      <c r="D321" s="11" t="str">
        <f>IF(ISNUMBER(SEARCH("OSBC", C321)), "GOVT", "RETAIL")</f>
        <v>GOVT</v>
      </c>
      <c r="E321" s="12">
        <v>11947.22</v>
      </c>
      <c r="F321" s="12">
        <v>92000</v>
      </c>
      <c r="G321" s="11">
        <v>0</v>
      </c>
      <c r="H321" s="11">
        <v>0</v>
      </c>
      <c r="I321" s="12">
        <v>0</v>
      </c>
      <c r="J321" s="12">
        <v>0</v>
      </c>
      <c r="K321" s="12">
        <v>0</v>
      </c>
      <c r="L321" s="12">
        <v>0</v>
      </c>
      <c r="M321" s="13">
        <v>103947.22</v>
      </c>
      <c r="N321">
        <f>YEAR(B321)</f>
        <v>2022</v>
      </c>
      <c r="O321" s="24">
        <f>IFERROR(J321/$I321,0)</f>
        <v>0</v>
      </c>
      <c r="P321" s="24">
        <f>IFERROR(K321/$I321,0)</f>
        <v>0</v>
      </c>
      <c r="Q321" s="24" t="str">
        <f>IF($G321&lt;&gt;0,"Beer",IF($H321&lt;&gt;0,"Liquor","-"))</f>
        <v>-</v>
      </c>
      <c r="R321" s="26">
        <f>IF($G321&lt;&gt;0,$G321,IF($H321&lt;&gt;0,$H321/0.75,0))</f>
        <v>0</v>
      </c>
      <c r="S321" s="32" t="b">
        <f>ISNUMBER(R321)</f>
        <v>1</v>
      </c>
      <c r="T321" s="32"/>
    </row>
    <row r="322" spans="1:20" x14ac:dyDescent="0.3">
      <c r="A322" s="9">
        <v>321</v>
      </c>
      <c r="B322" s="10">
        <v>44833.49417824074</v>
      </c>
      <c r="C322" s="11" t="s">
        <v>332</v>
      </c>
      <c r="D322" s="11" t="str">
        <f>IF(ISNUMBER(SEARCH("OSBC", C322)), "GOVT", "RETAIL")</f>
        <v>RETAIL</v>
      </c>
      <c r="E322" s="12">
        <v>103947.22</v>
      </c>
      <c r="F322" s="12">
        <v>0</v>
      </c>
      <c r="G322" s="11">
        <v>406.32</v>
      </c>
      <c r="H322" s="11">
        <v>0</v>
      </c>
      <c r="I322" s="12">
        <v>66349.289999999994</v>
      </c>
      <c r="J322" s="12">
        <v>23222.27</v>
      </c>
      <c r="K322" s="12">
        <v>896</v>
      </c>
      <c r="L322" s="12">
        <v>90467.56</v>
      </c>
      <c r="M322" s="13">
        <v>13479.66</v>
      </c>
      <c r="N322">
        <f>YEAR(B322)</f>
        <v>2022</v>
      </c>
      <c r="O322" s="24">
        <f>IFERROR(J322/$I322,0)</f>
        <v>0.3500002788273997</v>
      </c>
      <c r="P322" s="24">
        <f>IFERROR(K322/$I322,0)</f>
        <v>1.3504289194353099E-2</v>
      </c>
      <c r="Q322" s="24" t="str">
        <f>IF($G322&lt;&gt;0,"Beer",IF($H322&lt;&gt;0,"Liquor","-"))</f>
        <v>Beer</v>
      </c>
      <c r="R322" s="26">
        <f>IF($G322&lt;&gt;0,$G322,IF($H322&lt;&gt;0,$H322/0.75,0))</f>
        <v>406.32</v>
      </c>
      <c r="S322" s="32" t="b">
        <f>ISNUMBER(R322)</f>
        <v>1</v>
      </c>
      <c r="T322" s="32"/>
    </row>
    <row r="323" spans="1:20" x14ac:dyDescent="0.3">
      <c r="A323" s="9">
        <v>322</v>
      </c>
      <c r="B323" s="10">
        <v>44835.466944444444</v>
      </c>
      <c r="C323" s="11" t="s">
        <v>333</v>
      </c>
      <c r="D323" s="11" t="str">
        <f>IF(ISNUMBER(SEARCH("OSBC", C323)), "GOVT", "RETAIL")</f>
        <v>GOVT</v>
      </c>
      <c r="E323" s="12">
        <v>13479.66</v>
      </c>
      <c r="F323" s="12">
        <v>185000</v>
      </c>
      <c r="G323" s="11">
        <v>0</v>
      </c>
      <c r="H323" s="11">
        <v>0</v>
      </c>
      <c r="I323" s="12">
        <v>0</v>
      </c>
      <c r="J323" s="12">
        <v>0</v>
      </c>
      <c r="K323" s="12">
        <v>0</v>
      </c>
      <c r="L323" s="12">
        <v>0</v>
      </c>
      <c r="M323" s="13">
        <v>198479.66</v>
      </c>
      <c r="N323">
        <f>YEAR(B323)</f>
        <v>2022</v>
      </c>
      <c r="O323" s="24">
        <f>IFERROR(J323/$I323,0)</f>
        <v>0</v>
      </c>
      <c r="P323" s="24">
        <f>IFERROR(K323/$I323,0)</f>
        <v>0</v>
      </c>
      <c r="Q323" s="24" t="str">
        <f>IF($G323&lt;&gt;0,"Beer",IF($H323&lt;&gt;0,"Liquor","-"))</f>
        <v>-</v>
      </c>
      <c r="R323" s="26">
        <f>IF($G323&lt;&gt;0,$G323,IF($H323&lt;&gt;0,$H323/0.75,0))</f>
        <v>0</v>
      </c>
      <c r="S323" s="32" t="b">
        <f>ISNUMBER(R323)</f>
        <v>1</v>
      </c>
      <c r="T323" s="32"/>
    </row>
    <row r="324" spans="1:20" x14ac:dyDescent="0.3">
      <c r="A324" s="9">
        <v>323</v>
      </c>
      <c r="B324" s="10">
        <v>44835.505254629628</v>
      </c>
      <c r="C324" s="11" t="s">
        <v>334</v>
      </c>
      <c r="D324" s="11" t="str">
        <f>IF(ISNUMBER(SEARCH("OSBC", C324)), "GOVT", "RETAIL")</f>
        <v>RETAIL</v>
      </c>
      <c r="E324" s="12">
        <v>198479.66</v>
      </c>
      <c r="F324" s="12">
        <v>0</v>
      </c>
      <c r="G324" s="11">
        <v>0</v>
      </c>
      <c r="H324" s="11">
        <v>166.05</v>
      </c>
      <c r="I324" s="12">
        <v>144523.85999999999</v>
      </c>
      <c r="J324" s="12">
        <v>50583.35</v>
      </c>
      <c r="K324" s="12">
        <v>1951</v>
      </c>
      <c r="L324" s="12">
        <v>197058.21</v>
      </c>
      <c r="M324" s="13">
        <v>1421.45</v>
      </c>
      <c r="N324">
        <f>YEAR(B324)</f>
        <v>2022</v>
      </c>
      <c r="O324" s="24">
        <f>IFERROR(J324/$I324,0)</f>
        <v>0.34999999308072732</v>
      </c>
      <c r="P324" s="24">
        <f>IFERROR(K324/$I324,0)</f>
        <v>1.3499501051245104E-2</v>
      </c>
      <c r="Q324" s="24" t="str">
        <f>IF($G324&lt;&gt;0,"Beer",IF($H324&lt;&gt;0,"Liquor","-"))</f>
        <v>Liquor</v>
      </c>
      <c r="R324" s="26">
        <f>IF($G324&lt;&gt;0,$G324,IF($H324&lt;&gt;0,$H324/0.75,0))</f>
        <v>221.4</v>
      </c>
      <c r="S324" s="32" t="b">
        <f>ISNUMBER(R324)</f>
        <v>1</v>
      </c>
      <c r="T324" s="32"/>
    </row>
    <row r="325" spans="1:20" x14ac:dyDescent="0.3">
      <c r="A325" s="9">
        <v>324</v>
      </c>
      <c r="B325" s="10">
        <v>44841.318414351852</v>
      </c>
      <c r="C325" s="11" t="s">
        <v>335</v>
      </c>
      <c r="D325" s="11" t="str">
        <f>IF(ISNUMBER(SEARCH("OSBC", C325)), "GOVT", "RETAIL")</f>
        <v>GOVT</v>
      </c>
      <c r="E325" s="12">
        <v>1421.45</v>
      </c>
      <c r="F325" s="12">
        <v>100000</v>
      </c>
      <c r="G325" s="11">
        <v>0</v>
      </c>
      <c r="H325" s="11">
        <v>0</v>
      </c>
      <c r="I325" s="12">
        <v>0</v>
      </c>
      <c r="J325" s="12">
        <v>0</v>
      </c>
      <c r="K325" s="12">
        <v>0</v>
      </c>
      <c r="L325" s="12">
        <v>0</v>
      </c>
      <c r="M325" s="13">
        <v>101421.45</v>
      </c>
      <c r="N325">
        <f>YEAR(B325)</f>
        <v>2022</v>
      </c>
      <c r="O325" s="24">
        <f>IFERROR(J325/$I325,0)</f>
        <v>0</v>
      </c>
      <c r="P325" s="24">
        <f>IFERROR(K325/$I325,0)</f>
        <v>0</v>
      </c>
      <c r="Q325" s="24" t="str">
        <f>IF($G325&lt;&gt;0,"Beer",IF($H325&lt;&gt;0,"Liquor","-"))</f>
        <v>-</v>
      </c>
      <c r="R325" s="26">
        <f>IF($G325&lt;&gt;0,$G325,IF($H325&lt;&gt;0,$H325/0.75,0))</f>
        <v>0</v>
      </c>
      <c r="S325" s="32" t="b">
        <f>ISNUMBER(R325)</f>
        <v>1</v>
      </c>
      <c r="T325" s="32"/>
    </row>
    <row r="326" spans="1:20" x14ac:dyDescent="0.3">
      <c r="A326" s="9">
        <v>325</v>
      </c>
      <c r="B326" s="10">
        <v>44841.422500000001</v>
      </c>
      <c r="C326" s="11" t="s">
        <v>336</v>
      </c>
      <c r="D326" s="11" t="str">
        <f>IF(ISNUMBER(SEARCH("OSBC", C326)), "GOVT", "RETAIL")</f>
        <v>RETAIL</v>
      </c>
      <c r="E326" s="12">
        <v>101421.45</v>
      </c>
      <c r="F326" s="12">
        <v>0</v>
      </c>
      <c r="G326" s="11">
        <v>444.72</v>
      </c>
      <c r="H326" s="11">
        <v>0</v>
      </c>
      <c r="I326" s="12">
        <v>74047.7</v>
      </c>
      <c r="J326" s="12">
        <v>25916.7</v>
      </c>
      <c r="K326" s="12">
        <v>1000</v>
      </c>
      <c r="L326" s="12">
        <v>100964.4</v>
      </c>
      <c r="M326" s="13">
        <v>457.05</v>
      </c>
      <c r="N326">
        <f>YEAR(B326)</f>
        <v>2022</v>
      </c>
      <c r="O326" s="24">
        <f>IFERROR(J326/$I326,0)</f>
        <v>0.35000006752404195</v>
      </c>
      <c r="P326" s="24">
        <f>IFERROR(K326/$I326,0)</f>
        <v>1.3504808387026201E-2</v>
      </c>
      <c r="Q326" s="24" t="str">
        <f>IF($G326&lt;&gt;0,"Beer",IF($H326&lt;&gt;0,"Liquor","-"))</f>
        <v>Beer</v>
      </c>
      <c r="R326" s="26">
        <f>IF($G326&lt;&gt;0,$G326,IF($H326&lt;&gt;0,$H326/0.75,0))</f>
        <v>444.72</v>
      </c>
      <c r="S326" s="32" t="b">
        <f>ISNUMBER(R326)</f>
        <v>1</v>
      </c>
      <c r="T326" s="32"/>
    </row>
    <row r="327" spans="1:20" x14ac:dyDescent="0.3">
      <c r="A327" s="9">
        <v>326</v>
      </c>
      <c r="B327" s="10">
        <v>44845.483680555553</v>
      </c>
      <c r="C327" s="11" t="s">
        <v>337</v>
      </c>
      <c r="D327" s="11" t="str">
        <f>IF(ISNUMBER(SEARCH("OSBC", C327)), "GOVT", "RETAIL")</f>
        <v>GOVT</v>
      </c>
      <c r="E327" s="12">
        <v>457.05</v>
      </c>
      <c r="F327" s="12">
        <v>499500</v>
      </c>
      <c r="G327" s="11">
        <v>0</v>
      </c>
      <c r="H327" s="11">
        <v>0</v>
      </c>
      <c r="I327" s="12">
        <v>0</v>
      </c>
      <c r="J327" s="12">
        <v>0</v>
      </c>
      <c r="K327" s="12">
        <v>0</v>
      </c>
      <c r="L327" s="12">
        <v>0</v>
      </c>
      <c r="M327" s="13">
        <v>499957.05</v>
      </c>
      <c r="N327">
        <f>YEAR(B327)</f>
        <v>2022</v>
      </c>
      <c r="O327" s="24">
        <f>IFERROR(J327/$I327,0)</f>
        <v>0</v>
      </c>
      <c r="P327" s="24">
        <f>IFERROR(K327/$I327,0)</f>
        <v>0</v>
      </c>
      <c r="Q327" s="24" t="str">
        <f>IF($G327&lt;&gt;0,"Beer",IF($H327&lt;&gt;0,"Liquor","-"))</f>
        <v>-</v>
      </c>
      <c r="R327" s="26">
        <f>IF($G327&lt;&gt;0,$G327,IF($H327&lt;&gt;0,$H327/0.75,0))</f>
        <v>0</v>
      </c>
      <c r="S327" s="32" t="b">
        <f>ISNUMBER(R327)</f>
        <v>1</v>
      </c>
      <c r="T327" s="32"/>
    </row>
    <row r="328" spans="1:20" x14ac:dyDescent="0.3">
      <c r="A328" s="9">
        <v>327</v>
      </c>
      <c r="B328" s="10">
        <v>44845.642071759263</v>
      </c>
      <c r="C328" s="11" t="s">
        <v>338</v>
      </c>
      <c r="D328" s="11" t="str">
        <f>IF(ISNUMBER(SEARCH("OSBC", C328)), "GOVT", "RETAIL")</f>
        <v>RETAIL</v>
      </c>
      <c r="E328" s="12">
        <v>499957.05</v>
      </c>
      <c r="F328" s="12">
        <v>0</v>
      </c>
      <c r="G328" s="11">
        <v>0</v>
      </c>
      <c r="H328" s="11">
        <v>417.22</v>
      </c>
      <c r="I328" s="12">
        <v>366031.84</v>
      </c>
      <c r="J328" s="12">
        <v>128111.14</v>
      </c>
      <c r="K328" s="12">
        <v>4941</v>
      </c>
      <c r="L328" s="12">
        <v>499083.98</v>
      </c>
      <c r="M328" s="13">
        <v>873.07</v>
      </c>
      <c r="N328">
        <f>YEAR(B328)</f>
        <v>2022</v>
      </c>
      <c r="O328" s="24">
        <f>IFERROR(J328/$I328,0)</f>
        <v>0.34999998907198893</v>
      </c>
      <c r="P328" s="24">
        <f>IFERROR(K328/$I328,0)</f>
        <v>1.3498825675930267E-2</v>
      </c>
      <c r="Q328" s="24" t="str">
        <f>IF($G328&lt;&gt;0,"Beer",IF($H328&lt;&gt;0,"Liquor","-"))</f>
        <v>Liquor</v>
      </c>
      <c r="R328" s="26">
        <f>IF($G328&lt;&gt;0,$G328,IF($H328&lt;&gt;0,$H328/0.75,0))</f>
        <v>556.29333333333341</v>
      </c>
      <c r="S328" s="32" t="b">
        <f>ISNUMBER(R328)</f>
        <v>1</v>
      </c>
      <c r="T328" s="32"/>
    </row>
    <row r="329" spans="1:20" x14ac:dyDescent="0.3">
      <c r="A329" s="9">
        <v>328</v>
      </c>
      <c r="B329" s="10">
        <v>44856.474953703706</v>
      </c>
      <c r="C329" s="11" t="s">
        <v>339</v>
      </c>
      <c r="D329" s="11" t="str">
        <f>IF(ISNUMBER(SEARCH("OSBC", C329)), "GOVT", "RETAIL")</f>
        <v>GOVT</v>
      </c>
      <c r="E329" s="12">
        <v>873.07</v>
      </c>
      <c r="F329" s="12">
        <v>50000</v>
      </c>
      <c r="G329" s="11">
        <v>0</v>
      </c>
      <c r="H329" s="11">
        <v>0</v>
      </c>
      <c r="I329" s="12">
        <v>0</v>
      </c>
      <c r="J329" s="12">
        <v>0</v>
      </c>
      <c r="K329" s="12">
        <v>0</v>
      </c>
      <c r="L329" s="12">
        <v>0</v>
      </c>
      <c r="M329" s="13">
        <v>50873.07</v>
      </c>
      <c r="N329">
        <f>YEAR(B329)</f>
        <v>2022</v>
      </c>
      <c r="O329" s="24">
        <f>IFERROR(J329/$I329,0)</f>
        <v>0</v>
      </c>
      <c r="P329" s="24">
        <f>IFERROR(K329/$I329,0)</f>
        <v>0</v>
      </c>
      <c r="Q329" s="24" t="str">
        <f>IF($G329&lt;&gt;0,"Beer",IF($H329&lt;&gt;0,"Liquor","-"))</f>
        <v>-</v>
      </c>
      <c r="R329" s="26">
        <f>IF($G329&lt;&gt;0,$G329,IF($H329&lt;&gt;0,$H329/0.75,0))</f>
        <v>0</v>
      </c>
      <c r="S329" s="32" t="b">
        <f>ISNUMBER(R329)</f>
        <v>1</v>
      </c>
      <c r="T329" s="32"/>
    </row>
    <row r="330" spans="1:20" x14ac:dyDescent="0.3">
      <c r="A330" s="9">
        <v>329</v>
      </c>
      <c r="B330" s="10">
        <v>44856.479247685187</v>
      </c>
      <c r="C330" s="11" t="s">
        <v>340</v>
      </c>
      <c r="D330" s="11" t="str">
        <f>IF(ISNUMBER(SEARCH("OSBC", C330)), "GOVT", "RETAIL")</f>
        <v>GOVT</v>
      </c>
      <c r="E330" s="12">
        <v>50873.07</v>
      </c>
      <c r="F330" s="12">
        <v>9000</v>
      </c>
      <c r="G330" s="11">
        <v>0</v>
      </c>
      <c r="H330" s="11">
        <v>0</v>
      </c>
      <c r="I330" s="12">
        <v>0</v>
      </c>
      <c r="J330" s="12">
        <v>0</v>
      </c>
      <c r="K330" s="12">
        <v>0</v>
      </c>
      <c r="L330" s="12">
        <v>0</v>
      </c>
      <c r="M330" s="13">
        <v>59873.07</v>
      </c>
      <c r="N330">
        <f>YEAR(B330)</f>
        <v>2022</v>
      </c>
      <c r="O330" s="24">
        <f>IFERROR(J330/$I330,0)</f>
        <v>0</v>
      </c>
      <c r="P330" s="24">
        <f>IFERROR(K330/$I330,0)</f>
        <v>0</v>
      </c>
      <c r="Q330" s="24" t="str">
        <f>IF($G330&lt;&gt;0,"Beer",IF($H330&lt;&gt;0,"Liquor","-"))</f>
        <v>-</v>
      </c>
      <c r="R330" s="26">
        <f>IF($G330&lt;&gt;0,$G330,IF($H330&lt;&gt;0,$H330/0.75,0))</f>
        <v>0</v>
      </c>
      <c r="S330" s="32" t="b">
        <f>ISNUMBER(R330)</f>
        <v>1</v>
      </c>
      <c r="T330" s="32"/>
    </row>
    <row r="331" spans="1:20" x14ac:dyDescent="0.3">
      <c r="A331" s="9">
        <v>330</v>
      </c>
      <c r="B331" s="10">
        <v>44856.643645833334</v>
      </c>
      <c r="C331" s="11" t="s">
        <v>341</v>
      </c>
      <c r="D331" s="11" t="str">
        <f>IF(ISNUMBER(SEARCH("OSBC", C331)), "GOVT", "RETAIL")</f>
        <v>RETAIL</v>
      </c>
      <c r="E331" s="12">
        <v>59873.07</v>
      </c>
      <c r="F331" s="12">
        <v>0</v>
      </c>
      <c r="G331" s="11">
        <v>0</v>
      </c>
      <c r="H331" s="11">
        <v>51.84</v>
      </c>
      <c r="I331" s="12">
        <v>43492.08</v>
      </c>
      <c r="J331" s="12">
        <v>15222.23</v>
      </c>
      <c r="K331" s="12">
        <v>587</v>
      </c>
      <c r="L331" s="12">
        <v>59301.31</v>
      </c>
      <c r="M331" s="13">
        <v>571.76</v>
      </c>
      <c r="N331">
        <f>YEAR(B331)</f>
        <v>2022</v>
      </c>
      <c r="O331" s="24">
        <f>IFERROR(J331/$I331,0)</f>
        <v>0.35000004598538398</v>
      </c>
      <c r="P331" s="24">
        <f>IFERROR(K331/$I331,0)</f>
        <v>1.3496710205628242E-2</v>
      </c>
      <c r="Q331" s="24" t="str">
        <f>IF($G331&lt;&gt;0,"Beer",IF($H331&lt;&gt;0,"Liquor","-"))</f>
        <v>Liquor</v>
      </c>
      <c r="R331" s="26">
        <f>IF($G331&lt;&gt;0,$G331,IF($H331&lt;&gt;0,$H331/0.75,0))</f>
        <v>69.12</v>
      </c>
      <c r="S331" s="32" t="b">
        <f>ISNUMBER(R331)</f>
        <v>1</v>
      </c>
      <c r="T331" s="32"/>
    </row>
    <row r="332" spans="1:20" x14ac:dyDescent="0.3">
      <c r="A332" s="9">
        <v>331</v>
      </c>
      <c r="B332" s="10">
        <v>44866.461076388892</v>
      </c>
      <c r="C332" s="11" t="s">
        <v>342</v>
      </c>
      <c r="D332" s="11" t="str">
        <f>IF(ISNUMBER(SEARCH("OSBC", C332)), "GOVT", "RETAIL")</f>
        <v>GOVT</v>
      </c>
      <c r="E332" s="12">
        <v>571.76</v>
      </c>
      <c r="F332" s="12">
        <v>118000</v>
      </c>
      <c r="G332" s="11">
        <v>0</v>
      </c>
      <c r="H332" s="11">
        <v>0</v>
      </c>
      <c r="I332" s="12">
        <v>0</v>
      </c>
      <c r="J332" s="12">
        <v>0</v>
      </c>
      <c r="K332" s="12">
        <v>0</v>
      </c>
      <c r="L332" s="12">
        <v>0</v>
      </c>
      <c r="M332" s="13">
        <v>118571.76</v>
      </c>
      <c r="N332">
        <f>YEAR(B332)</f>
        <v>2022</v>
      </c>
      <c r="O332" s="24">
        <f>IFERROR(J332/$I332,0)</f>
        <v>0</v>
      </c>
      <c r="P332" s="24">
        <f>IFERROR(K332/$I332,0)</f>
        <v>0</v>
      </c>
      <c r="Q332" s="24" t="str">
        <f>IF($G332&lt;&gt;0,"Beer",IF($H332&lt;&gt;0,"Liquor","-"))</f>
        <v>-</v>
      </c>
      <c r="R332" s="26">
        <f>IF($G332&lt;&gt;0,$G332,IF($H332&lt;&gt;0,$H332/0.75,0))</f>
        <v>0</v>
      </c>
      <c r="S332" s="32" t="b">
        <f>ISNUMBER(R332)</f>
        <v>1</v>
      </c>
      <c r="T332" s="32"/>
    </row>
    <row r="333" spans="1:20" x14ac:dyDescent="0.3">
      <c r="A333" s="9">
        <v>332</v>
      </c>
      <c r="B333" s="10">
        <v>44866.507060185184</v>
      </c>
      <c r="C333" s="11" t="s">
        <v>343</v>
      </c>
      <c r="D333" s="11" t="str">
        <f>IF(ISNUMBER(SEARCH("OSBC", C333)), "GOVT", "RETAIL")</f>
        <v>RETAIL</v>
      </c>
      <c r="E333" s="12">
        <v>118571.76</v>
      </c>
      <c r="F333" s="12">
        <v>0</v>
      </c>
      <c r="G333" s="11">
        <v>0</v>
      </c>
      <c r="H333" s="11">
        <v>97.47</v>
      </c>
      <c r="I333" s="12">
        <v>86904.79</v>
      </c>
      <c r="J333" s="12">
        <v>30416.68</v>
      </c>
      <c r="K333" s="12">
        <v>1173</v>
      </c>
      <c r="L333" s="12">
        <v>118494.47</v>
      </c>
      <c r="M333" s="13">
        <v>77.290000000000006</v>
      </c>
      <c r="N333">
        <f>YEAR(B333)</f>
        <v>2022</v>
      </c>
      <c r="O333" s="24">
        <f>IFERROR(J333/$I333,0)</f>
        <v>0.35000004027395959</v>
      </c>
      <c r="P333" s="24">
        <f>IFERROR(K333/$I333,0)</f>
        <v>1.349752988299034E-2</v>
      </c>
      <c r="Q333" s="24" t="str">
        <f>IF($G333&lt;&gt;0,"Beer",IF($H333&lt;&gt;0,"Liquor","-"))</f>
        <v>Liquor</v>
      </c>
      <c r="R333" s="26">
        <f>IF($G333&lt;&gt;0,$G333,IF($H333&lt;&gt;0,$H333/0.75,0))</f>
        <v>129.96</v>
      </c>
      <c r="S333" s="32" t="b">
        <f>ISNUMBER(R333)</f>
        <v>1</v>
      </c>
      <c r="T333" s="32"/>
    </row>
    <row r="334" spans="1:20" x14ac:dyDescent="0.3">
      <c r="A334" s="9">
        <v>333</v>
      </c>
      <c r="B334" s="10">
        <v>44872.492326388892</v>
      </c>
      <c r="C334" s="11" t="s">
        <v>344</v>
      </c>
      <c r="D334" s="11" t="str">
        <f>IF(ISNUMBER(SEARCH("OSBC", C334)), "GOVT", "RETAIL")</f>
        <v>GOVT</v>
      </c>
      <c r="E334" s="12">
        <v>77.290000000000006</v>
      </c>
      <c r="F334" s="12">
        <v>237000</v>
      </c>
      <c r="G334" s="11">
        <v>0</v>
      </c>
      <c r="H334" s="11">
        <v>0</v>
      </c>
      <c r="I334" s="12">
        <v>0</v>
      </c>
      <c r="J334" s="12">
        <v>0</v>
      </c>
      <c r="K334" s="12">
        <v>0</v>
      </c>
      <c r="L334" s="12">
        <v>0</v>
      </c>
      <c r="M334" s="13">
        <v>237077.29</v>
      </c>
      <c r="N334">
        <f>YEAR(B334)</f>
        <v>2022</v>
      </c>
      <c r="O334" s="24">
        <f>IFERROR(J334/$I334,0)</f>
        <v>0</v>
      </c>
      <c r="P334" s="24">
        <f>IFERROR(K334/$I334,0)</f>
        <v>0</v>
      </c>
      <c r="Q334" s="24" t="str">
        <f>IF($G334&lt;&gt;0,"Beer",IF($H334&lt;&gt;0,"Liquor","-"))</f>
        <v>-</v>
      </c>
      <c r="R334" s="26">
        <f>IF($G334&lt;&gt;0,$G334,IF($H334&lt;&gt;0,$H334/0.75,0))</f>
        <v>0</v>
      </c>
      <c r="S334" s="32" t="b">
        <f>ISNUMBER(R334)</f>
        <v>1</v>
      </c>
      <c r="T334" s="32"/>
    </row>
    <row r="335" spans="1:20" x14ac:dyDescent="0.3">
      <c r="A335" s="9">
        <v>334</v>
      </c>
      <c r="B335" s="10">
        <v>44872.631493055553</v>
      </c>
      <c r="C335" s="11" t="s">
        <v>345</v>
      </c>
      <c r="D335" s="11" t="str">
        <f>IF(ISNUMBER(SEARCH("OSBC", C335)), "GOVT", "RETAIL")</f>
        <v>RETAIL</v>
      </c>
      <c r="E335" s="12">
        <v>237077.29</v>
      </c>
      <c r="F335" s="12">
        <v>0</v>
      </c>
      <c r="G335" s="11">
        <v>0</v>
      </c>
      <c r="H335" s="11">
        <v>196.33</v>
      </c>
      <c r="I335" s="12">
        <v>170337.35</v>
      </c>
      <c r="J335" s="12">
        <v>59618.07</v>
      </c>
      <c r="K335" s="12">
        <v>2300</v>
      </c>
      <c r="L335" s="12">
        <v>232255.42</v>
      </c>
      <c r="M335" s="13">
        <v>4821.87</v>
      </c>
      <c r="N335">
        <f>YEAR(B335)</f>
        <v>2022</v>
      </c>
      <c r="O335" s="24">
        <f>IFERROR(J335/$I335,0)</f>
        <v>0.34999998532324239</v>
      </c>
      <c r="P335" s="24">
        <f>IFERROR(K335/$I335,0)</f>
        <v>1.3502617012651659E-2</v>
      </c>
      <c r="Q335" s="24" t="str">
        <f>IF($G335&lt;&gt;0,"Beer",IF($H335&lt;&gt;0,"Liquor","-"))</f>
        <v>Liquor</v>
      </c>
      <c r="R335" s="26">
        <f>IF($G335&lt;&gt;0,$G335,IF($H335&lt;&gt;0,$H335/0.75,0))</f>
        <v>261.77333333333337</v>
      </c>
      <c r="S335" s="32" t="b">
        <f>ISNUMBER(R335)</f>
        <v>1</v>
      </c>
      <c r="T335" s="32"/>
    </row>
    <row r="336" spans="1:20" x14ac:dyDescent="0.3">
      <c r="A336" s="9">
        <v>335</v>
      </c>
      <c r="B336" s="10">
        <v>44876.458032407405</v>
      </c>
      <c r="C336" s="11" t="s">
        <v>346</v>
      </c>
      <c r="D336" s="11" t="str">
        <f>IF(ISNUMBER(SEARCH("OSBC", C336)), "GOVT", "RETAIL")</f>
        <v>GOVT</v>
      </c>
      <c r="E336" s="12">
        <v>4821.87</v>
      </c>
      <c r="F336" s="12">
        <v>260000</v>
      </c>
      <c r="G336" s="11">
        <v>0</v>
      </c>
      <c r="H336" s="11">
        <v>0</v>
      </c>
      <c r="I336" s="12">
        <v>0</v>
      </c>
      <c r="J336" s="12">
        <v>0</v>
      </c>
      <c r="K336" s="12">
        <v>0</v>
      </c>
      <c r="L336" s="12">
        <v>0</v>
      </c>
      <c r="M336" s="13">
        <v>264821.87</v>
      </c>
      <c r="N336">
        <f>YEAR(B336)</f>
        <v>2022</v>
      </c>
      <c r="O336" s="24">
        <f>IFERROR(J336/$I336,0)</f>
        <v>0</v>
      </c>
      <c r="P336" s="24">
        <f>IFERROR(K336/$I336,0)</f>
        <v>0</v>
      </c>
      <c r="Q336" s="24" t="str">
        <f>IF($G336&lt;&gt;0,"Beer",IF($H336&lt;&gt;0,"Liquor","-"))</f>
        <v>-</v>
      </c>
      <c r="R336" s="26">
        <f>IF($G336&lt;&gt;0,$G336,IF($H336&lt;&gt;0,$H336/0.75,0))</f>
        <v>0</v>
      </c>
      <c r="S336" s="32" t="b">
        <f>ISNUMBER(R336)</f>
        <v>1</v>
      </c>
      <c r="T336" s="32"/>
    </row>
    <row r="337" spans="1:20" x14ac:dyDescent="0.3">
      <c r="A337" s="9">
        <v>336</v>
      </c>
      <c r="B337" s="10">
        <v>44876.675300925926</v>
      </c>
      <c r="C337" s="11" t="s">
        <v>347</v>
      </c>
      <c r="D337" s="11" t="str">
        <f>IF(ISNUMBER(SEARCH("OSBC", C337)), "GOVT", "RETAIL")</f>
        <v>RETAIL</v>
      </c>
      <c r="E337" s="12">
        <v>264821.87</v>
      </c>
      <c r="F337" s="12">
        <v>0</v>
      </c>
      <c r="G337" s="11">
        <v>0</v>
      </c>
      <c r="H337" s="11">
        <v>159.02000000000001</v>
      </c>
      <c r="I337" s="12">
        <v>135994.28</v>
      </c>
      <c r="J337" s="12">
        <v>47598</v>
      </c>
      <c r="K337" s="12">
        <v>1836</v>
      </c>
      <c r="L337" s="12">
        <v>185428.28</v>
      </c>
      <c r="M337" s="13">
        <v>79393.59</v>
      </c>
      <c r="N337">
        <f>YEAR(B337)</f>
        <v>2022</v>
      </c>
      <c r="O337" s="24">
        <f>IFERROR(J337/$I337,0)</f>
        <v>0.35000001470650088</v>
      </c>
      <c r="P337" s="24">
        <f>IFERROR(K337/$I337,0)</f>
        <v>1.3500567817999404E-2</v>
      </c>
      <c r="Q337" s="24" t="str">
        <f>IF($G337&lt;&gt;0,"Beer",IF($H337&lt;&gt;0,"Liquor","-"))</f>
        <v>Liquor</v>
      </c>
      <c r="R337" s="26">
        <f>IF($G337&lt;&gt;0,$G337,IF($H337&lt;&gt;0,$H337/0.75,0))</f>
        <v>212.02666666666667</v>
      </c>
      <c r="S337" s="32" t="b">
        <f>ISNUMBER(R337)</f>
        <v>1</v>
      </c>
      <c r="T337" s="32"/>
    </row>
    <row r="338" spans="1:20" x14ac:dyDescent="0.3">
      <c r="A338" s="9">
        <v>337</v>
      </c>
      <c r="B338" s="10">
        <v>44876.676006944443</v>
      </c>
      <c r="C338" s="11" t="s">
        <v>348</v>
      </c>
      <c r="D338" s="11" t="str">
        <f>IF(ISNUMBER(SEARCH("OSBC", C338)), "GOVT", "RETAIL")</f>
        <v>RETAIL</v>
      </c>
      <c r="E338" s="12">
        <v>79393.59</v>
      </c>
      <c r="F338" s="12">
        <v>0</v>
      </c>
      <c r="G338" s="11">
        <v>330</v>
      </c>
      <c r="H338" s="11">
        <v>0</v>
      </c>
      <c r="I338" s="12">
        <v>57936.53</v>
      </c>
      <c r="J338" s="12">
        <v>20277.79</v>
      </c>
      <c r="K338" s="12">
        <v>782</v>
      </c>
      <c r="L338" s="12">
        <v>78996.320000000007</v>
      </c>
      <c r="M338" s="13">
        <v>397.27</v>
      </c>
      <c r="N338">
        <f>YEAR(B338)</f>
        <v>2022</v>
      </c>
      <c r="O338" s="24">
        <f>IFERROR(J338/$I338,0)</f>
        <v>0.35000007767120334</v>
      </c>
      <c r="P338" s="24">
        <f>IFERROR(K338/$I338,0)</f>
        <v>1.3497529106420422E-2</v>
      </c>
      <c r="Q338" s="24" t="str">
        <f>IF($G338&lt;&gt;0,"Beer",IF($H338&lt;&gt;0,"Liquor","-"))</f>
        <v>Beer</v>
      </c>
      <c r="R338" s="26">
        <f>IF($G338&lt;&gt;0,$G338,IF($H338&lt;&gt;0,$H338/0.75,0))</f>
        <v>330</v>
      </c>
      <c r="S338" s="32" t="b">
        <f>ISNUMBER(R338)</f>
        <v>1</v>
      </c>
      <c r="T338" s="32"/>
    </row>
    <row r="339" spans="1:20" x14ac:dyDescent="0.3">
      <c r="A339" s="9">
        <v>338</v>
      </c>
      <c r="B339" s="10">
        <v>44880.470601851855</v>
      </c>
      <c r="C339" s="11" t="s">
        <v>349</v>
      </c>
      <c r="D339" s="11" t="str">
        <f>IF(ISNUMBER(SEARCH("OSBC", C339)), "GOVT", "RETAIL")</f>
        <v>GOVT</v>
      </c>
      <c r="E339" s="12">
        <v>397.27</v>
      </c>
      <c r="F339" s="12">
        <v>300000</v>
      </c>
      <c r="G339" s="11">
        <v>0</v>
      </c>
      <c r="H339" s="11">
        <v>0</v>
      </c>
      <c r="I339" s="12">
        <v>0</v>
      </c>
      <c r="J339" s="12">
        <v>0</v>
      </c>
      <c r="K339" s="12">
        <v>0</v>
      </c>
      <c r="L339" s="12">
        <v>0</v>
      </c>
      <c r="M339" s="13">
        <v>300397.27</v>
      </c>
      <c r="N339">
        <f>YEAR(B339)</f>
        <v>2022</v>
      </c>
      <c r="O339" s="24">
        <f>IFERROR(J339/$I339,0)</f>
        <v>0</v>
      </c>
      <c r="P339" s="24">
        <f>IFERROR(K339/$I339,0)</f>
        <v>0</v>
      </c>
      <c r="Q339" s="24" t="str">
        <f>IF($G339&lt;&gt;0,"Beer",IF($H339&lt;&gt;0,"Liquor","-"))</f>
        <v>-</v>
      </c>
      <c r="R339" s="26">
        <f>IF($G339&lt;&gt;0,$G339,IF($H339&lt;&gt;0,$H339/0.75,0))</f>
        <v>0</v>
      </c>
      <c r="S339" s="32" t="b">
        <f>ISNUMBER(R339)</f>
        <v>1</v>
      </c>
      <c r="T339" s="32"/>
    </row>
    <row r="340" spans="1:20" x14ac:dyDescent="0.3">
      <c r="A340" s="9">
        <v>339</v>
      </c>
      <c r="B340" s="10">
        <v>44880.652453703704</v>
      </c>
      <c r="C340" s="11" t="s">
        <v>350</v>
      </c>
      <c r="D340" s="11" t="str">
        <f>IF(ISNUMBER(SEARCH("OSBC", C340)), "GOVT", "RETAIL")</f>
        <v>RETAIL</v>
      </c>
      <c r="E340" s="12">
        <v>300397.27</v>
      </c>
      <c r="F340" s="12">
        <v>0</v>
      </c>
      <c r="G340" s="11">
        <v>0</v>
      </c>
      <c r="H340" s="11">
        <v>243</v>
      </c>
      <c r="I340" s="12">
        <v>218412.75</v>
      </c>
      <c r="J340" s="12">
        <v>76444.460000000006</v>
      </c>
      <c r="K340" s="12">
        <v>2949</v>
      </c>
      <c r="L340" s="12">
        <v>297806.21000000002</v>
      </c>
      <c r="M340" s="13">
        <v>2591.06</v>
      </c>
      <c r="N340">
        <f>YEAR(B340)</f>
        <v>2022</v>
      </c>
      <c r="O340" s="24">
        <f>IFERROR(J340/$I340,0)</f>
        <v>0.34999998855378178</v>
      </c>
      <c r="P340" s="24">
        <f>IFERROR(K340/$I340,0)</f>
        <v>1.3501959020249504E-2</v>
      </c>
      <c r="Q340" s="24" t="str">
        <f>IF($G340&lt;&gt;0,"Beer",IF($H340&lt;&gt;0,"Liquor","-"))</f>
        <v>Liquor</v>
      </c>
      <c r="R340" s="26">
        <f>IF($G340&lt;&gt;0,$G340,IF($H340&lt;&gt;0,$H340/0.75,0))</f>
        <v>324</v>
      </c>
      <c r="S340" s="32" t="b">
        <f>ISNUMBER(R340)</f>
        <v>1</v>
      </c>
      <c r="T340" s="32"/>
    </row>
    <row r="341" spans="1:20" x14ac:dyDescent="0.3">
      <c r="A341" s="9">
        <v>340</v>
      </c>
      <c r="B341" s="10">
        <v>44882.450254629628</v>
      </c>
      <c r="C341" s="11" t="s">
        <v>351</v>
      </c>
      <c r="D341" s="11" t="str">
        <f>IF(ISNUMBER(SEARCH("OSBC", C341)), "GOVT", "RETAIL")</f>
        <v>GOVT</v>
      </c>
      <c r="E341" s="12">
        <v>2591.06</v>
      </c>
      <c r="F341" s="12">
        <v>190000</v>
      </c>
      <c r="G341" s="11">
        <v>0</v>
      </c>
      <c r="H341" s="11">
        <v>0</v>
      </c>
      <c r="I341" s="12">
        <v>0</v>
      </c>
      <c r="J341" s="12">
        <v>0</v>
      </c>
      <c r="K341" s="12">
        <v>0</v>
      </c>
      <c r="L341" s="12">
        <v>0</v>
      </c>
      <c r="M341" s="13">
        <v>192591.06</v>
      </c>
      <c r="N341">
        <f>YEAR(B341)</f>
        <v>2022</v>
      </c>
      <c r="O341" s="24">
        <f>IFERROR(J341/$I341,0)</f>
        <v>0</v>
      </c>
      <c r="P341" s="24">
        <f>IFERROR(K341/$I341,0)</f>
        <v>0</v>
      </c>
      <c r="Q341" s="24" t="str">
        <f>IF($G341&lt;&gt;0,"Beer",IF($H341&lt;&gt;0,"Liquor","-"))</f>
        <v>-</v>
      </c>
      <c r="R341" s="26">
        <f>IF($G341&lt;&gt;0,$G341,IF($H341&lt;&gt;0,$H341/0.75,0))</f>
        <v>0</v>
      </c>
      <c r="S341" s="32" t="b">
        <f>ISNUMBER(R341)</f>
        <v>1</v>
      </c>
      <c r="T341" s="32"/>
    </row>
    <row r="342" spans="1:20" x14ac:dyDescent="0.3">
      <c r="A342" s="9">
        <v>341</v>
      </c>
      <c r="B342" s="10">
        <v>44882.542824074073</v>
      </c>
      <c r="C342" s="11" t="s">
        <v>352</v>
      </c>
      <c r="D342" s="11" t="str">
        <f>IF(ISNUMBER(SEARCH("OSBC", C342)), "GOVT", "RETAIL")</f>
        <v>RETAIL</v>
      </c>
      <c r="E342" s="12">
        <v>192591.06</v>
      </c>
      <c r="F342" s="12">
        <v>0</v>
      </c>
      <c r="G342" s="11">
        <v>0</v>
      </c>
      <c r="H342" s="11">
        <v>169.06</v>
      </c>
      <c r="I342" s="12">
        <v>139980.20000000001</v>
      </c>
      <c r="J342" s="12">
        <v>48993.07</v>
      </c>
      <c r="K342" s="12">
        <v>1890</v>
      </c>
      <c r="L342" s="12">
        <v>190863.27</v>
      </c>
      <c r="M342" s="13">
        <v>1727.79</v>
      </c>
      <c r="N342">
        <f>YEAR(B342)</f>
        <v>2022</v>
      </c>
      <c r="O342" s="24">
        <f>IFERROR(J342/$I342,0)</f>
        <v>0.35</v>
      </c>
      <c r="P342" s="24">
        <f>IFERROR(K342/$I342,0)</f>
        <v>1.3501909555780031E-2</v>
      </c>
      <c r="Q342" s="24" t="str">
        <f>IF($G342&lt;&gt;0,"Beer",IF($H342&lt;&gt;0,"Liquor","-"))</f>
        <v>Liquor</v>
      </c>
      <c r="R342" s="26">
        <f>IF($G342&lt;&gt;0,$G342,IF($H342&lt;&gt;0,$H342/0.75,0))</f>
        <v>225.41333333333333</v>
      </c>
      <c r="S342" s="32" t="b">
        <f>ISNUMBER(R342)</f>
        <v>1</v>
      </c>
      <c r="T342" s="32"/>
    </row>
    <row r="343" spans="1:20" x14ac:dyDescent="0.3">
      <c r="A343" s="9">
        <v>342</v>
      </c>
      <c r="B343" s="10">
        <v>44884.499374999999</v>
      </c>
      <c r="C343" s="11" t="s">
        <v>353</v>
      </c>
      <c r="D343" s="11" t="str">
        <f>IF(ISNUMBER(SEARCH("OSBC", C343)), "GOVT", "RETAIL")</f>
        <v>GOVT</v>
      </c>
      <c r="E343" s="12">
        <v>1727.79</v>
      </c>
      <c r="F343" s="12">
        <v>200000</v>
      </c>
      <c r="G343" s="11">
        <v>0</v>
      </c>
      <c r="H343" s="11">
        <v>0</v>
      </c>
      <c r="I343" s="12">
        <v>0</v>
      </c>
      <c r="J343" s="12">
        <v>0</v>
      </c>
      <c r="K343" s="12">
        <v>0</v>
      </c>
      <c r="L343" s="12">
        <v>0</v>
      </c>
      <c r="M343" s="13">
        <v>201727.79</v>
      </c>
      <c r="N343">
        <f>YEAR(B343)</f>
        <v>2022</v>
      </c>
      <c r="O343" s="24">
        <f>IFERROR(J343/$I343,0)</f>
        <v>0</v>
      </c>
      <c r="P343" s="24">
        <f>IFERROR(K343/$I343,0)</f>
        <v>0</v>
      </c>
      <c r="Q343" s="24" t="str">
        <f>IF($G343&lt;&gt;0,"Beer",IF($H343&lt;&gt;0,"Liquor","-"))</f>
        <v>-</v>
      </c>
      <c r="R343" s="26">
        <f>IF($G343&lt;&gt;0,$G343,IF($H343&lt;&gt;0,$H343/0.75,0))</f>
        <v>0</v>
      </c>
      <c r="S343" s="32" t="b">
        <f>ISNUMBER(R343)</f>
        <v>1</v>
      </c>
      <c r="T343" s="32"/>
    </row>
    <row r="344" spans="1:20" x14ac:dyDescent="0.3">
      <c r="A344" s="9">
        <v>343</v>
      </c>
      <c r="B344" s="10">
        <v>44888.429224537038</v>
      </c>
      <c r="C344" s="11" t="s">
        <v>354</v>
      </c>
      <c r="D344" s="11" t="str">
        <f>IF(ISNUMBER(SEARCH("OSBC", C344)), "GOVT", "RETAIL")</f>
        <v>GOVT</v>
      </c>
      <c r="E344" s="12">
        <v>201727.79</v>
      </c>
      <c r="F344" s="12">
        <v>55000</v>
      </c>
      <c r="G344" s="11">
        <v>0</v>
      </c>
      <c r="H344" s="11">
        <v>0</v>
      </c>
      <c r="I344" s="12">
        <v>0</v>
      </c>
      <c r="J344" s="12">
        <v>0</v>
      </c>
      <c r="K344" s="12">
        <v>0</v>
      </c>
      <c r="L344" s="12">
        <v>0</v>
      </c>
      <c r="M344" s="13">
        <v>256727.79</v>
      </c>
      <c r="N344">
        <f>YEAR(B344)</f>
        <v>2022</v>
      </c>
      <c r="O344" s="24">
        <f>IFERROR(J344/$I344,0)</f>
        <v>0</v>
      </c>
      <c r="P344" s="24">
        <f>IFERROR(K344/$I344,0)</f>
        <v>0</v>
      </c>
      <c r="Q344" s="24" t="str">
        <f>IF($G344&lt;&gt;0,"Beer",IF($H344&lt;&gt;0,"Liquor","-"))</f>
        <v>-</v>
      </c>
      <c r="R344" s="26">
        <f>IF($G344&lt;&gt;0,$G344,IF($H344&lt;&gt;0,$H344/0.75,0))</f>
        <v>0</v>
      </c>
      <c r="S344" s="32" t="b">
        <f>ISNUMBER(R344)</f>
        <v>1</v>
      </c>
      <c r="T344" s="32"/>
    </row>
    <row r="345" spans="1:20" x14ac:dyDescent="0.3">
      <c r="A345" s="9">
        <v>344</v>
      </c>
      <c r="B345" s="10">
        <v>44888.504571759258</v>
      </c>
      <c r="C345" s="11" t="s">
        <v>355</v>
      </c>
      <c r="D345" s="11" t="str">
        <f>IF(ISNUMBER(SEARCH("OSBC", C345)), "GOVT", "RETAIL")</f>
        <v>RETAIL</v>
      </c>
      <c r="E345" s="12">
        <v>256727.79</v>
      </c>
      <c r="F345" s="12">
        <v>0</v>
      </c>
      <c r="G345" s="11">
        <v>0</v>
      </c>
      <c r="H345" s="11">
        <v>171.72</v>
      </c>
      <c r="I345" s="12">
        <v>146269.89000000001</v>
      </c>
      <c r="J345" s="12">
        <v>51194.46</v>
      </c>
      <c r="K345" s="12">
        <v>1975</v>
      </c>
      <c r="L345" s="12">
        <v>199439.35</v>
      </c>
      <c r="M345" s="13">
        <v>57288.44</v>
      </c>
      <c r="N345">
        <f>YEAR(B345)</f>
        <v>2022</v>
      </c>
      <c r="O345" s="24">
        <f>IFERROR(J345/$I345,0)</f>
        <v>0.34999998974498436</v>
      </c>
      <c r="P345" s="24">
        <f>IFERROR(K345/$I345,0)</f>
        <v>1.3502437172818E-2</v>
      </c>
      <c r="Q345" s="24" t="str">
        <f>IF($G345&lt;&gt;0,"Beer",IF($H345&lt;&gt;0,"Liquor","-"))</f>
        <v>Liquor</v>
      </c>
      <c r="R345" s="26">
        <f>IF($G345&lt;&gt;0,$G345,IF($H345&lt;&gt;0,$H345/0.75,0))</f>
        <v>228.96</v>
      </c>
      <c r="S345" s="32" t="b">
        <f>ISNUMBER(R345)</f>
        <v>1</v>
      </c>
      <c r="T345" s="32"/>
    </row>
    <row r="346" spans="1:20" x14ac:dyDescent="0.3">
      <c r="A346" s="9">
        <v>345</v>
      </c>
      <c r="B346" s="10">
        <v>44888.50509259259</v>
      </c>
      <c r="C346" s="11" t="s">
        <v>356</v>
      </c>
      <c r="D346" s="11" t="str">
        <f>IF(ISNUMBER(SEARCH("OSBC", C346)), "GOVT", "RETAIL")</f>
        <v>RETAIL</v>
      </c>
      <c r="E346" s="12">
        <v>57288.44</v>
      </c>
      <c r="F346" s="12">
        <v>0</v>
      </c>
      <c r="G346" s="11">
        <v>252</v>
      </c>
      <c r="H346" s="11">
        <v>0</v>
      </c>
      <c r="I346" s="12">
        <v>41904.81</v>
      </c>
      <c r="J346" s="12">
        <v>14666.68</v>
      </c>
      <c r="K346" s="12">
        <v>566</v>
      </c>
      <c r="L346" s="12">
        <v>57137.49</v>
      </c>
      <c r="M346" s="13">
        <v>150.94999999999999</v>
      </c>
      <c r="N346">
        <f>YEAR(B346)</f>
        <v>2022</v>
      </c>
      <c r="O346" s="24">
        <f>IFERROR(J346/$I346,0)</f>
        <v>0.34999991647736861</v>
      </c>
      <c r="P346" s="24">
        <f>IFERROR(K346/$I346,0)</f>
        <v>1.3506802679692381E-2</v>
      </c>
      <c r="Q346" s="24" t="str">
        <f>IF($G346&lt;&gt;0,"Beer",IF($H346&lt;&gt;0,"Liquor","-"))</f>
        <v>Beer</v>
      </c>
      <c r="R346" s="26">
        <f>IF($G346&lt;&gt;0,$G346,IF($H346&lt;&gt;0,$H346/0.75,0))</f>
        <v>252</v>
      </c>
      <c r="S346" s="32" t="b">
        <f>ISNUMBER(R346)</f>
        <v>1</v>
      </c>
      <c r="T346" s="32"/>
    </row>
    <row r="347" spans="1:20" x14ac:dyDescent="0.3">
      <c r="A347" s="9">
        <v>346</v>
      </c>
      <c r="B347" s="10">
        <v>44896.498611111114</v>
      </c>
      <c r="C347" s="11" t="s">
        <v>357</v>
      </c>
      <c r="D347" s="11" t="str">
        <f>IF(ISNUMBER(SEARCH("OSBC", C347)), "GOVT", "RETAIL")</f>
        <v>GOVT</v>
      </c>
      <c r="E347" s="12">
        <v>150.94999999999999</v>
      </c>
      <c r="F347" s="12">
        <v>250000</v>
      </c>
      <c r="G347" s="11">
        <v>0</v>
      </c>
      <c r="H347" s="11">
        <v>0</v>
      </c>
      <c r="I347" s="12">
        <v>0</v>
      </c>
      <c r="J347" s="12">
        <v>0</v>
      </c>
      <c r="K347" s="12">
        <v>0</v>
      </c>
      <c r="L347" s="12">
        <v>0</v>
      </c>
      <c r="M347" s="13">
        <v>250150.95</v>
      </c>
      <c r="N347">
        <f>YEAR(B347)</f>
        <v>2022</v>
      </c>
      <c r="O347" s="24">
        <f>IFERROR(J347/$I347,0)</f>
        <v>0</v>
      </c>
      <c r="P347" s="24">
        <f>IFERROR(K347/$I347,0)</f>
        <v>0</v>
      </c>
      <c r="Q347" s="24" t="str">
        <f>IF($G347&lt;&gt;0,"Beer",IF($H347&lt;&gt;0,"Liquor","-"))</f>
        <v>-</v>
      </c>
      <c r="R347" s="26">
        <f>IF($G347&lt;&gt;0,$G347,IF($H347&lt;&gt;0,$H347/0.75,0))</f>
        <v>0</v>
      </c>
      <c r="S347" s="32" t="b">
        <f>ISNUMBER(R347)</f>
        <v>1</v>
      </c>
      <c r="T347" s="32"/>
    </row>
    <row r="348" spans="1:20" x14ac:dyDescent="0.3">
      <c r="A348" s="9">
        <v>347</v>
      </c>
      <c r="B348" s="10">
        <v>44896.50068287037</v>
      </c>
      <c r="C348" s="11" t="s">
        <v>358</v>
      </c>
      <c r="D348" s="11" t="str">
        <f>IF(ISNUMBER(SEARCH("OSBC", C348)), "GOVT", "RETAIL")</f>
        <v>GOVT</v>
      </c>
      <c r="E348" s="12">
        <v>250150.95</v>
      </c>
      <c r="F348" s="12">
        <v>100000</v>
      </c>
      <c r="G348" s="11">
        <v>0</v>
      </c>
      <c r="H348" s="11">
        <v>0</v>
      </c>
      <c r="I348" s="12">
        <v>0</v>
      </c>
      <c r="J348" s="12">
        <v>0</v>
      </c>
      <c r="K348" s="12">
        <v>0</v>
      </c>
      <c r="L348" s="12">
        <v>0</v>
      </c>
      <c r="M348" s="13">
        <v>350150.95</v>
      </c>
      <c r="N348">
        <f>YEAR(B348)</f>
        <v>2022</v>
      </c>
      <c r="O348" s="24">
        <f>IFERROR(J348/$I348,0)</f>
        <v>0</v>
      </c>
      <c r="P348" s="24">
        <f>IFERROR(K348/$I348,0)</f>
        <v>0</v>
      </c>
      <c r="Q348" s="24" t="str">
        <f>IF($G348&lt;&gt;0,"Beer",IF($H348&lt;&gt;0,"Liquor","-"))</f>
        <v>-</v>
      </c>
      <c r="R348" s="26">
        <f>IF($G348&lt;&gt;0,$G348,IF($H348&lt;&gt;0,$H348/0.75,0))</f>
        <v>0</v>
      </c>
      <c r="S348" s="32" t="b">
        <f>ISNUMBER(R348)</f>
        <v>1</v>
      </c>
      <c r="T348" s="32"/>
    </row>
    <row r="349" spans="1:20" x14ac:dyDescent="0.3">
      <c r="A349" s="9">
        <v>348</v>
      </c>
      <c r="B349" s="10">
        <v>44897.486608796295</v>
      </c>
      <c r="C349" s="11" t="s">
        <v>359</v>
      </c>
      <c r="D349" s="11" t="str">
        <f>IF(ISNUMBER(SEARCH("OSBC", C349)), "GOVT", "RETAIL")</f>
        <v>RETAIL</v>
      </c>
      <c r="E349" s="12">
        <v>350150.95</v>
      </c>
      <c r="F349" s="12">
        <v>0</v>
      </c>
      <c r="G349" s="11">
        <v>0</v>
      </c>
      <c r="H349" s="11">
        <v>301.19</v>
      </c>
      <c r="I349" s="12">
        <v>255614.9</v>
      </c>
      <c r="J349" s="12">
        <v>89465.21</v>
      </c>
      <c r="K349" s="12">
        <v>3451</v>
      </c>
      <c r="L349" s="12">
        <v>348531.11</v>
      </c>
      <c r="M349" s="13">
        <v>1619.84</v>
      </c>
      <c r="N349">
        <f>YEAR(B349)</f>
        <v>2022</v>
      </c>
      <c r="O349" s="24">
        <f>IFERROR(J349/$I349,0)</f>
        <v>0.34999998043932495</v>
      </c>
      <c r="P349" s="24">
        <f>IFERROR(K349/$I349,0)</f>
        <v>1.3500777928047231E-2</v>
      </c>
      <c r="Q349" s="24" t="str">
        <f>IF($G349&lt;&gt;0,"Beer",IF($H349&lt;&gt;0,"Liquor","-"))</f>
        <v>Liquor</v>
      </c>
      <c r="R349" s="26">
        <f>IF($G349&lt;&gt;0,$G349,IF($H349&lt;&gt;0,$H349/0.75,0))</f>
        <v>401.58666666666664</v>
      </c>
      <c r="S349" s="32" t="b">
        <f>ISNUMBER(R349)</f>
        <v>1</v>
      </c>
      <c r="T349" s="32"/>
    </row>
    <row r="350" spans="1:20" x14ac:dyDescent="0.3">
      <c r="A350" s="9">
        <v>349</v>
      </c>
      <c r="B350" s="10">
        <v>44901.471400462964</v>
      </c>
      <c r="C350" s="11" t="s">
        <v>360</v>
      </c>
      <c r="D350" s="11" t="str">
        <f>IF(ISNUMBER(SEARCH("OSBC", C350)), "GOVT", "RETAIL")</f>
        <v>GOVT</v>
      </c>
      <c r="E350" s="12">
        <v>1619.84</v>
      </c>
      <c r="F350" s="12">
        <v>275000</v>
      </c>
      <c r="G350" s="11">
        <v>0</v>
      </c>
      <c r="H350" s="11">
        <v>0</v>
      </c>
      <c r="I350" s="12">
        <v>0</v>
      </c>
      <c r="J350" s="12">
        <v>0</v>
      </c>
      <c r="K350" s="12">
        <v>0</v>
      </c>
      <c r="L350" s="12">
        <v>0</v>
      </c>
      <c r="M350" s="13">
        <v>276619.84000000003</v>
      </c>
      <c r="N350">
        <f>YEAR(B350)</f>
        <v>2022</v>
      </c>
      <c r="O350" s="24">
        <f>IFERROR(J350/$I350,0)</f>
        <v>0</v>
      </c>
      <c r="P350" s="24">
        <f>IFERROR(K350/$I350,0)</f>
        <v>0</v>
      </c>
      <c r="Q350" s="24" t="str">
        <f>IF($G350&lt;&gt;0,"Beer",IF($H350&lt;&gt;0,"Liquor","-"))</f>
        <v>-</v>
      </c>
      <c r="R350" s="26">
        <f>IF($G350&lt;&gt;0,$G350,IF($H350&lt;&gt;0,$H350/0.75,0))</f>
        <v>0</v>
      </c>
      <c r="S350" s="32" t="b">
        <f>ISNUMBER(R350)</f>
        <v>1</v>
      </c>
      <c r="T350" s="32"/>
    </row>
    <row r="351" spans="1:20" x14ac:dyDescent="0.3">
      <c r="A351" s="9">
        <v>350</v>
      </c>
      <c r="B351" s="10">
        <v>44901.632418981484</v>
      </c>
      <c r="C351" s="11" t="s">
        <v>361</v>
      </c>
      <c r="D351" s="11" t="str">
        <f>IF(ISNUMBER(SEARCH("OSBC", C351)), "GOVT", "RETAIL")</f>
        <v>RETAIL</v>
      </c>
      <c r="E351" s="12">
        <v>276619.84000000003</v>
      </c>
      <c r="F351" s="12">
        <v>0</v>
      </c>
      <c r="G351" s="11">
        <v>0</v>
      </c>
      <c r="H351" s="11">
        <v>159.55000000000001</v>
      </c>
      <c r="I351" s="12">
        <v>147381</v>
      </c>
      <c r="J351" s="12">
        <v>51583.35</v>
      </c>
      <c r="K351" s="12">
        <v>1990</v>
      </c>
      <c r="L351" s="12">
        <v>200954.35</v>
      </c>
      <c r="M351" s="13">
        <v>75665.490000000005</v>
      </c>
      <c r="N351">
        <f>YEAR(B351)</f>
        <v>2022</v>
      </c>
      <c r="O351" s="24">
        <f>IFERROR(J351/$I351,0)</f>
        <v>0.35</v>
      </c>
      <c r="P351" s="24">
        <f>IFERROR(K351/$I351,0)</f>
        <v>1.3502418900672407E-2</v>
      </c>
      <c r="Q351" s="24" t="str">
        <f>IF($G351&lt;&gt;0,"Beer",IF($H351&lt;&gt;0,"Liquor","-"))</f>
        <v>Liquor</v>
      </c>
      <c r="R351" s="26">
        <f>IF($G351&lt;&gt;0,$G351,IF($H351&lt;&gt;0,$H351/0.75,0))</f>
        <v>212.73333333333335</v>
      </c>
      <c r="S351" s="32" t="b">
        <f>ISNUMBER(R351)</f>
        <v>1</v>
      </c>
      <c r="T351" s="32"/>
    </row>
    <row r="352" spans="1:20" x14ac:dyDescent="0.3">
      <c r="A352" s="9">
        <v>351</v>
      </c>
      <c r="B352" s="10">
        <v>44901.633935185186</v>
      </c>
      <c r="C352" s="11" t="s">
        <v>362</v>
      </c>
      <c r="D352" s="11" t="str">
        <f>IF(ISNUMBER(SEARCH("OSBC", C352)), "GOVT", "RETAIL")</f>
        <v>RETAIL</v>
      </c>
      <c r="E352" s="12">
        <v>75665.490000000005</v>
      </c>
      <c r="F352" s="12">
        <v>0</v>
      </c>
      <c r="G352" s="11">
        <v>334.2</v>
      </c>
      <c r="H352" s="11">
        <v>0</v>
      </c>
      <c r="I352" s="12">
        <v>55317.51</v>
      </c>
      <c r="J352" s="12">
        <v>19361.13</v>
      </c>
      <c r="K352" s="12">
        <v>747</v>
      </c>
      <c r="L352" s="12">
        <v>75425.64</v>
      </c>
      <c r="M352" s="13">
        <v>239.85</v>
      </c>
      <c r="N352">
        <f>YEAR(B352)</f>
        <v>2022</v>
      </c>
      <c r="O352" s="24">
        <f>IFERROR(J352/$I352,0)</f>
        <v>0.350000027116188</v>
      </c>
      <c r="P352" s="24">
        <f>IFERROR(K352/$I352,0)</f>
        <v>1.3503861616330886E-2</v>
      </c>
      <c r="Q352" s="24" t="str">
        <f>IF($G352&lt;&gt;0,"Beer",IF($H352&lt;&gt;0,"Liquor","-"))</f>
        <v>Beer</v>
      </c>
      <c r="R352" s="26">
        <f>IF($G352&lt;&gt;0,$G352,IF($H352&lt;&gt;0,$H352/0.75,0))</f>
        <v>334.2</v>
      </c>
      <c r="S352" s="32" t="b">
        <f>ISNUMBER(R352)</f>
        <v>1</v>
      </c>
      <c r="T352" s="32"/>
    </row>
    <row r="353" spans="1:20" x14ac:dyDescent="0.3">
      <c r="A353" s="9">
        <v>352</v>
      </c>
      <c r="B353" s="10">
        <v>44914.474826388891</v>
      </c>
      <c r="C353" s="11" t="s">
        <v>363</v>
      </c>
      <c r="D353" s="11" t="str">
        <f>IF(ISNUMBER(SEARCH("OSBC", C353)), "GOVT", "RETAIL")</f>
        <v>GOVT</v>
      </c>
      <c r="E353" s="12">
        <v>239.85</v>
      </c>
      <c r="F353" s="12">
        <v>499000</v>
      </c>
      <c r="G353" s="11">
        <v>0</v>
      </c>
      <c r="H353" s="11">
        <v>0</v>
      </c>
      <c r="I353" s="12">
        <v>0</v>
      </c>
      <c r="J353" s="12">
        <v>0</v>
      </c>
      <c r="K353" s="12">
        <v>0</v>
      </c>
      <c r="L353" s="12">
        <v>0</v>
      </c>
      <c r="M353" s="13">
        <v>499239.85</v>
      </c>
      <c r="N353">
        <f>YEAR(B353)</f>
        <v>2022</v>
      </c>
      <c r="O353" s="24">
        <f>IFERROR(J353/$I353,0)</f>
        <v>0</v>
      </c>
      <c r="P353" s="24">
        <f>IFERROR(K353/$I353,0)</f>
        <v>0</v>
      </c>
      <c r="Q353" s="24" t="str">
        <f>IF($G353&lt;&gt;0,"Beer",IF($H353&lt;&gt;0,"Liquor","-"))</f>
        <v>-</v>
      </c>
      <c r="R353" s="26">
        <f>IF($G353&lt;&gt;0,$G353,IF($H353&lt;&gt;0,$H353/0.75,0))</f>
        <v>0</v>
      </c>
      <c r="S353" s="32" t="b">
        <f>ISNUMBER(R353)</f>
        <v>1</v>
      </c>
      <c r="T353" s="32"/>
    </row>
    <row r="354" spans="1:20" x14ac:dyDescent="0.3">
      <c r="A354" s="9">
        <v>353</v>
      </c>
      <c r="B354" s="10">
        <v>44914.768194444441</v>
      </c>
      <c r="C354" s="11" t="s">
        <v>364</v>
      </c>
      <c r="D354" s="11" t="str">
        <f>IF(ISNUMBER(SEARCH("OSBC", C354)), "GOVT", "RETAIL")</f>
        <v>RETAIL</v>
      </c>
      <c r="E354" s="12">
        <v>499239.85</v>
      </c>
      <c r="F354" s="12">
        <v>0</v>
      </c>
      <c r="G354" s="11">
        <v>286.8</v>
      </c>
      <c r="H354" s="11">
        <v>0</v>
      </c>
      <c r="I354" s="12">
        <v>47301.62</v>
      </c>
      <c r="J354" s="12">
        <v>16555.57</v>
      </c>
      <c r="K354" s="12">
        <v>639</v>
      </c>
      <c r="L354" s="12">
        <v>64496.19</v>
      </c>
      <c r="M354" s="13">
        <v>434743.66</v>
      </c>
      <c r="N354">
        <f>YEAR(B354)</f>
        <v>2022</v>
      </c>
      <c r="O354" s="24">
        <f>IFERROR(J354/$I354,0)</f>
        <v>0.3500000634227749</v>
      </c>
      <c r="P354" s="24">
        <f>IFERROR(K354/$I354,0)</f>
        <v>1.3509051064213021E-2</v>
      </c>
      <c r="Q354" s="24" t="str">
        <f>IF($G354&lt;&gt;0,"Beer",IF($H354&lt;&gt;0,"Liquor","-"))</f>
        <v>Beer</v>
      </c>
      <c r="R354" s="26">
        <f>IF($G354&lt;&gt;0,$G354,IF($H354&lt;&gt;0,$H354/0.75,0))</f>
        <v>286.8</v>
      </c>
      <c r="S354" s="32" t="b">
        <f>ISNUMBER(R354)</f>
        <v>1</v>
      </c>
      <c r="T354" s="32"/>
    </row>
    <row r="355" spans="1:20" x14ac:dyDescent="0.3">
      <c r="A355" s="9">
        <v>354</v>
      </c>
      <c r="B355" s="10">
        <v>44914.77716435185</v>
      </c>
      <c r="C355" s="11" t="s">
        <v>365</v>
      </c>
      <c r="D355" s="11" t="str">
        <f>IF(ISNUMBER(SEARCH("OSBC", C355)), "GOVT", "RETAIL")</f>
        <v>RETAIL</v>
      </c>
      <c r="E355" s="12">
        <v>434743.66</v>
      </c>
      <c r="F355" s="12">
        <v>0</v>
      </c>
      <c r="G355" s="11">
        <v>0</v>
      </c>
      <c r="H355" s="11">
        <v>338.28</v>
      </c>
      <c r="I355" s="12">
        <v>316224.2</v>
      </c>
      <c r="J355" s="12">
        <v>110678.46</v>
      </c>
      <c r="K355" s="12">
        <v>4269</v>
      </c>
      <c r="L355" s="12">
        <v>431171.66</v>
      </c>
      <c r="M355" s="13">
        <v>3572</v>
      </c>
      <c r="N355">
        <f>YEAR(B355)</f>
        <v>2022</v>
      </c>
      <c r="O355" s="24">
        <f>IFERROR(J355/$I355,0)</f>
        <v>0.34999996837686681</v>
      </c>
      <c r="P355" s="24">
        <f>IFERROR(K355/$I355,0)</f>
        <v>1.3499915566234335E-2</v>
      </c>
      <c r="Q355" s="24" t="str">
        <f>IF($G355&lt;&gt;0,"Beer",IF($H355&lt;&gt;0,"Liquor","-"))</f>
        <v>Liquor</v>
      </c>
      <c r="R355" s="26">
        <f>IF($G355&lt;&gt;0,$G355,IF($H355&lt;&gt;0,$H355/0.75,0))</f>
        <v>451.03999999999996</v>
      </c>
      <c r="S355" s="32" t="b">
        <f>ISNUMBER(R355)</f>
        <v>1</v>
      </c>
      <c r="T355" s="32"/>
    </row>
    <row r="356" spans="1:20" x14ac:dyDescent="0.3">
      <c r="A356" s="9">
        <v>355</v>
      </c>
      <c r="B356" s="10">
        <v>44924.478773148148</v>
      </c>
      <c r="C356" s="11" t="s">
        <v>366</v>
      </c>
      <c r="D356" s="11" t="str">
        <f>IF(ISNUMBER(SEARCH("OSBC", C356)), "GOVT", "RETAIL")</f>
        <v>GOVT</v>
      </c>
      <c r="E356" s="12">
        <v>3572</v>
      </c>
      <c r="F356" s="12">
        <v>215000</v>
      </c>
      <c r="G356" s="11">
        <v>0</v>
      </c>
      <c r="H356" s="11">
        <v>0</v>
      </c>
      <c r="I356" s="12">
        <v>0</v>
      </c>
      <c r="J356" s="12">
        <v>0</v>
      </c>
      <c r="K356" s="12">
        <v>0</v>
      </c>
      <c r="L356" s="12">
        <v>0</v>
      </c>
      <c r="M356" s="13">
        <v>218572</v>
      </c>
      <c r="N356">
        <f>YEAR(B356)</f>
        <v>2022</v>
      </c>
      <c r="O356" s="24">
        <f>IFERROR(J356/$I356,0)</f>
        <v>0</v>
      </c>
      <c r="P356" s="24">
        <f>IFERROR(K356/$I356,0)</f>
        <v>0</v>
      </c>
      <c r="Q356" s="24" t="str">
        <f>IF($G356&lt;&gt;0,"Beer",IF($H356&lt;&gt;0,"Liquor","-"))</f>
        <v>-</v>
      </c>
      <c r="R356" s="26">
        <f>IF($G356&lt;&gt;0,$G356,IF($H356&lt;&gt;0,$H356/0.75,0))</f>
        <v>0</v>
      </c>
      <c r="S356" s="32" t="b">
        <f>ISNUMBER(R356)</f>
        <v>1</v>
      </c>
      <c r="T356" s="32"/>
    </row>
    <row r="357" spans="1:20" x14ac:dyDescent="0.3">
      <c r="A357" s="9">
        <v>356</v>
      </c>
      <c r="B357" s="10">
        <v>44924.721238425926</v>
      </c>
      <c r="C357" s="11" t="s">
        <v>367</v>
      </c>
      <c r="D357" s="11" t="str">
        <f>IF(ISNUMBER(SEARCH("OSBC", C357)), "GOVT", "RETAIL")</f>
        <v>RETAIL</v>
      </c>
      <c r="E357" s="12">
        <v>218572</v>
      </c>
      <c r="F357" s="12">
        <v>0</v>
      </c>
      <c r="G357" s="11">
        <v>0</v>
      </c>
      <c r="H357" s="11">
        <v>167.97</v>
      </c>
      <c r="I357" s="12">
        <v>160238.17000000001</v>
      </c>
      <c r="J357" s="12">
        <v>56083.360000000001</v>
      </c>
      <c r="K357" s="12">
        <v>2163</v>
      </c>
      <c r="L357" s="12">
        <v>218484.53</v>
      </c>
      <c r="M357" s="13">
        <v>87.47</v>
      </c>
      <c r="N357">
        <f>YEAR(B357)</f>
        <v>2022</v>
      </c>
      <c r="O357" s="24">
        <f>IFERROR(J357/$I357,0)</f>
        <v>0.35000000312035512</v>
      </c>
      <c r="P357" s="24">
        <f>IFERROR(K357/$I357,0)</f>
        <v>1.3498656406273235E-2</v>
      </c>
      <c r="Q357" s="24" t="str">
        <f>IF($G357&lt;&gt;0,"Beer",IF($H357&lt;&gt;0,"Liquor","-"))</f>
        <v>Liquor</v>
      </c>
      <c r="R357" s="26">
        <f>IF($G357&lt;&gt;0,$G357,IF($H357&lt;&gt;0,$H357/0.75,0))</f>
        <v>223.96</v>
      </c>
      <c r="S357" s="32" t="b">
        <f>ISNUMBER(R357)</f>
        <v>1</v>
      </c>
      <c r="T357" s="32"/>
    </row>
    <row r="358" spans="1:20" x14ac:dyDescent="0.3">
      <c r="A358" s="9">
        <v>357</v>
      </c>
      <c r="B358" s="10">
        <v>44929.468819444446</v>
      </c>
      <c r="C358" s="11" t="s">
        <v>368</v>
      </c>
      <c r="D358" s="11" t="str">
        <f>IF(ISNUMBER(SEARCH("OSBC", C358)), "GOVT", "RETAIL")</f>
        <v>GOVT</v>
      </c>
      <c r="E358" s="12">
        <v>87.47</v>
      </c>
      <c r="F358" s="12">
        <v>300000</v>
      </c>
      <c r="G358" s="11">
        <v>0</v>
      </c>
      <c r="H358" s="11">
        <v>0</v>
      </c>
      <c r="I358" s="12">
        <v>0</v>
      </c>
      <c r="J358" s="12">
        <v>0</v>
      </c>
      <c r="K358" s="12">
        <v>0</v>
      </c>
      <c r="L358" s="12">
        <v>0</v>
      </c>
      <c r="M358" s="13">
        <v>300087.46999999997</v>
      </c>
      <c r="N358">
        <f>YEAR(B358)</f>
        <v>2023</v>
      </c>
      <c r="O358" s="24">
        <f>IFERROR(J358/$I358,0)</f>
        <v>0</v>
      </c>
      <c r="P358" s="24">
        <f>IFERROR(K358/$I358,0)</f>
        <v>0</v>
      </c>
      <c r="Q358" s="24" t="str">
        <f>IF($G358&lt;&gt;0,"Beer",IF($H358&lt;&gt;0,"Liquor","-"))</f>
        <v>-</v>
      </c>
      <c r="R358" s="26">
        <f>IF($G358&lt;&gt;0,$G358,IF($H358&lt;&gt;0,$H358/0.75,0))</f>
        <v>0</v>
      </c>
      <c r="S358" s="32" t="b">
        <f>ISNUMBER(R358)</f>
        <v>1</v>
      </c>
      <c r="T358" s="32"/>
    </row>
    <row r="359" spans="1:20" x14ac:dyDescent="0.3">
      <c r="A359" s="9">
        <v>358</v>
      </c>
      <c r="B359" s="10">
        <v>44929.652650462966</v>
      </c>
      <c r="C359" s="11" t="s">
        <v>369</v>
      </c>
      <c r="D359" s="11" t="str">
        <f>IF(ISNUMBER(SEARCH("OSBC", C359)), "GOVT", "RETAIL")</f>
        <v>RETAIL</v>
      </c>
      <c r="E359" s="12">
        <v>300087.46999999997</v>
      </c>
      <c r="F359" s="12">
        <v>0</v>
      </c>
      <c r="G359" s="11">
        <v>0</v>
      </c>
      <c r="H359" s="11">
        <v>256.76</v>
      </c>
      <c r="I359" s="12">
        <v>219321.01</v>
      </c>
      <c r="J359" s="12">
        <v>76762.36</v>
      </c>
      <c r="K359" s="12">
        <v>2961</v>
      </c>
      <c r="L359" s="12">
        <v>299044.37</v>
      </c>
      <c r="M359" s="13">
        <v>1043.0999999999999</v>
      </c>
      <c r="N359">
        <f>YEAR(B359)</f>
        <v>2023</v>
      </c>
      <c r="O359" s="24">
        <f>IFERROR(J359/$I359,0)</f>
        <v>0.3500000296369235</v>
      </c>
      <c r="P359" s="24">
        <f>IFERROR(K359/$I359,0)</f>
        <v>1.3500758545658713E-2</v>
      </c>
      <c r="Q359" s="24" t="str">
        <f>IF($G359&lt;&gt;0,"Beer",IF($H359&lt;&gt;0,"Liquor","-"))</f>
        <v>Liquor</v>
      </c>
      <c r="R359" s="26">
        <f>IF($G359&lt;&gt;0,$G359,IF($H359&lt;&gt;0,$H359/0.75,0))</f>
        <v>342.34666666666664</v>
      </c>
      <c r="S359" s="32" t="b">
        <f>ISNUMBER(R359)</f>
        <v>1</v>
      </c>
      <c r="T359" s="32"/>
    </row>
    <row r="360" spans="1:20" x14ac:dyDescent="0.3">
      <c r="A360" s="9">
        <v>359</v>
      </c>
      <c r="B360" s="10">
        <v>44944.483402777776</v>
      </c>
      <c r="C360" s="11" t="s">
        <v>370</v>
      </c>
      <c r="D360" s="11" t="str">
        <f>IF(ISNUMBER(SEARCH("OSBC", C360)), "GOVT", "RETAIL")</f>
        <v>GOVT</v>
      </c>
      <c r="E360" s="12">
        <v>1043.0999999999999</v>
      </c>
      <c r="F360" s="12">
        <v>190000</v>
      </c>
      <c r="G360" s="11">
        <v>0</v>
      </c>
      <c r="H360" s="11">
        <v>0</v>
      </c>
      <c r="I360" s="12">
        <v>0</v>
      </c>
      <c r="J360" s="12">
        <v>0</v>
      </c>
      <c r="K360" s="12">
        <v>0</v>
      </c>
      <c r="L360" s="12">
        <v>0</v>
      </c>
      <c r="M360" s="13">
        <v>191043.1</v>
      </c>
      <c r="N360">
        <f>YEAR(B360)</f>
        <v>2023</v>
      </c>
      <c r="O360" s="24">
        <f>IFERROR(J360/$I360,0)</f>
        <v>0</v>
      </c>
      <c r="P360" s="24">
        <f>IFERROR(K360/$I360,0)</f>
        <v>0</v>
      </c>
      <c r="Q360" s="24" t="str">
        <f>IF($G360&lt;&gt;0,"Beer",IF($H360&lt;&gt;0,"Liquor","-"))</f>
        <v>-</v>
      </c>
      <c r="R360" s="26">
        <f>IF($G360&lt;&gt;0,$G360,IF($H360&lt;&gt;0,$H360/0.75,0))</f>
        <v>0</v>
      </c>
      <c r="S360" s="32" t="b">
        <f>ISNUMBER(R360)</f>
        <v>1</v>
      </c>
      <c r="T360" s="32"/>
    </row>
    <row r="361" spans="1:20" x14ac:dyDescent="0.3">
      <c r="A361" s="9">
        <v>360</v>
      </c>
      <c r="B361" s="10">
        <v>44944.486111111109</v>
      </c>
      <c r="C361" s="11" t="s">
        <v>371</v>
      </c>
      <c r="D361" s="11" t="str">
        <f>IF(ISNUMBER(SEARCH("OSBC", C361)), "GOVT", "RETAIL")</f>
        <v>GOVT</v>
      </c>
      <c r="E361" s="12">
        <v>191043.1</v>
      </c>
      <c r="F361" s="12">
        <v>24000</v>
      </c>
      <c r="G361" s="11">
        <v>0</v>
      </c>
      <c r="H361" s="11">
        <v>0</v>
      </c>
      <c r="I361" s="12">
        <v>0</v>
      </c>
      <c r="J361" s="12">
        <v>0</v>
      </c>
      <c r="K361" s="12">
        <v>0</v>
      </c>
      <c r="L361" s="12">
        <v>0</v>
      </c>
      <c r="M361" s="13">
        <v>215043.1</v>
      </c>
      <c r="N361">
        <f>YEAR(B361)</f>
        <v>2023</v>
      </c>
      <c r="O361" s="24">
        <f>IFERROR(J361/$I361,0)</f>
        <v>0</v>
      </c>
      <c r="P361" s="24">
        <f>IFERROR(K361/$I361,0)</f>
        <v>0</v>
      </c>
      <c r="Q361" s="24" t="str">
        <f>IF($G361&lt;&gt;0,"Beer",IF($H361&lt;&gt;0,"Liquor","-"))</f>
        <v>-</v>
      </c>
      <c r="R361" s="26">
        <f>IF($G361&lt;&gt;0,$G361,IF($H361&lt;&gt;0,$H361/0.75,0))</f>
        <v>0</v>
      </c>
      <c r="S361" s="32" t="b">
        <f>ISNUMBER(R361)</f>
        <v>1</v>
      </c>
      <c r="T361" s="32"/>
    </row>
    <row r="362" spans="1:20" x14ac:dyDescent="0.3">
      <c r="A362" s="9">
        <v>361</v>
      </c>
      <c r="B362" s="10">
        <v>44944.669386574074</v>
      </c>
      <c r="C362" s="11" t="s">
        <v>372</v>
      </c>
      <c r="D362" s="11" t="str">
        <f>IF(ISNUMBER(SEARCH("OSBC", C362)), "GOVT", "RETAIL")</f>
        <v>RETAIL</v>
      </c>
      <c r="E362" s="12">
        <v>215043.1</v>
      </c>
      <c r="F362" s="12">
        <v>0</v>
      </c>
      <c r="G362" s="11">
        <v>0</v>
      </c>
      <c r="H362" s="11">
        <v>173.5</v>
      </c>
      <c r="I362" s="12">
        <v>154114.04999999999</v>
      </c>
      <c r="J362" s="12">
        <v>53939.88</v>
      </c>
      <c r="K362" s="12">
        <v>2081</v>
      </c>
      <c r="L362" s="12">
        <v>210134.93</v>
      </c>
      <c r="M362" s="13">
        <v>4908.17</v>
      </c>
      <c r="N362">
        <f>YEAR(B362)</f>
        <v>2023</v>
      </c>
      <c r="O362" s="24">
        <f>IFERROR(J362/$I362,0)</f>
        <v>0.34999975667371014</v>
      </c>
      <c r="P362" s="24">
        <f>IFERROR(K362/$I362,0)</f>
        <v>1.3502986911316652E-2</v>
      </c>
      <c r="Q362" s="24" t="str">
        <f>IF($G362&lt;&gt;0,"Beer",IF($H362&lt;&gt;0,"Liquor","-"))</f>
        <v>Liquor</v>
      </c>
      <c r="R362" s="26">
        <f>IF($G362&lt;&gt;0,$G362,IF($H362&lt;&gt;0,$H362/0.75,0))</f>
        <v>231.33333333333334</v>
      </c>
      <c r="S362" s="32" t="b">
        <f>ISNUMBER(R362)</f>
        <v>1</v>
      </c>
      <c r="T362" s="32"/>
    </row>
    <row r="363" spans="1:20" x14ac:dyDescent="0.3">
      <c r="A363" s="9">
        <v>362</v>
      </c>
      <c r="B363" s="10">
        <v>44950.497164351851</v>
      </c>
      <c r="C363" s="11" t="s">
        <v>373</v>
      </c>
      <c r="D363" s="11" t="str">
        <f>IF(ISNUMBER(SEARCH("OSBC", C363)), "GOVT", "RETAIL")</f>
        <v>GOVT</v>
      </c>
      <c r="E363" s="12">
        <v>4908.17</v>
      </c>
      <c r="F363" s="12">
        <v>225000</v>
      </c>
      <c r="G363" s="11">
        <v>0</v>
      </c>
      <c r="H363" s="11">
        <v>0</v>
      </c>
      <c r="I363" s="12">
        <v>0</v>
      </c>
      <c r="J363" s="12">
        <v>0</v>
      </c>
      <c r="K363" s="12">
        <v>0</v>
      </c>
      <c r="L363" s="12">
        <v>0</v>
      </c>
      <c r="M363" s="13">
        <v>229908.17</v>
      </c>
      <c r="N363">
        <f>YEAR(B363)</f>
        <v>2023</v>
      </c>
      <c r="O363" s="24">
        <f>IFERROR(J363/$I363,0)</f>
        <v>0</v>
      </c>
      <c r="P363" s="24">
        <f>IFERROR(K363/$I363,0)</f>
        <v>0</v>
      </c>
      <c r="Q363" s="24" t="str">
        <f>IF($G363&lt;&gt;0,"Beer",IF($H363&lt;&gt;0,"Liquor","-"))</f>
        <v>-</v>
      </c>
      <c r="R363" s="26">
        <f>IF($G363&lt;&gt;0,$G363,IF($H363&lt;&gt;0,$H363/0.75,0))</f>
        <v>0</v>
      </c>
      <c r="S363" s="32" t="b">
        <f>ISNUMBER(R363)</f>
        <v>1</v>
      </c>
      <c r="T363" s="32"/>
    </row>
    <row r="364" spans="1:20" x14ac:dyDescent="0.3">
      <c r="A364" s="9">
        <v>363</v>
      </c>
      <c r="B364" s="10">
        <v>44951.443981481483</v>
      </c>
      <c r="C364" s="11" t="s">
        <v>374</v>
      </c>
      <c r="D364" s="11" t="str">
        <f>IF(ISNUMBER(SEARCH("OSBC", C364)), "GOVT", "RETAIL")</f>
        <v>GOVT</v>
      </c>
      <c r="E364" s="12">
        <v>229908.17</v>
      </c>
      <c r="F364" s="12">
        <v>100000</v>
      </c>
      <c r="G364" s="11">
        <v>0</v>
      </c>
      <c r="H364" s="11">
        <v>0</v>
      </c>
      <c r="I364" s="12">
        <v>0</v>
      </c>
      <c r="J364" s="12">
        <v>0</v>
      </c>
      <c r="K364" s="12">
        <v>0</v>
      </c>
      <c r="L364" s="12">
        <v>0</v>
      </c>
      <c r="M364" s="13">
        <v>329908.17</v>
      </c>
      <c r="N364">
        <f>YEAR(B364)</f>
        <v>2023</v>
      </c>
      <c r="O364" s="24">
        <f>IFERROR(J364/$I364,0)</f>
        <v>0</v>
      </c>
      <c r="P364" s="24">
        <f>IFERROR(K364/$I364,0)</f>
        <v>0</v>
      </c>
      <c r="Q364" s="24" t="str">
        <f>IF($G364&lt;&gt;0,"Beer",IF($H364&lt;&gt;0,"Liquor","-"))</f>
        <v>-</v>
      </c>
      <c r="R364" s="26">
        <f>IF($G364&lt;&gt;0,$G364,IF($H364&lt;&gt;0,$H364/0.75,0))</f>
        <v>0</v>
      </c>
      <c r="S364" s="32" t="b">
        <f>ISNUMBER(R364)</f>
        <v>1</v>
      </c>
      <c r="T364" s="32"/>
    </row>
    <row r="365" spans="1:20" x14ac:dyDescent="0.3">
      <c r="A365" s="9">
        <v>364</v>
      </c>
      <c r="B365" s="10">
        <v>44951.447847222225</v>
      </c>
      <c r="C365" s="11" t="s">
        <v>375</v>
      </c>
      <c r="D365" s="11" t="str">
        <f>IF(ISNUMBER(SEARCH("OSBC", C365)), "GOVT", "RETAIL")</f>
        <v>GOVT</v>
      </c>
      <c r="E365" s="12">
        <v>329908.17</v>
      </c>
      <c r="F365" s="12">
        <v>200000</v>
      </c>
      <c r="G365" s="11">
        <v>0</v>
      </c>
      <c r="H365" s="11">
        <v>0</v>
      </c>
      <c r="I365" s="12">
        <v>0</v>
      </c>
      <c r="J365" s="12">
        <v>0</v>
      </c>
      <c r="K365" s="12">
        <v>0</v>
      </c>
      <c r="L365" s="12">
        <v>0</v>
      </c>
      <c r="M365" s="13">
        <v>529908.17000000004</v>
      </c>
      <c r="N365">
        <f>YEAR(B365)</f>
        <v>2023</v>
      </c>
      <c r="O365" s="24">
        <f>IFERROR(J365/$I365,0)</f>
        <v>0</v>
      </c>
      <c r="P365" s="24">
        <f>IFERROR(K365/$I365,0)</f>
        <v>0</v>
      </c>
      <c r="Q365" s="24" t="str">
        <f>IF($G365&lt;&gt;0,"Beer",IF($H365&lt;&gt;0,"Liquor","-"))</f>
        <v>-</v>
      </c>
      <c r="R365" s="26">
        <f>IF($G365&lt;&gt;0,$G365,IF($H365&lt;&gt;0,$H365/0.75,0))</f>
        <v>0</v>
      </c>
      <c r="S365" s="32" t="b">
        <f>ISNUMBER(R365)</f>
        <v>1</v>
      </c>
      <c r="T365" s="32"/>
    </row>
    <row r="366" spans="1:20" x14ac:dyDescent="0.3">
      <c r="A366" s="9">
        <v>365</v>
      </c>
      <c r="B366" s="10">
        <v>44951.552974537037</v>
      </c>
      <c r="C366" s="11" t="s">
        <v>376</v>
      </c>
      <c r="D366" s="11" t="str">
        <f>IF(ISNUMBER(SEARCH("OSBC", C366)), "GOVT", "RETAIL")</f>
        <v>RETAIL</v>
      </c>
      <c r="E366" s="12">
        <v>529908.17000000004</v>
      </c>
      <c r="F366" s="12">
        <v>0</v>
      </c>
      <c r="G366" s="11">
        <v>0</v>
      </c>
      <c r="H366" s="11">
        <v>192.29</v>
      </c>
      <c r="I366" s="12">
        <v>168322.85</v>
      </c>
      <c r="J366" s="12">
        <v>58912.99</v>
      </c>
      <c r="K366" s="12">
        <v>2272</v>
      </c>
      <c r="L366" s="12">
        <v>229507.84</v>
      </c>
      <c r="M366" s="13">
        <v>300400.33</v>
      </c>
      <c r="N366">
        <f>YEAR(B366)</f>
        <v>2023</v>
      </c>
      <c r="O366" s="24">
        <f>IFERROR(J366/$I366,0)</f>
        <v>0.34999995544276963</v>
      </c>
      <c r="P366" s="24">
        <f>IFERROR(K366/$I366,0)</f>
        <v>1.3497870312913546E-2</v>
      </c>
      <c r="Q366" s="24" t="str">
        <f>IF($G366&lt;&gt;0,"Beer",IF($H366&lt;&gt;0,"Liquor","-"))</f>
        <v>Liquor</v>
      </c>
      <c r="R366" s="26">
        <f>IF($G366&lt;&gt;0,$G366,IF($H366&lt;&gt;0,$H366/0.75,0))</f>
        <v>256.38666666666666</v>
      </c>
      <c r="S366" s="32" t="b">
        <f>ISNUMBER(R366)</f>
        <v>1</v>
      </c>
      <c r="T366" s="32"/>
    </row>
    <row r="367" spans="1:20" x14ac:dyDescent="0.3">
      <c r="A367" s="9">
        <v>366</v>
      </c>
      <c r="B367" s="10">
        <v>44951.556030092594</v>
      </c>
      <c r="C367" s="11" t="s">
        <v>377</v>
      </c>
      <c r="D367" s="11" t="str">
        <f>IF(ISNUMBER(SEARCH("OSBC", C367)), "GOVT", "RETAIL")</f>
        <v>RETAIL</v>
      </c>
      <c r="E367" s="12">
        <v>300400.33</v>
      </c>
      <c r="F367" s="12">
        <v>0</v>
      </c>
      <c r="G367" s="11">
        <v>606</v>
      </c>
      <c r="H367" s="11">
        <v>0</v>
      </c>
      <c r="I367" s="12">
        <v>100476.24</v>
      </c>
      <c r="J367" s="12">
        <v>35166.68</v>
      </c>
      <c r="K367" s="12">
        <v>1356</v>
      </c>
      <c r="L367" s="12">
        <v>136998.92000000001</v>
      </c>
      <c r="M367" s="13">
        <v>163401.41</v>
      </c>
      <c r="N367">
        <f>YEAR(B367)</f>
        <v>2023</v>
      </c>
      <c r="O367" s="24">
        <f>IFERROR(J367/$I367,0)</f>
        <v>0.34999996018959306</v>
      </c>
      <c r="P367" s="24">
        <f>IFERROR(K367/$I367,0)</f>
        <v>1.349572794523362E-2</v>
      </c>
      <c r="Q367" s="24" t="str">
        <f>IF($G367&lt;&gt;0,"Beer",IF($H367&lt;&gt;0,"Liquor","-"))</f>
        <v>Beer</v>
      </c>
      <c r="R367" s="26">
        <f>IF($G367&lt;&gt;0,$G367,IF($H367&lt;&gt;0,$H367/0.75,0))</f>
        <v>606</v>
      </c>
      <c r="S367" s="32" t="b">
        <f>ISNUMBER(R367)</f>
        <v>1</v>
      </c>
      <c r="T367" s="32"/>
    </row>
    <row r="368" spans="1:20" x14ac:dyDescent="0.3">
      <c r="A368" s="9">
        <v>367</v>
      </c>
      <c r="B368" s="10">
        <v>44956.488275462965</v>
      </c>
      <c r="C368" s="11" t="s">
        <v>378</v>
      </c>
      <c r="D368" s="11" t="str">
        <f>IF(ISNUMBER(SEARCH("OSBC", C368)), "GOVT", "RETAIL")</f>
        <v>GOVT</v>
      </c>
      <c r="E368" s="12">
        <v>163401.41</v>
      </c>
      <c r="F368" s="12">
        <v>100000</v>
      </c>
      <c r="G368" s="11">
        <v>0</v>
      </c>
      <c r="H368" s="11">
        <v>0</v>
      </c>
      <c r="I368" s="12">
        <v>0</v>
      </c>
      <c r="J368" s="12">
        <v>0</v>
      </c>
      <c r="K368" s="12">
        <v>0</v>
      </c>
      <c r="L368" s="12">
        <v>0</v>
      </c>
      <c r="M368" s="13">
        <v>263401.40999999997</v>
      </c>
      <c r="N368">
        <f>YEAR(B368)</f>
        <v>2023</v>
      </c>
      <c r="O368" s="24">
        <f>IFERROR(J368/$I368,0)</f>
        <v>0</v>
      </c>
      <c r="P368" s="24">
        <f>IFERROR(K368/$I368,0)</f>
        <v>0</v>
      </c>
      <c r="Q368" s="24" t="str">
        <f>IF($G368&lt;&gt;0,"Beer",IF($H368&lt;&gt;0,"Liquor","-"))</f>
        <v>-</v>
      </c>
      <c r="R368" s="26">
        <f>IF($G368&lt;&gt;0,$G368,IF($H368&lt;&gt;0,$H368/0.75,0))</f>
        <v>0</v>
      </c>
      <c r="S368" s="32" t="b">
        <f>ISNUMBER(R368)</f>
        <v>1</v>
      </c>
      <c r="T368" s="32"/>
    </row>
    <row r="369" spans="1:20" x14ac:dyDescent="0.3">
      <c r="A369" s="9">
        <v>368</v>
      </c>
      <c r="B369" s="10">
        <v>44956.752025462964</v>
      </c>
      <c r="C369" s="11" t="s">
        <v>379</v>
      </c>
      <c r="D369" s="11" t="str">
        <f>IF(ISNUMBER(SEARCH("OSBC", C369)), "GOVT", "RETAIL")</f>
        <v>RETAIL</v>
      </c>
      <c r="E369" s="12">
        <v>263401.40999999997</v>
      </c>
      <c r="F369" s="12">
        <v>0</v>
      </c>
      <c r="G369" s="11">
        <v>0</v>
      </c>
      <c r="H369" s="11">
        <v>214.56</v>
      </c>
      <c r="I369" s="12">
        <v>191947.19</v>
      </c>
      <c r="J369" s="12">
        <v>67181.47</v>
      </c>
      <c r="K369" s="12">
        <v>2591</v>
      </c>
      <c r="L369" s="12">
        <v>261719.66</v>
      </c>
      <c r="M369" s="13">
        <v>1681.75</v>
      </c>
      <c r="N369">
        <f>YEAR(B369)</f>
        <v>2023</v>
      </c>
      <c r="O369" s="24">
        <f>IFERROR(J369/$I369,0)</f>
        <v>0.3499997577458675</v>
      </c>
      <c r="P369" s="24">
        <f>IFERROR(K369/$I369,0)</f>
        <v>1.3498504458439845E-2</v>
      </c>
      <c r="Q369" s="24" t="str">
        <f>IF($G369&lt;&gt;0,"Beer",IF($H369&lt;&gt;0,"Liquor","-"))</f>
        <v>Liquor</v>
      </c>
      <c r="R369" s="26">
        <f>IF($G369&lt;&gt;0,$G369,IF($H369&lt;&gt;0,$H369/0.75,0))</f>
        <v>286.08</v>
      </c>
      <c r="S369" s="32" t="b">
        <f>ISNUMBER(R369)</f>
        <v>1</v>
      </c>
      <c r="T369" s="32"/>
    </row>
    <row r="370" spans="1:20" x14ac:dyDescent="0.3">
      <c r="A370" s="9">
        <v>369</v>
      </c>
      <c r="B370" s="10">
        <v>44964.479317129626</v>
      </c>
      <c r="C370" s="11" t="s">
        <v>380</v>
      </c>
      <c r="D370" s="11" t="str">
        <f>IF(ISNUMBER(SEARCH("OSBC", C370)), "GOVT", "RETAIL")</f>
        <v>GOVT</v>
      </c>
      <c r="E370" s="12">
        <v>1681.75</v>
      </c>
      <c r="F370" s="12">
        <v>300000</v>
      </c>
      <c r="G370" s="11">
        <v>0</v>
      </c>
      <c r="H370" s="11">
        <v>0</v>
      </c>
      <c r="I370" s="12">
        <v>0</v>
      </c>
      <c r="J370" s="12">
        <v>0</v>
      </c>
      <c r="K370" s="12">
        <v>0</v>
      </c>
      <c r="L370" s="12">
        <v>0</v>
      </c>
      <c r="M370" s="13">
        <v>301681.75</v>
      </c>
      <c r="N370">
        <f>YEAR(B370)</f>
        <v>2023</v>
      </c>
      <c r="O370" s="24">
        <f>IFERROR(J370/$I370,0)</f>
        <v>0</v>
      </c>
      <c r="P370" s="24">
        <f>IFERROR(K370/$I370,0)</f>
        <v>0</v>
      </c>
      <c r="Q370" s="24" t="str">
        <f>IF($G370&lt;&gt;0,"Beer",IF($H370&lt;&gt;0,"Liquor","-"))</f>
        <v>-</v>
      </c>
      <c r="R370" s="26">
        <f>IF($G370&lt;&gt;0,$G370,IF($H370&lt;&gt;0,$H370/0.75,0))</f>
        <v>0</v>
      </c>
      <c r="S370" s="32" t="b">
        <f>ISNUMBER(R370)</f>
        <v>1</v>
      </c>
      <c r="T370" s="32"/>
    </row>
    <row r="371" spans="1:20" x14ac:dyDescent="0.3">
      <c r="A371" s="9">
        <v>370</v>
      </c>
      <c r="B371" s="10">
        <v>44964.632986111108</v>
      </c>
      <c r="C371" s="11" t="s">
        <v>381</v>
      </c>
      <c r="D371" s="11" t="str">
        <f>IF(ISNUMBER(SEARCH("OSBC", C371)), "GOVT", "RETAIL")</f>
        <v>RETAIL</v>
      </c>
      <c r="E371" s="12">
        <v>301681.75</v>
      </c>
      <c r="F371" s="12">
        <v>0</v>
      </c>
      <c r="G371" s="11">
        <v>0</v>
      </c>
      <c r="H371" s="11">
        <v>245.7</v>
      </c>
      <c r="I371" s="12">
        <v>221053.27</v>
      </c>
      <c r="J371" s="12">
        <v>77368.649999999994</v>
      </c>
      <c r="K371" s="12">
        <v>2984</v>
      </c>
      <c r="L371" s="12">
        <v>301405.92</v>
      </c>
      <c r="M371" s="13">
        <v>275.83</v>
      </c>
      <c r="N371">
        <f>YEAR(B371)</f>
        <v>2023</v>
      </c>
      <c r="O371" s="24">
        <f>IFERROR(J371/$I371,0)</f>
        <v>0.3500000248808805</v>
      </c>
      <c r="P371" s="24">
        <f>IFERROR(K371/$I371,0)</f>
        <v>1.3499008632625068E-2</v>
      </c>
      <c r="Q371" s="24" t="str">
        <f>IF($G371&lt;&gt;0,"Beer",IF($H371&lt;&gt;0,"Liquor","-"))</f>
        <v>Liquor</v>
      </c>
      <c r="R371" s="26">
        <f>IF($G371&lt;&gt;0,$G371,IF($H371&lt;&gt;0,$H371/0.75,0))</f>
        <v>327.59999999999997</v>
      </c>
      <c r="S371" s="32" t="b">
        <f>ISNUMBER(R371)</f>
        <v>1</v>
      </c>
      <c r="T371" s="32"/>
    </row>
    <row r="372" spans="1:20" x14ac:dyDescent="0.3">
      <c r="A372" s="9">
        <v>371</v>
      </c>
      <c r="B372" s="10">
        <v>44967.406527777777</v>
      </c>
      <c r="C372" s="11" t="s">
        <v>382</v>
      </c>
      <c r="D372" s="11" t="str">
        <f>IF(ISNUMBER(SEARCH("OSBC", C372)), "GOVT", "RETAIL")</f>
        <v>GOVT</v>
      </c>
      <c r="E372" s="12">
        <v>275.83</v>
      </c>
      <c r="F372" s="12">
        <v>120000</v>
      </c>
      <c r="G372" s="11">
        <v>0</v>
      </c>
      <c r="H372" s="11">
        <v>0</v>
      </c>
      <c r="I372" s="12">
        <v>0</v>
      </c>
      <c r="J372" s="12">
        <v>0</v>
      </c>
      <c r="K372" s="12">
        <v>0</v>
      </c>
      <c r="L372" s="12">
        <v>0</v>
      </c>
      <c r="M372" s="13">
        <v>120275.83</v>
      </c>
      <c r="N372">
        <f>YEAR(B372)</f>
        <v>2023</v>
      </c>
      <c r="O372" s="24">
        <f>IFERROR(J372/$I372,0)</f>
        <v>0</v>
      </c>
      <c r="P372" s="24">
        <f>IFERROR(K372/$I372,0)</f>
        <v>0</v>
      </c>
      <c r="Q372" s="24" t="str">
        <f>IF($G372&lt;&gt;0,"Beer",IF($H372&lt;&gt;0,"Liquor","-"))</f>
        <v>-</v>
      </c>
      <c r="R372" s="26">
        <f>IF($G372&lt;&gt;0,$G372,IF($H372&lt;&gt;0,$H372/0.75,0))</f>
        <v>0</v>
      </c>
      <c r="S372" s="32" t="b">
        <f>ISNUMBER(R372)</f>
        <v>1</v>
      </c>
      <c r="T372" s="32"/>
    </row>
    <row r="373" spans="1:20" x14ac:dyDescent="0.3">
      <c r="A373" s="9">
        <v>372</v>
      </c>
      <c r="B373" s="10">
        <v>44967.495289351849</v>
      </c>
      <c r="C373" s="11" t="s">
        <v>383</v>
      </c>
      <c r="D373" s="11" t="str">
        <f>IF(ISNUMBER(SEARCH("OSBC", C373)), "GOVT", "RETAIL")</f>
        <v>RETAIL</v>
      </c>
      <c r="E373" s="12">
        <v>120275.83</v>
      </c>
      <c r="F373" s="12">
        <v>0</v>
      </c>
      <c r="G373" s="11">
        <v>532.20000000000005</v>
      </c>
      <c r="H373" s="11">
        <v>0</v>
      </c>
      <c r="I373" s="12">
        <v>87222.36</v>
      </c>
      <c r="J373" s="12">
        <v>30527.87</v>
      </c>
      <c r="K373" s="12">
        <v>1178</v>
      </c>
      <c r="L373" s="12">
        <v>118928.23</v>
      </c>
      <c r="M373" s="13">
        <v>1347.6</v>
      </c>
      <c r="N373">
        <f>YEAR(B373)</f>
        <v>2023</v>
      </c>
      <c r="O373" s="24">
        <f>IFERROR(J373/$I373,0)</f>
        <v>0.35000050445780184</v>
      </c>
      <c r="P373" s="24">
        <f>IFERROR(K373/$I373,0)</f>
        <v>1.3505711150214234E-2</v>
      </c>
      <c r="Q373" s="24" t="str">
        <f>IF($G373&lt;&gt;0,"Beer",IF($H373&lt;&gt;0,"Liquor","-"))</f>
        <v>Beer</v>
      </c>
      <c r="R373" s="26">
        <f>IF($G373&lt;&gt;0,$G373,IF($H373&lt;&gt;0,$H373/0.75,0))</f>
        <v>532.20000000000005</v>
      </c>
      <c r="S373" s="32" t="b">
        <f>ISNUMBER(R373)</f>
        <v>1</v>
      </c>
      <c r="T373" s="32"/>
    </row>
    <row r="374" spans="1:20" x14ac:dyDescent="0.3">
      <c r="A374" s="9">
        <v>373</v>
      </c>
      <c r="B374" s="10">
        <v>44973.463703703703</v>
      </c>
      <c r="C374" s="11" t="s">
        <v>384</v>
      </c>
      <c r="D374" s="11" t="str">
        <f>IF(ISNUMBER(SEARCH("OSBC", C374)), "GOVT", "RETAIL")</f>
        <v>GOVT</v>
      </c>
      <c r="E374" s="12">
        <v>1347.6</v>
      </c>
      <c r="F374" s="12">
        <v>180000</v>
      </c>
      <c r="G374" s="11">
        <v>0</v>
      </c>
      <c r="H374" s="11">
        <v>0</v>
      </c>
      <c r="I374" s="12">
        <v>0</v>
      </c>
      <c r="J374" s="12">
        <v>0</v>
      </c>
      <c r="K374" s="12">
        <v>0</v>
      </c>
      <c r="L374" s="12">
        <v>0</v>
      </c>
      <c r="M374" s="13">
        <v>181347.6</v>
      </c>
      <c r="N374">
        <f>YEAR(B374)</f>
        <v>2023</v>
      </c>
      <c r="O374" s="24">
        <f>IFERROR(J374/$I374,0)</f>
        <v>0</v>
      </c>
      <c r="P374" s="24">
        <f>IFERROR(K374/$I374,0)</f>
        <v>0</v>
      </c>
      <c r="Q374" s="24" t="str">
        <f>IF($G374&lt;&gt;0,"Beer",IF($H374&lt;&gt;0,"Liquor","-"))</f>
        <v>-</v>
      </c>
      <c r="R374" s="26">
        <f>IF($G374&lt;&gt;0,$G374,IF($H374&lt;&gt;0,$H374/0.75,0))</f>
        <v>0</v>
      </c>
      <c r="S374" s="32" t="b">
        <f>ISNUMBER(R374)</f>
        <v>1</v>
      </c>
      <c r="T374" s="32"/>
    </row>
    <row r="375" spans="1:20" x14ac:dyDescent="0.3">
      <c r="A375" s="9">
        <v>374</v>
      </c>
      <c r="B375" s="10">
        <v>44973.692847222221</v>
      </c>
      <c r="C375" s="11" t="s">
        <v>385</v>
      </c>
      <c r="D375" s="11" t="str">
        <f>IF(ISNUMBER(SEARCH("OSBC", C375)), "GOVT", "RETAIL")</f>
        <v>RETAIL</v>
      </c>
      <c r="E375" s="12">
        <v>181347.6</v>
      </c>
      <c r="F375" s="12">
        <v>0</v>
      </c>
      <c r="G375" s="11">
        <v>0</v>
      </c>
      <c r="H375" s="11">
        <v>146.13</v>
      </c>
      <c r="I375" s="12">
        <v>132919.98000000001</v>
      </c>
      <c r="J375" s="12">
        <v>46521.99</v>
      </c>
      <c r="K375" s="12">
        <v>1794</v>
      </c>
      <c r="L375" s="12">
        <v>181235.97</v>
      </c>
      <c r="M375" s="13">
        <v>111.63</v>
      </c>
      <c r="N375">
        <f>YEAR(B375)</f>
        <v>2023</v>
      </c>
      <c r="O375" s="24">
        <f>IFERROR(J375/$I375,0)</f>
        <v>0.34999997743002964</v>
      </c>
      <c r="P375" s="24">
        <f>IFERROR(K375/$I375,0)</f>
        <v>1.3496842235456248E-2</v>
      </c>
      <c r="Q375" s="24" t="str">
        <f>IF($G375&lt;&gt;0,"Beer",IF($H375&lt;&gt;0,"Liquor","-"))</f>
        <v>Liquor</v>
      </c>
      <c r="R375" s="26">
        <f>IF($G375&lt;&gt;0,$G375,IF($H375&lt;&gt;0,$H375/0.75,0))</f>
        <v>194.84</v>
      </c>
      <c r="S375" s="32" t="b">
        <f>ISNUMBER(R375)</f>
        <v>1</v>
      </c>
      <c r="T375" s="32"/>
    </row>
    <row r="376" spans="1:20" x14ac:dyDescent="0.3">
      <c r="A376" s="9">
        <v>375</v>
      </c>
      <c r="B376" s="10">
        <v>44984.466516203705</v>
      </c>
      <c r="C376" s="11" t="s">
        <v>386</v>
      </c>
      <c r="D376" s="11" t="str">
        <f>IF(ISNUMBER(SEARCH("OSBC", C376)), "GOVT", "RETAIL")</f>
        <v>GOVT</v>
      </c>
      <c r="E376" s="12">
        <v>111.63</v>
      </c>
      <c r="F376" s="12">
        <v>240000</v>
      </c>
      <c r="G376" s="11">
        <v>0</v>
      </c>
      <c r="H376" s="11">
        <v>0</v>
      </c>
      <c r="I376" s="12">
        <v>0</v>
      </c>
      <c r="J376" s="12">
        <v>0</v>
      </c>
      <c r="K376" s="12">
        <v>0</v>
      </c>
      <c r="L376" s="12">
        <v>0</v>
      </c>
      <c r="M376" s="13">
        <v>240111.63</v>
      </c>
      <c r="N376">
        <f>YEAR(B376)</f>
        <v>2023</v>
      </c>
      <c r="O376" s="24">
        <f>IFERROR(J376/$I376,0)</f>
        <v>0</v>
      </c>
      <c r="P376" s="24">
        <f>IFERROR(K376/$I376,0)</f>
        <v>0</v>
      </c>
      <c r="Q376" s="24" t="str">
        <f>IF($G376&lt;&gt;0,"Beer",IF($H376&lt;&gt;0,"Liquor","-"))</f>
        <v>-</v>
      </c>
      <c r="R376" s="26">
        <f>IF($G376&lt;&gt;0,$G376,IF($H376&lt;&gt;0,$H376/0.75,0))</f>
        <v>0</v>
      </c>
      <c r="S376" s="32" t="b">
        <f>ISNUMBER(R376)</f>
        <v>1</v>
      </c>
      <c r="T376" s="32"/>
    </row>
    <row r="377" spans="1:20" x14ac:dyDescent="0.3">
      <c r="A377" s="9">
        <v>376</v>
      </c>
      <c r="B377" s="10">
        <v>44984.52548611111</v>
      </c>
      <c r="C377" s="11" t="s">
        <v>387</v>
      </c>
      <c r="D377" s="11" t="str">
        <f>IF(ISNUMBER(SEARCH("OSBC", C377)), "GOVT", "RETAIL")</f>
        <v>RETAIL</v>
      </c>
      <c r="E377" s="12">
        <v>240111.63</v>
      </c>
      <c r="F377" s="12">
        <v>0</v>
      </c>
      <c r="G377" s="11">
        <v>0</v>
      </c>
      <c r="H377" s="11">
        <v>192.87</v>
      </c>
      <c r="I377" s="12">
        <v>175965.71</v>
      </c>
      <c r="J377" s="12">
        <v>61588</v>
      </c>
      <c r="K377" s="12">
        <v>2376</v>
      </c>
      <c r="L377" s="12">
        <v>239929.71</v>
      </c>
      <c r="M377" s="13">
        <v>181.92</v>
      </c>
      <c r="N377">
        <f>YEAR(B377)</f>
        <v>2023</v>
      </c>
      <c r="O377" s="24">
        <f>IFERROR(J377/$I377,0)</f>
        <v>0.35000000852438812</v>
      </c>
      <c r="P377" s="24">
        <f>IFERROR(K377/$I377,0)</f>
        <v>1.3502630711403944E-2</v>
      </c>
      <c r="Q377" s="24" t="str">
        <f>IF($G377&lt;&gt;0,"Beer",IF($H377&lt;&gt;0,"Liquor","-"))</f>
        <v>Liquor</v>
      </c>
      <c r="R377" s="26">
        <f>IF($G377&lt;&gt;0,$G377,IF($H377&lt;&gt;0,$H377/0.75,0))</f>
        <v>257.16000000000003</v>
      </c>
      <c r="S377" s="32" t="b">
        <f>ISNUMBER(R377)</f>
        <v>1</v>
      </c>
      <c r="T377" s="32"/>
    </row>
    <row r="378" spans="1:20" x14ac:dyDescent="0.3">
      <c r="A378" s="9">
        <v>377</v>
      </c>
      <c r="B378" s="10">
        <v>44989.481365740743</v>
      </c>
      <c r="C378" s="11" t="s">
        <v>388</v>
      </c>
      <c r="D378" s="11" t="str">
        <f>IF(ISNUMBER(SEARCH("OSBC", C378)), "GOVT", "RETAIL")</f>
        <v>GOVT</v>
      </c>
      <c r="E378" s="12">
        <v>181.92</v>
      </c>
      <c r="F378" s="12">
        <v>238000</v>
      </c>
      <c r="G378" s="11">
        <v>0</v>
      </c>
      <c r="H378" s="11">
        <v>0</v>
      </c>
      <c r="I378" s="12">
        <v>0</v>
      </c>
      <c r="J378" s="12">
        <v>0</v>
      </c>
      <c r="K378" s="12">
        <v>0</v>
      </c>
      <c r="L378" s="12">
        <v>0</v>
      </c>
      <c r="M378" s="13">
        <v>238181.92</v>
      </c>
      <c r="N378">
        <f>YEAR(B378)</f>
        <v>2023</v>
      </c>
      <c r="O378" s="24">
        <f>IFERROR(J378/$I378,0)</f>
        <v>0</v>
      </c>
      <c r="P378" s="24">
        <f>IFERROR(K378/$I378,0)</f>
        <v>0</v>
      </c>
      <c r="Q378" s="24" t="str">
        <f>IF($G378&lt;&gt;0,"Beer",IF($H378&lt;&gt;0,"Liquor","-"))</f>
        <v>-</v>
      </c>
      <c r="R378" s="26">
        <f>IF($G378&lt;&gt;0,$G378,IF($H378&lt;&gt;0,$H378/0.75,0))</f>
        <v>0</v>
      </c>
      <c r="S378" s="32" t="b">
        <f>ISNUMBER(R378)</f>
        <v>1</v>
      </c>
      <c r="T378" s="32"/>
    </row>
    <row r="379" spans="1:20" x14ac:dyDescent="0.3">
      <c r="A379" s="9">
        <v>378</v>
      </c>
      <c r="B379" s="10">
        <v>44989.520335648151</v>
      </c>
      <c r="C379" s="11" t="s">
        <v>389</v>
      </c>
      <c r="D379" s="11" t="str">
        <f>IF(ISNUMBER(SEARCH("OSBC", C379)), "GOVT", "RETAIL")</f>
        <v>RETAIL</v>
      </c>
      <c r="E379" s="12">
        <v>238181.92</v>
      </c>
      <c r="F379" s="12">
        <v>0</v>
      </c>
      <c r="G379" s="11">
        <v>0</v>
      </c>
      <c r="H379" s="11">
        <v>198.71</v>
      </c>
      <c r="I379" s="12">
        <v>174322.36</v>
      </c>
      <c r="J379" s="12">
        <v>61012.83</v>
      </c>
      <c r="K379" s="12">
        <v>2353</v>
      </c>
      <c r="L379" s="12">
        <v>237688.19</v>
      </c>
      <c r="M379" s="13">
        <v>493.73</v>
      </c>
      <c r="N379">
        <f>YEAR(B379)</f>
        <v>2023</v>
      </c>
      <c r="O379" s="24">
        <f>IFERROR(J379/$I379,0)</f>
        <v>0.35000002294599503</v>
      </c>
      <c r="P379" s="24">
        <f>IFERROR(K379/$I379,0)</f>
        <v>1.3497981555550305E-2</v>
      </c>
      <c r="Q379" s="24" t="str">
        <f>IF($G379&lt;&gt;0,"Beer",IF($H379&lt;&gt;0,"Liquor","-"))</f>
        <v>Liquor</v>
      </c>
      <c r="R379" s="26">
        <f>IF($G379&lt;&gt;0,$G379,IF($H379&lt;&gt;0,$H379/0.75,0))</f>
        <v>264.94666666666666</v>
      </c>
      <c r="S379" s="32" t="b">
        <f>ISNUMBER(R379)</f>
        <v>1</v>
      </c>
      <c r="T379" s="32"/>
    </row>
    <row r="380" spans="1:20" x14ac:dyDescent="0.3">
      <c r="A380" s="9">
        <v>379</v>
      </c>
      <c r="B380" s="10">
        <v>44991.378194444442</v>
      </c>
      <c r="C380" s="11" t="s">
        <v>390</v>
      </c>
      <c r="D380" s="11" t="str">
        <f>IF(ISNUMBER(SEARCH("OSBC", C380)), "GOVT", "RETAIL")</f>
        <v>GOVT</v>
      </c>
      <c r="E380" s="12">
        <v>493.73</v>
      </c>
      <c r="F380" s="12">
        <v>135000</v>
      </c>
      <c r="G380" s="11">
        <v>0</v>
      </c>
      <c r="H380" s="11">
        <v>0</v>
      </c>
      <c r="I380" s="12">
        <v>0</v>
      </c>
      <c r="J380" s="12">
        <v>0</v>
      </c>
      <c r="K380" s="12">
        <v>0</v>
      </c>
      <c r="L380" s="12">
        <v>0</v>
      </c>
      <c r="M380" s="13">
        <v>135493.73000000001</v>
      </c>
      <c r="N380">
        <f>YEAR(B380)</f>
        <v>2023</v>
      </c>
      <c r="O380" s="24">
        <f>IFERROR(J380/$I380,0)</f>
        <v>0</v>
      </c>
      <c r="P380" s="24">
        <f>IFERROR(K380/$I380,0)</f>
        <v>0</v>
      </c>
      <c r="Q380" s="24" t="str">
        <f>IF($G380&lt;&gt;0,"Beer",IF($H380&lt;&gt;0,"Liquor","-"))</f>
        <v>-</v>
      </c>
      <c r="R380" s="26">
        <f>IF($G380&lt;&gt;0,$G380,IF($H380&lt;&gt;0,$H380/0.75,0))</f>
        <v>0</v>
      </c>
      <c r="S380" s="32" t="b">
        <f>ISNUMBER(R380)</f>
        <v>1</v>
      </c>
      <c r="T380" s="32"/>
    </row>
    <row r="381" spans="1:20" x14ac:dyDescent="0.3">
      <c r="A381" s="9">
        <v>380</v>
      </c>
      <c r="B381" s="10">
        <v>44991.467986111114</v>
      </c>
      <c r="C381" s="11" t="s">
        <v>391</v>
      </c>
      <c r="D381" s="11" t="str">
        <f>IF(ISNUMBER(SEARCH("OSBC", C381)), "GOVT", "RETAIL")</f>
        <v>RETAIL</v>
      </c>
      <c r="E381" s="12">
        <v>135493.73000000001</v>
      </c>
      <c r="F381" s="12">
        <v>0</v>
      </c>
      <c r="G381" s="11">
        <v>600.6</v>
      </c>
      <c r="H381" s="11">
        <v>0</v>
      </c>
      <c r="I381" s="12">
        <v>98333.48</v>
      </c>
      <c r="J381" s="12">
        <v>34416.720000000001</v>
      </c>
      <c r="K381" s="12">
        <v>1328</v>
      </c>
      <c r="L381" s="12">
        <v>134078.20000000001</v>
      </c>
      <c r="M381" s="13">
        <v>1415.53</v>
      </c>
      <c r="N381">
        <f>YEAR(B381)</f>
        <v>2023</v>
      </c>
      <c r="O381" s="24">
        <f>IFERROR(J381/$I381,0)</f>
        <v>0.35000002033895272</v>
      </c>
      <c r="P381" s="24">
        <f>IFERROR(K381/$I381,0)</f>
        <v>1.3505064602615508E-2</v>
      </c>
      <c r="Q381" s="24" t="str">
        <f>IF($G381&lt;&gt;0,"Beer",IF($H381&lt;&gt;0,"Liquor","-"))</f>
        <v>Beer</v>
      </c>
      <c r="R381" s="26">
        <f>IF($G381&lt;&gt;0,$G381,IF($H381&lt;&gt;0,$H381/0.75,0))</f>
        <v>600.6</v>
      </c>
      <c r="S381" s="32" t="b">
        <f>ISNUMBER(R381)</f>
        <v>1</v>
      </c>
      <c r="T381" s="32"/>
    </row>
    <row r="382" spans="1:20" x14ac:dyDescent="0.3">
      <c r="A382" s="9">
        <v>381</v>
      </c>
      <c r="B382" s="10">
        <v>44994.476099537038</v>
      </c>
      <c r="C382" s="11" t="s">
        <v>392</v>
      </c>
      <c r="D382" s="11" t="str">
        <f>IF(ISNUMBER(SEARCH("OSBC", C382)), "GOVT", "RETAIL")</f>
        <v>GOVT</v>
      </c>
      <c r="E382" s="12">
        <v>1415.53</v>
      </c>
      <c r="F382" s="12">
        <v>250000</v>
      </c>
      <c r="G382" s="11">
        <v>0</v>
      </c>
      <c r="H382" s="11">
        <v>0</v>
      </c>
      <c r="I382" s="12">
        <v>0</v>
      </c>
      <c r="J382" s="12">
        <v>0</v>
      </c>
      <c r="K382" s="12">
        <v>0</v>
      </c>
      <c r="L382" s="12">
        <v>0</v>
      </c>
      <c r="M382" s="13">
        <v>251415.53</v>
      </c>
      <c r="N382">
        <f>YEAR(B382)</f>
        <v>2023</v>
      </c>
      <c r="O382" s="24">
        <f>IFERROR(J382/$I382,0)</f>
        <v>0</v>
      </c>
      <c r="P382" s="24">
        <f>IFERROR(K382/$I382,0)</f>
        <v>0</v>
      </c>
      <c r="Q382" s="24" t="str">
        <f>IF($G382&lt;&gt;0,"Beer",IF($H382&lt;&gt;0,"Liquor","-"))</f>
        <v>-</v>
      </c>
      <c r="R382" s="26">
        <f>IF($G382&lt;&gt;0,$G382,IF($H382&lt;&gt;0,$H382/0.75,0))</f>
        <v>0</v>
      </c>
      <c r="S382" s="32" t="b">
        <f>ISNUMBER(R382)</f>
        <v>1</v>
      </c>
      <c r="T382" s="32"/>
    </row>
    <row r="383" spans="1:20" x14ac:dyDescent="0.3">
      <c r="A383" s="9">
        <v>382</v>
      </c>
      <c r="B383" s="10">
        <v>44994.538124999999</v>
      </c>
      <c r="C383" s="11" t="s">
        <v>393</v>
      </c>
      <c r="D383" s="11" t="str">
        <f>IF(ISNUMBER(SEARCH("OSBC", C383)), "GOVT", "RETAIL")</f>
        <v>RETAIL</v>
      </c>
      <c r="E383" s="12">
        <v>251415.53</v>
      </c>
      <c r="F383" s="12">
        <v>0</v>
      </c>
      <c r="G383" s="11">
        <v>0</v>
      </c>
      <c r="H383" s="11">
        <v>211.93</v>
      </c>
      <c r="I383" s="12">
        <v>184305.66</v>
      </c>
      <c r="J383" s="12">
        <v>64506.98</v>
      </c>
      <c r="K383" s="12">
        <v>2488</v>
      </c>
      <c r="L383" s="12">
        <v>251300.64</v>
      </c>
      <c r="M383" s="13">
        <v>114.89</v>
      </c>
      <c r="N383">
        <f>YEAR(B383)</f>
        <v>2023</v>
      </c>
      <c r="O383" s="24">
        <f>IFERROR(J383/$I383,0)</f>
        <v>0.34999999457423064</v>
      </c>
      <c r="P383" s="24">
        <f>IFERROR(K383/$I383,0)</f>
        <v>1.3499314128497192E-2</v>
      </c>
      <c r="Q383" s="24" t="str">
        <f>IF($G383&lt;&gt;0,"Beer",IF($H383&lt;&gt;0,"Liquor","-"))</f>
        <v>Liquor</v>
      </c>
      <c r="R383" s="26">
        <f>IF($G383&lt;&gt;0,$G383,IF($H383&lt;&gt;0,$H383/0.75,0))</f>
        <v>282.57333333333332</v>
      </c>
      <c r="S383" s="32" t="b">
        <f>ISNUMBER(R383)</f>
        <v>1</v>
      </c>
      <c r="T383" s="32"/>
    </row>
    <row r="384" spans="1:20" x14ac:dyDescent="0.3">
      <c r="A384" s="9">
        <v>383</v>
      </c>
      <c r="B384" s="10">
        <v>45015.9531712963</v>
      </c>
      <c r="C384" s="11" t="s">
        <v>394</v>
      </c>
      <c r="D384" s="11" t="str">
        <f>IF(ISNUMBER(SEARCH("OSBC", C384)), "GOVT", "RETAIL")</f>
        <v>GOVT</v>
      </c>
      <c r="E384" s="12">
        <v>114.89</v>
      </c>
      <c r="F384" s="12">
        <v>167228</v>
      </c>
      <c r="G384" s="11">
        <v>0</v>
      </c>
      <c r="H384" s="11">
        <v>0</v>
      </c>
      <c r="I384" s="12">
        <v>0</v>
      </c>
      <c r="J384" s="12">
        <v>0</v>
      </c>
      <c r="K384" s="12">
        <v>0</v>
      </c>
      <c r="L384" s="12">
        <v>0</v>
      </c>
      <c r="M384" s="13">
        <v>167342.89000000001</v>
      </c>
      <c r="N384">
        <f>YEAR(B384)</f>
        <v>2023</v>
      </c>
      <c r="O384" s="24">
        <f>IFERROR(J384/$I384,0)</f>
        <v>0</v>
      </c>
      <c r="P384" s="24">
        <f>IFERROR(K384/$I384,0)</f>
        <v>0</v>
      </c>
      <c r="Q384" s="24" t="str">
        <f>IF($G384&lt;&gt;0,"Beer",IF($H384&lt;&gt;0,"Liquor","-"))</f>
        <v>-</v>
      </c>
      <c r="R384" s="26">
        <f>IF($G384&lt;&gt;0,$G384,IF($H384&lt;&gt;0,$H384/0.75,0))</f>
        <v>0</v>
      </c>
      <c r="S384" s="32" t="b">
        <f>ISNUMBER(R384)</f>
        <v>1</v>
      </c>
      <c r="T384" s="32"/>
    </row>
    <row r="385" spans="1:20" x14ac:dyDescent="0.3">
      <c r="A385" s="9">
        <v>384</v>
      </c>
      <c r="B385" s="10">
        <v>45016.476550925923</v>
      </c>
      <c r="C385" s="11" t="s">
        <v>395</v>
      </c>
      <c r="D385" s="11" t="str">
        <f>IF(ISNUMBER(SEARCH("OSBC", C385)), "GOVT", "RETAIL")</f>
        <v>GOVT</v>
      </c>
      <c r="E385" s="12">
        <v>167342.89000000001</v>
      </c>
      <c r="F385" s="12">
        <v>23000</v>
      </c>
      <c r="G385" s="11">
        <v>0</v>
      </c>
      <c r="H385" s="11">
        <v>0</v>
      </c>
      <c r="I385" s="12">
        <v>0</v>
      </c>
      <c r="J385" s="12">
        <v>0</v>
      </c>
      <c r="K385" s="12">
        <v>0</v>
      </c>
      <c r="L385" s="12">
        <v>0</v>
      </c>
      <c r="M385" s="13">
        <v>190342.89</v>
      </c>
      <c r="N385">
        <f>YEAR(B385)</f>
        <v>2023</v>
      </c>
      <c r="O385" s="24">
        <f>IFERROR(J385/$I385,0)</f>
        <v>0</v>
      </c>
      <c r="P385" s="24">
        <f>IFERROR(K385/$I385,0)</f>
        <v>0</v>
      </c>
      <c r="Q385" s="24" t="str">
        <f>IF($G385&lt;&gt;0,"Beer",IF($H385&lt;&gt;0,"Liquor","-"))</f>
        <v>-</v>
      </c>
      <c r="R385" s="26">
        <f>IF($G385&lt;&gt;0,$G385,IF($H385&lt;&gt;0,$H385/0.75,0))</f>
        <v>0</v>
      </c>
      <c r="S385" s="32" t="b">
        <f>ISNUMBER(R385)</f>
        <v>1</v>
      </c>
      <c r="T385" s="32"/>
    </row>
    <row r="386" spans="1:20" x14ac:dyDescent="0.3">
      <c r="A386" s="9">
        <v>385</v>
      </c>
      <c r="B386" s="10">
        <v>45016.544999999998</v>
      </c>
      <c r="C386" s="11" t="s">
        <v>396</v>
      </c>
      <c r="D386" s="11" t="str">
        <f>IF(ISNUMBER(SEARCH("OSBC", C386)), "GOVT", "RETAIL")</f>
        <v>RETAIL</v>
      </c>
      <c r="E386" s="12">
        <v>190342.89</v>
      </c>
      <c r="F386" s="12">
        <v>0</v>
      </c>
      <c r="G386" s="11">
        <v>0</v>
      </c>
      <c r="H386" s="11">
        <v>149.91</v>
      </c>
      <c r="I386" s="12">
        <v>138860.95000000001</v>
      </c>
      <c r="J386" s="12">
        <v>48601.32</v>
      </c>
      <c r="K386" s="12">
        <v>1875</v>
      </c>
      <c r="L386" s="12">
        <v>189337.27</v>
      </c>
      <c r="M386" s="13">
        <v>1005.62</v>
      </c>
      <c r="N386">
        <f>YEAR(B386)</f>
        <v>2023</v>
      </c>
      <c r="O386" s="24">
        <f>IFERROR(J386/$I386,0)</f>
        <v>0.3499999099818919</v>
      </c>
      <c r="P386" s="24">
        <f>IFERROR(K386/$I386,0)</f>
        <v>1.3502716206392077E-2</v>
      </c>
      <c r="Q386" s="24" t="str">
        <f>IF($G386&lt;&gt;0,"Beer",IF($H386&lt;&gt;0,"Liquor","-"))</f>
        <v>Liquor</v>
      </c>
      <c r="R386" s="26">
        <f>IF($G386&lt;&gt;0,$G386,IF($H386&lt;&gt;0,$H386/0.75,0))</f>
        <v>199.88</v>
      </c>
      <c r="S386" s="32" t="b">
        <f>ISNUMBER(R386)</f>
        <v>1</v>
      </c>
      <c r="T386" s="32"/>
    </row>
    <row r="387" spans="1:20" x14ac:dyDescent="0.3">
      <c r="A387" s="9">
        <v>386</v>
      </c>
      <c r="B387" s="10">
        <v>45026.484791666669</v>
      </c>
      <c r="C387" s="11" t="s">
        <v>397</v>
      </c>
      <c r="D387" s="11" t="str">
        <f>IF(ISNUMBER(SEARCH("OSBC", C387)), "GOVT", "RETAIL")</f>
        <v>GOVT</v>
      </c>
      <c r="E387" s="12">
        <v>1005.62</v>
      </c>
      <c r="F387" s="12">
        <v>560930</v>
      </c>
      <c r="G387" s="11">
        <v>0</v>
      </c>
      <c r="H387" s="11">
        <v>0</v>
      </c>
      <c r="I387" s="12">
        <v>0</v>
      </c>
      <c r="J387" s="12">
        <v>0</v>
      </c>
      <c r="K387" s="12">
        <v>0</v>
      </c>
      <c r="L387" s="12">
        <v>0</v>
      </c>
      <c r="M387" s="13">
        <v>561935.62</v>
      </c>
      <c r="N387">
        <f>YEAR(B387)</f>
        <v>2023</v>
      </c>
      <c r="O387" s="24">
        <f>IFERROR(J387/$I387,0)</f>
        <v>0</v>
      </c>
      <c r="P387" s="24">
        <f>IFERROR(K387/$I387,0)</f>
        <v>0</v>
      </c>
      <c r="Q387" s="24" t="str">
        <f>IF($G387&lt;&gt;0,"Beer",IF($H387&lt;&gt;0,"Liquor","-"))</f>
        <v>-</v>
      </c>
      <c r="R387" s="26">
        <f>IF($G387&lt;&gt;0,$G387,IF($H387&lt;&gt;0,$H387/0.75,0))</f>
        <v>0</v>
      </c>
      <c r="S387" s="32" t="b">
        <f>ISNUMBER(R387)</f>
        <v>1</v>
      </c>
      <c r="T387" s="32"/>
    </row>
    <row r="388" spans="1:20" x14ac:dyDescent="0.3">
      <c r="A388" s="9">
        <v>387</v>
      </c>
      <c r="B388" s="10">
        <v>45026.48574074074</v>
      </c>
      <c r="C388" s="11" t="s">
        <v>398</v>
      </c>
      <c r="D388" s="11" t="str">
        <f>IF(ISNUMBER(SEARCH("OSBC", C388)), "GOVT", "RETAIL")</f>
        <v>GOVT</v>
      </c>
      <c r="E388" s="12">
        <v>561935.62</v>
      </c>
      <c r="F388" s="12">
        <v>490000</v>
      </c>
      <c r="G388" s="11">
        <v>0</v>
      </c>
      <c r="H388" s="11">
        <v>0</v>
      </c>
      <c r="I388" s="12">
        <v>0</v>
      </c>
      <c r="J388" s="12">
        <v>0</v>
      </c>
      <c r="K388" s="12">
        <v>0</v>
      </c>
      <c r="L388" s="12">
        <v>0</v>
      </c>
      <c r="M388" s="13">
        <v>1051935.6200000001</v>
      </c>
      <c r="N388">
        <f>YEAR(B388)</f>
        <v>2023</v>
      </c>
      <c r="O388" s="24">
        <f>IFERROR(J388/$I388,0)</f>
        <v>0</v>
      </c>
      <c r="P388" s="24">
        <f>IFERROR(K388/$I388,0)</f>
        <v>0</v>
      </c>
      <c r="Q388" s="24" t="str">
        <f>IF($G388&lt;&gt;0,"Beer",IF($H388&lt;&gt;0,"Liquor","-"))</f>
        <v>-</v>
      </c>
      <c r="R388" s="26">
        <f>IF($G388&lt;&gt;0,$G388,IF($H388&lt;&gt;0,$H388/0.75,0))</f>
        <v>0</v>
      </c>
      <c r="S388" s="32" t="b">
        <f>ISNUMBER(R388)</f>
        <v>1</v>
      </c>
      <c r="T388" s="32"/>
    </row>
    <row r="389" spans="1:20" x14ac:dyDescent="0.3">
      <c r="A389" s="9">
        <v>388</v>
      </c>
      <c r="B389" s="10">
        <v>45026.939895833333</v>
      </c>
      <c r="C389" s="11" t="s">
        <v>399</v>
      </c>
      <c r="D389" s="11" t="str">
        <f>IF(ISNUMBER(SEARCH("OSBC", C389)), "GOVT", "RETAIL")</f>
        <v>RETAIL</v>
      </c>
      <c r="E389" s="12">
        <v>1051935.6200000001</v>
      </c>
      <c r="F389" s="12">
        <v>0</v>
      </c>
      <c r="G389" s="11">
        <v>679.8</v>
      </c>
      <c r="H389" s="11">
        <v>0</v>
      </c>
      <c r="I389" s="12">
        <v>117698.44</v>
      </c>
      <c r="J389" s="12">
        <v>41194.449999999997</v>
      </c>
      <c r="K389" s="12">
        <v>1589</v>
      </c>
      <c r="L389" s="12">
        <v>160481.89000000001</v>
      </c>
      <c r="M389" s="13">
        <v>891453.73</v>
      </c>
      <c r="N389">
        <f>YEAR(B389)</f>
        <v>2023</v>
      </c>
      <c r="O389" s="24">
        <f>IFERROR(J389/$I389,0)</f>
        <v>0.34999996601484262</v>
      </c>
      <c r="P389" s="24">
        <f>IFERROR(K389/$I389,0)</f>
        <v>1.3500603746319832E-2</v>
      </c>
      <c r="Q389" s="24" t="str">
        <f>IF($G389&lt;&gt;0,"Beer",IF($H389&lt;&gt;0,"Liquor","-"))</f>
        <v>Beer</v>
      </c>
      <c r="R389" s="26">
        <f>IF($G389&lt;&gt;0,$G389,IF($H389&lt;&gt;0,$H389/0.75,0))</f>
        <v>679.8</v>
      </c>
      <c r="S389" s="32" t="b">
        <f>ISNUMBER(R389)</f>
        <v>1</v>
      </c>
      <c r="T389" s="32"/>
    </row>
    <row r="390" spans="1:20" x14ac:dyDescent="0.3">
      <c r="A390" s="9">
        <v>389</v>
      </c>
      <c r="B390" s="10">
        <v>45026.942465277774</v>
      </c>
      <c r="C390" s="11" t="s">
        <v>400</v>
      </c>
      <c r="D390" s="11" t="str">
        <f>IF(ISNUMBER(SEARCH("OSBC", C390)), "GOVT", "RETAIL")</f>
        <v>RETAIL</v>
      </c>
      <c r="E390" s="12">
        <v>891453.73</v>
      </c>
      <c r="F390" s="12">
        <v>0</v>
      </c>
      <c r="G390" s="11">
        <v>0</v>
      </c>
      <c r="H390" s="11">
        <v>319.89999999999998</v>
      </c>
      <c r="I390" s="12">
        <v>316040.53999999998</v>
      </c>
      <c r="J390" s="12">
        <v>110614.19</v>
      </c>
      <c r="K390" s="12">
        <v>4267</v>
      </c>
      <c r="L390" s="12">
        <v>430921.73</v>
      </c>
      <c r="M390" s="13">
        <v>460532</v>
      </c>
      <c r="N390">
        <f>YEAR(B390)</f>
        <v>2023</v>
      </c>
      <c r="O390" s="24">
        <f>IFERROR(J390/$I390,0)</f>
        <v>0.35000000316415109</v>
      </c>
      <c r="P390" s="24">
        <f>IFERROR(K390/$I390,0)</f>
        <v>1.350143244281256E-2</v>
      </c>
      <c r="Q390" s="24" t="str">
        <f>IF($G390&lt;&gt;0,"Beer",IF($H390&lt;&gt;0,"Liquor","-"))</f>
        <v>Liquor</v>
      </c>
      <c r="R390" s="26">
        <f>IF($G390&lt;&gt;0,$G390,IF($H390&lt;&gt;0,$H390/0.75,0))</f>
        <v>426.5333333333333</v>
      </c>
      <c r="S390" s="32" t="b">
        <f>ISNUMBER(R390)</f>
        <v>1</v>
      </c>
      <c r="T390" s="32"/>
    </row>
    <row r="391" spans="1:20" x14ac:dyDescent="0.3">
      <c r="A391" s="9">
        <v>390</v>
      </c>
      <c r="B391" s="10">
        <v>45029.816342592596</v>
      </c>
      <c r="C391" s="11" t="s">
        <v>401</v>
      </c>
      <c r="D391" s="11" t="str">
        <f>IF(ISNUMBER(SEARCH("OSBC", C391)), "GOVT", "RETAIL")</f>
        <v>RETAIL</v>
      </c>
      <c r="E391" s="12">
        <v>460532</v>
      </c>
      <c r="F391" s="12">
        <v>0</v>
      </c>
      <c r="G391" s="11">
        <v>1334.4</v>
      </c>
      <c r="H391" s="11">
        <v>0</v>
      </c>
      <c r="I391" s="12">
        <v>215079.78</v>
      </c>
      <c r="J391" s="12">
        <v>75278.070000000007</v>
      </c>
      <c r="K391" s="12">
        <v>2904</v>
      </c>
      <c r="L391" s="12">
        <v>293261.84999999998</v>
      </c>
      <c r="M391" s="13">
        <v>167270.15</v>
      </c>
      <c r="N391">
        <f>YEAR(B391)</f>
        <v>2023</v>
      </c>
      <c r="O391" s="24">
        <f>IFERROR(J391/$I391,0)</f>
        <v>0.35000068346731622</v>
      </c>
      <c r="P391" s="24">
        <f>IFERROR(K391/$I391,0)</f>
        <v>1.3501966572589948E-2</v>
      </c>
      <c r="Q391" s="24" t="str">
        <f>IF($G391&lt;&gt;0,"Beer",IF($H391&lt;&gt;0,"Liquor","-"))</f>
        <v>Beer</v>
      </c>
      <c r="R391" s="26">
        <f>IF($G391&lt;&gt;0,$G391,IF($H391&lt;&gt;0,$H391/0.75,0))</f>
        <v>1334.4</v>
      </c>
      <c r="S391" s="32" t="b">
        <f>ISNUMBER(R391)</f>
        <v>1</v>
      </c>
      <c r="T391" s="32"/>
    </row>
    <row r="392" spans="1:20" x14ac:dyDescent="0.3">
      <c r="A392" s="9">
        <v>391</v>
      </c>
      <c r="B392" s="10">
        <v>45029.817129629628</v>
      </c>
      <c r="C392" s="11" t="s">
        <v>402</v>
      </c>
      <c r="D392" s="11" t="str">
        <f>IF(ISNUMBER(SEARCH("OSBC", C392)), "GOVT", "RETAIL")</f>
        <v>RETAIL</v>
      </c>
      <c r="E392" s="12">
        <v>167270.15</v>
      </c>
      <c r="F392" s="12">
        <v>0</v>
      </c>
      <c r="G392" s="11">
        <v>0</v>
      </c>
      <c r="H392" s="11">
        <v>126.74</v>
      </c>
      <c r="I392" s="12">
        <v>121694.11</v>
      </c>
      <c r="J392" s="12">
        <v>42592.94</v>
      </c>
      <c r="K392" s="12">
        <v>1643</v>
      </c>
      <c r="L392" s="12">
        <v>165930.04999999999</v>
      </c>
      <c r="M392" s="13">
        <v>1340.1</v>
      </c>
      <c r="N392">
        <f>YEAR(B392)</f>
        <v>2023</v>
      </c>
      <c r="O392" s="24">
        <f>IFERROR(J392/$I392,0)</f>
        <v>0.35000001232598688</v>
      </c>
      <c r="P392" s="24">
        <f>IFERROR(K392/$I392,0)</f>
        <v>1.3501064266791547E-2</v>
      </c>
      <c r="Q392" s="24" t="str">
        <f>IF($G392&lt;&gt;0,"Beer",IF($H392&lt;&gt;0,"Liquor","-"))</f>
        <v>Liquor</v>
      </c>
      <c r="R392" s="26">
        <f>IF($G392&lt;&gt;0,$G392,IF($H392&lt;&gt;0,$H392/0.75,0))</f>
        <v>168.98666666666665</v>
      </c>
      <c r="S392" s="32" t="b">
        <f>ISNUMBER(R392)</f>
        <v>1</v>
      </c>
      <c r="T392" s="32"/>
    </row>
    <row r="393" spans="1:20" x14ac:dyDescent="0.3">
      <c r="A393" s="9">
        <v>392</v>
      </c>
      <c r="B393" s="10">
        <v>45049.380162037036</v>
      </c>
      <c r="C393" s="11" t="s">
        <v>403</v>
      </c>
      <c r="D393" s="11" t="str">
        <f>IF(ISNUMBER(SEARCH("OSBC", C393)), "GOVT", "RETAIL")</f>
        <v>GOVT</v>
      </c>
      <c r="E393" s="12">
        <v>1340.1</v>
      </c>
      <c r="F393" s="12">
        <v>370000</v>
      </c>
      <c r="G393" s="11">
        <v>0</v>
      </c>
      <c r="H393" s="11">
        <v>0</v>
      </c>
      <c r="I393" s="12">
        <v>0</v>
      </c>
      <c r="J393" s="12">
        <v>0</v>
      </c>
      <c r="K393" s="12">
        <v>0</v>
      </c>
      <c r="L393" s="12">
        <v>0</v>
      </c>
      <c r="M393" s="13">
        <v>371340.1</v>
      </c>
      <c r="N393">
        <f>YEAR(B393)</f>
        <v>2023</v>
      </c>
      <c r="O393" s="24">
        <f>IFERROR(J393/$I393,0)</f>
        <v>0</v>
      </c>
      <c r="P393" s="24">
        <f>IFERROR(K393/$I393,0)</f>
        <v>0</v>
      </c>
      <c r="Q393" s="24" t="str">
        <f>IF($G393&lt;&gt;0,"Beer",IF($H393&lt;&gt;0,"Liquor","-"))</f>
        <v>-</v>
      </c>
      <c r="R393" s="26">
        <f>IF($G393&lt;&gt;0,$G393,IF($H393&lt;&gt;0,$H393/0.75,0))</f>
        <v>0</v>
      </c>
      <c r="S393" s="32" t="b">
        <f>ISNUMBER(R393)</f>
        <v>1</v>
      </c>
      <c r="T393" s="32"/>
    </row>
    <row r="394" spans="1:20" x14ac:dyDescent="0.3">
      <c r="A394" s="9">
        <v>393</v>
      </c>
      <c r="B394" s="10">
        <v>45049.700300925928</v>
      </c>
      <c r="C394" s="11" t="s">
        <v>404</v>
      </c>
      <c r="D394" s="11" t="str">
        <f>IF(ISNUMBER(SEARCH("OSBC", C394)), "GOVT", "RETAIL")</f>
        <v>RETAIL</v>
      </c>
      <c r="E394" s="12">
        <v>371340.1</v>
      </c>
      <c r="F394" s="12">
        <v>0</v>
      </c>
      <c r="G394" s="11">
        <v>0</v>
      </c>
      <c r="H394" s="11">
        <v>132.16999999999999</v>
      </c>
      <c r="I394" s="12">
        <v>150056.89000000001</v>
      </c>
      <c r="J394" s="12">
        <v>52519.91</v>
      </c>
      <c r="K394" s="12">
        <v>2026</v>
      </c>
      <c r="L394" s="12">
        <v>204602.8</v>
      </c>
      <c r="M394" s="13">
        <v>166737.29999999999</v>
      </c>
      <c r="N394">
        <f>YEAR(B394)</f>
        <v>2023</v>
      </c>
      <c r="O394" s="24">
        <f>IFERROR(J394/$I394,0)</f>
        <v>0.34999999000379123</v>
      </c>
      <c r="P394" s="24">
        <f>IFERROR(K394/$I394,0)</f>
        <v>1.3501545980327859E-2</v>
      </c>
      <c r="Q394" s="24" t="str">
        <f>IF($G394&lt;&gt;0,"Beer",IF($H394&lt;&gt;0,"Liquor","-"))</f>
        <v>Liquor</v>
      </c>
      <c r="R394" s="26">
        <f>IF($G394&lt;&gt;0,$G394,IF($H394&lt;&gt;0,$H394/0.75,0))</f>
        <v>176.22666666666666</v>
      </c>
      <c r="S394" s="32" t="b">
        <f>ISNUMBER(R394)</f>
        <v>1</v>
      </c>
      <c r="T394" s="32"/>
    </row>
    <row r="395" spans="1:20" x14ac:dyDescent="0.3">
      <c r="A395" s="9">
        <v>394</v>
      </c>
      <c r="B395" s="10">
        <v>45049.701215277775</v>
      </c>
      <c r="C395" s="11" t="s">
        <v>405</v>
      </c>
      <c r="D395" s="11" t="str">
        <f>IF(ISNUMBER(SEARCH("OSBC", C395)), "GOVT", "RETAIL")</f>
        <v>RETAIL</v>
      </c>
      <c r="E395" s="12">
        <v>166737.29999999999</v>
      </c>
      <c r="F395" s="12">
        <v>0</v>
      </c>
      <c r="G395" s="11">
        <v>712.8</v>
      </c>
      <c r="H395" s="11">
        <v>0</v>
      </c>
      <c r="I395" s="12">
        <v>122222.24</v>
      </c>
      <c r="J395" s="12">
        <v>42777.78</v>
      </c>
      <c r="K395" s="12">
        <v>1650</v>
      </c>
      <c r="L395" s="12">
        <v>166650.01999999999</v>
      </c>
      <c r="M395" s="13">
        <v>87.28</v>
      </c>
      <c r="N395">
        <f>YEAR(B395)</f>
        <v>2023</v>
      </c>
      <c r="O395" s="24">
        <f>IFERROR(J395/$I395,0)</f>
        <v>0.34999996727273203</v>
      </c>
      <c r="P395" s="24">
        <f>IFERROR(K395/$I395,0)</f>
        <v>1.3499998036363921E-2</v>
      </c>
      <c r="Q395" s="24" t="str">
        <f>IF($G395&lt;&gt;0,"Beer",IF($H395&lt;&gt;0,"Liquor","-"))</f>
        <v>Beer</v>
      </c>
      <c r="R395" s="26">
        <f>IF($G395&lt;&gt;0,$G395,IF($H395&lt;&gt;0,$H395/0.75,0))</f>
        <v>712.8</v>
      </c>
      <c r="S395" s="32" t="b">
        <f>ISNUMBER(R395)</f>
        <v>1</v>
      </c>
      <c r="T395" s="32"/>
    </row>
    <row r="396" spans="1:20" x14ac:dyDescent="0.3">
      <c r="A396" s="9">
        <v>395</v>
      </c>
      <c r="B396" s="10">
        <v>45056.492939814816</v>
      </c>
      <c r="C396" s="11" t="s">
        <v>406</v>
      </c>
      <c r="D396" s="11" t="str">
        <f>IF(ISNUMBER(SEARCH("OSBC", C396)), "GOVT", "RETAIL")</f>
        <v>GOVT</v>
      </c>
      <c r="E396" s="12">
        <v>87.28</v>
      </c>
      <c r="F396" s="12">
        <v>130000</v>
      </c>
      <c r="G396" s="11">
        <v>0</v>
      </c>
      <c r="H396" s="11">
        <v>0</v>
      </c>
      <c r="I396" s="12">
        <v>0</v>
      </c>
      <c r="J396" s="12">
        <v>0</v>
      </c>
      <c r="K396" s="12">
        <v>0</v>
      </c>
      <c r="L396" s="12">
        <v>0</v>
      </c>
      <c r="M396" s="13">
        <v>130087.28</v>
      </c>
      <c r="N396">
        <f>YEAR(B396)</f>
        <v>2023</v>
      </c>
      <c r="O396" s="24">
        <f>IFERROR(J396/$I396,0)</f>
        <v>0</v>
      </c>
      <c r="P396" s="24">
        <f>IFERROR(K396/$I396,0)</f>
        <v>0</v>
      </c>
      <c r="Q396" s="24" t="str">
        <f>IF($G396&lt;&gt;0,"Beer",IF($H396&lt;&gt;0,"Liquor","-"))</f>
        <v>-</v>
      </c>
      <c r="R396" s="26">
        <f>IF($G396&lt;&gt;0,$G396,IF($H396&lt;&gt;0,$H396/0.75,0))</f>
        <v>0</v>
      </c>
      <c r="S396" s="32" t="b">
        <f>ISNUMBER(R396)</f>
        <v>1</v>
      </c>
      <c r="T396" s="32"/>
    </row>
    <row r="397" spans="1:20" x14ac:dyDescent="0.3">
      <c r="A397" s="9">
        <v>396</v>
      </c>
      <c r="B397" s="10">
        <v>45056.498101851852</v>
      </c>
      <c r="C397" s="11" t="s">
        <v>407</v>
      </c>
      <c r="D397" s="11" t="str">
        <f>IF(ISNUMBER(SEARCH("OSBC", C397)), "GOVT", "RETAIL")</f>
        <v>GOVT</v>
      </c>
      <c r="E397" s="12">
        <v>130087.28</v>
      </c>
      <c r="F397" s="12">
        <v>38000</v>
      </c>
      <c r="G397" s="11">
        <v>0</v>
      </c>
      <c r="H397" s="11">
        <v>0</v>
      </c>
      <c r="I397" s="12">
        <v>0</v>
      </c>
      <c r="J397" s="12">
        <v>0</v>
      </c>
      <c r="K397" s="12">
        <v>0</v>
      </c>
      <c r="L397" s="12">
        <v>0</v>
      </c>
      <c r="M397" s="13">
        <v>168087.28</v>
      </c>
      <c r="N397">
        <f>YEAR(B397)</f>
        <v>2023</v>
      </c>
      <c r="O397" s="24">
        <f>IFERROR(J397/$I397,0)</f>
        <v>0</v>
      </c>
      <c r="P397" s="24">
        <f>IFERROR(K397/$I397,0)</f>
        <v>0</v>
      </c>
      <c r="Q397" s="24" t="str">
        <f>IF($G397&lt;&gt;0,"Beer",IF($H397&lt;&gt;0,"Liquor","-"))</f>
        <v>-</v>
      </c>
      <c r="R397" s="26">
        <f>IF($G397&lt;&gt;0,$G397,IF($H397&lt;&gt;0,$H397/0.75,0))</f>
        <v>0</v>
      </c>
      <c r="S397" s="32" t="b">
        <f>ISNUMBER(R397)</f>
        <v>1</v>
      </c>
      <c r="T397" s="32"/>
    </row>
    <row r="398" spans="1:20" x14ac:dyDescent="0.3">
      <c r="A398" s="9">
        <v>397</v>
      </c>
      <c r="B398" s="10">
        <v>45056.6640625</v>
      </c>
      <c r="C398" s="11" t="s">
        <v>408</v>
      </c>
      <c r="D398" s="11" t="str">
        <f>IF(ISNUMBER(SEARCH("OSBC", C398)), "GOVT", "RETAIL")</f>
        <v>RETAIL</v>
      </c>
      <c r="E398" s="12">
        <v>168087.28</v>
      </c>
      <c r="F398" s="12">
        <v>0</v>
      </c>
      <c r="G398" s="11">
        <v>0</v>
      </c>
      <c r="H398" s="11">
        <v>134.97999999999999</v>
      </c>
      <c r="I398" s="12">
        <v>123131.36</v>
      </c>
      <c r="J398" s="12">
        <v>43095.96</v>
      </c>
      <c r="K398" s="12">
        <v>1662</v>
      </c>
      <c r="L398" s="12">
        <v>167889.32</v>
      </c>
      <c r="M398" s="13">
        <v>197.96</v>
      </c>
      <c r="N398">
        <f>YEAR(B398)</f>
        <v>2023</v>
      </c>
      <c r="O398" s="24">
        <f>IFERROR(J398/$I398,0)</f>
        <v>0.34999987005747357</v>
      </c>
      <c r="P398" s="24">
        <f>IFERROR(K398/$I398,0)</f>
        <v>1.3497779931936104E-2</v>
      </c>
      <c r="Q398" s="24" t="str">
        <f>IF($G398&lt;&gt;0,"Beer",IF($H398&lt;&gt;0,"Liquor","-"))</f>
        <v>Liquor</v>
      </c>
      <c r="R398" s="26">
        <f>IF($G398&lt;&gt;0,$G398,IF($H398&lt;&gt;0,$H398/0.75,0))</f>
        <v>179.97333333333333</v>
      </c>
      <c r="S398" s="32" t="b">
        <f>ISNUMBER(R398)</f>
        <v>1</v>
      </c>
      <c r="T398" s="32"/>
    </row>
    <row r="399" spans="1:20" x14ac:dyDescent="0.3">
      <c r="A399" s="9">
        <v>398</v>
      </c>
      <c r="B399" s="10">
        <v>45058.479097222225</v>
      </c>
      <c r="C399" s="11" t="s">
        <v>409</v>
      </c>
      <c r="D399" s="11" t="str">
        <f>IF(ISNUMBER(SEARCH("OSBC", C399)), "GOVT", "RETAIL")</f>
        <v>GOVT</v>
      </c>
      <c r="E399" s="12">
        <v>197.96</v>
      </c>
      <c r="F399" s="12">
        <v>155000</v>
      </c>
      <c r="G399" s="11">
        <v>0</v>
      </c>
      <c r="H399" s="11">
        <v>0</v>
      </c>
      <c r="I399" s="12">
        <v>0</v>
      </c>
      <c r="J399" s="12">
        <v>0</v>
      </c>
      <c r="K399" s="12">
        <v>0</v>
      </c>
      <c r="L399" s="12">
        <v>0</v>
      </c>
      <c r="M399" s="13">
        <v>155197.96</v>
      </c>
      <c r="N399">
        <f>YEAR(B399)</f>
        <v>2023</v>
      </c>
      <c r="O399" s="24">
        <f>IFERROR(J399/$I399,0)</f>
        <v>0</v>
      </c>
      <c r="P399" s="24">
        <f>IFERROR(K399/$I399,0)</f>
        <v>0</v>
      </c>
      <c r="Q399" s="24" t="str">
        <f>IF($G399&lt;&gt;0,"Beer",IF($H399&lt;&gt;0,"Liquor","-"))</f>
        <v>-</v>
      </c>
      <c r="R399" s="26">
        <f>IF($G399&lt;&gt;0,$G399,IF($H399&lt;&gt;0,$H399/0.75,0))</f>
        <v>0</v>
      </c>
      <c r="S399" s="32" t="b">
        <f>ISNUMBER(R399)</f>
        <v>1</v>
      </c>
      <c r="T399" s="32"/>
    </row>
    <row r="400" spans="1:20" x14ac:dyDescent="0.3">
      <c r="A400" s="9">
        <v>399</v>
      </c>
      <c r="B400" s="10">
        <v>45058.536157407405</v>
      </c>
      <c r="C400" s="11" t="s">
        <v>410</v>
      </c>
      <c r="D400" s="11" t="str">
        <f>IF(ISNUMBER(SEARCH("OSBC", C400)), "GOVT", "RETAIL")</f>
        <v>RETAIL</v>
      </c>
      <c r="E400" s="12">
        <v>155197.96</v>
      </c>
      <c r="F400" s="12">
        <v>0</v>
      </c>
      <c r="G400" s="11">
        <v>0</v>
      </c>
      <c r="H400" s="11">
        <v>105.73</v>
      </c>
      <c r="I400" s="12">
        <v>113796.58</v>
      </c>
      <c r="J400" s="12">
        <v>39828.800000000003</v>
      </c>
      <c r="K400" s="12">
        <v>1536</v>
      </c>
      <c r="L400" s="12">
        <v>155161.38</v>
      </c>
      <c r="M400" s="13">
        <v>36.58</v>
      </c>
      <c r="N400">
        <f>YEAR(B400)</f>
        <v>2023</v>
      </c>
      <c r="O400" s="24">
        <f>IFERROR(J400/$I400,0)</f>
        <v>0.34999997363716906</v>
      </c>
      <c r="P400" s="24">
        <f>IFERROR(K400/$I400,0)</f>
        <v>1.3497769440874233E-2</v>
      </c>
      <c r="Q400" s="24" t="str">
        <f>IF($G400&lt;&gt;0,"Beer",IF($H400&lt;&gt;0,"Liquor","-"))</f>
        <v>Liquor</v>
      </c>
      <c r="R400" s="26">
        <f>IF($G400&lt;&gt;0,$G400,IF($H400&lt;&gt;0,$H400/0.75,0))</f>
        <v>140.97333333333333</v>
      </c>
      <c r="S400" s="32" t="b">
        <f>ISNUMBER(R400)</f>
        <v>1</v>
      </c>
      <c r="T400" s="32"/>
    </row>
    <row r="401" spans="1:20" x14ac:dyDescent="0.3">
      <c r="A401" s="9">
        <v>400</v>
      </c>
      <c r="B401" s="10">
        <v>45062.743402777778</v>
      </c>
      <c r="C401" s="11" t="s">
        <v>411</v>
      </c>
      <c r="D401" s="11" t="str">
        <f>IF(ISNUMBER(SEARCH("OSBC", C401)), "GOVT", "RETAIL")</f>
        <v>GOVT</v>
      </c>
      <c r="E401" s="12">
        <v>36.58</v>
      </c>
      <c r="F401" s="12">
        <v>160000</v>
      </c>
      <c r="G401" s="11">
        <v>0</v>
      </c>
      <c r="H401" s="11">
        <v>0</v>
      </c>
      <c r="I401" s="12">
        <v>0</v>
      </c>
      <c r="J401" s="12">
        <v>0</v>
      </c>
      <c r="K401" s="12">
        <v>0</v>
      </c>
      <c r="L401" s="12">
        <v>0</v>
      </c>
      <c r="M401" s="13">
        <v>160036.57999999999</v>
      </c>
      <c r="N401">
        <f>YEAR(B401)</f>
        <v>2023</v>
      </c>
      <c r="O401" s="24">
        <f>IFERROR(J401/$I401,0)</f>
        <v>0</v>
      </c>
      <c r="P401" s="24">
        <f>IFERROR(K401/$I401,0)</f>
        <v>0</v>
      </c>
      <c r="Q401" s="24" t="str">
        <f>IF($G401&lt;&gt;0,"Beer",IF($H401&lt;&gt;0,"Liquor","-"))</f>
        <v>-</v>
      </c>
      <c r="R401" s="26">
        <f>IF($G401&lt;&gt;0,$G401,IF($H401&lt;&gt;0,$H401/0.75,0))</f>
        <v>0</v>
      </c>
      <c r="S401" s="32" t="b">
        <f>ISNUMBER(R401)</f>
        <v>1</v>
      </c>
      <c r="T401" s="32"/>
    </row>
    <row r="402" spans="1:20" x14ac:dyDescent="0.3">
      <c r="A402" s="9">
        <v>401</v>
      </c>
      <c r="B402" s="10">
        <v>45063.542638888888</v>
      </c>
      <c r="C402" s="11" t="s">
        <v>412</v>
      </c>
      <c r="D402" s="11" t="str">
        <f>IF(ISNUMBER(SEARCH("OSBC", C402)), "GOVT", "RETAIL")</f>
        <v>RETAIL</v>
      </c>
      <c r="E402" s="12">
        <v>160036.57999999999</v>
      </c>
      <c r="F402" s="12">
        <v>0</v>
      </c>
      <c r="G402" s="11">
        <v>549</v>
      </c>
      <c r="H402" s="11">
        <v>0</v>
      </c>
      <c r="I402" s="12">
        <v>93888.85</v>
      </c>
      <c r="J402" s="12">
        <v>32861.1</v>
      </c>
      <c r="K402" s="12">
        <v>1268</v>
      </c>
      <c r="L402" s="12">
        <v>128017.95</v>
      </c>
      <c r="M402" s="13">
        <v>32018.63</v>
      </c>
      <c r="N402">
        <f>YEAR(B402)</f>
        <v>2023</v>
      </c>
      <c r="O402" s="24">
        <f>IFERROR(J402/$I402,0)</f>
        <v>0.35000002662722995</v>
      </c>
      <c r="P402" s="24">
        <f>IFERROR(K402/$I402,0)</f>
        <v>1.350533103771108E-2</v>
      </c>
      <c r="Q402" s="24" t="str">
        <f>IF($G402&lt;&gt;0,"Beer",IF($H402&lt;&gt;0,"Liquor","-"))</f>
        <v>Beer</v>
      </c>
      <c r="R402" s="26">
        <f>IF($G402&lt;&gt;0,$G402,IF($H402&lt;&gt;0,$H402/0.75,0))</f>
        <v>549</v>
      </c>
      <c r="S402" s="32" t="b">
        <f>ISNUMBER(R402)</f>
        <v>1</v>
      </c>
      <c r="T402" s="32"/>
    </row>
    <row r="403" spans="1:20" x14ac:dyDescent="0.3">
      <c r="A403" s="9">
        <v>402</v>
      </c>
      <c r="B403" s="10">
        <v>45064.498541666668</v>
      </c>
      <c r="C403" s="11" t="s">
        <v>413</v>
      </c>
      <c r="D403" s="11" t="str">
        <f>IF(ISNUMBER(SEARCH("OSBC", C403)), "GOVT", "RETAIL")</f>
        <v>GOVT</v>
      </c>
      <c r="E403" s="12">
        <v>32018.63</v>
      </c>
      <c r="F403" s="12">
        <v>55000</v>
      </c>
      <c r="G403" s="11">
        <v>0</v>
      </c>
      <c r="H403" s="11">
        <v>0</v>
      </c>
      <c r="I403" s="12">
        <v>0</v>
      </c>
      <c r="J403" s="12">
        <v>0</v>
      </c>
      <c r="K403" s="12">
        <v>0</v>
      </c>
      <c r="L403" s="12">
        <v>0</v>
      </c>
      <c r="M403" s="13">
        <v>87018.63</v>
      </c>
      <c r="N403">
        <f>YEAR(B403)</f>
        <v>2023</v>
      </c>
      <c r="O403" s="24">
        <f>IFERROR(J403/$I403,0)</f>
        <v>0</v>
      </c>
      <c r="P403" s="24">
        <f>IFERROR(K403/$I403,0)</f>
        <v>0</v>
      </c>
      <c r="Q403" s="24" t="str">
        <f>IF($G403&lt;&gt;0,"Beer",IF($H403&lt;&gt;0,"Liquor","-"))</f>
        <v>-</v>
      </c>
      <c r="R403" s="26">
        <f>IF($G403&lt;&gt;0,$G403,IF($H403&lt;&gt;0,$H403/0.75,0))</f>
        <v>0</v>
      </c>
      <c r="S403" s="32" t="b">
        <f>ISNUMBER(R403)</f>
        <v>1</v>
      </c>
      <c r="T403" s="32"/>
    </row>
    <row r="404" spans="1:20" x14ac:dyDescent="0.3">
      <c r="A404" s="9">
        <v>403</v>
      </c>
      <c r="B404" s="10">
        <v>45066.463773148149</v>
      </c>
      <c r="C404" s="11" t="s">
        <v>414</v>
      </c>
      <c r="D404" s="11" t="str">
        <f>IF(ISNUMBER(SEARCH("OSBC", C404)), "GOVT", "RETAIL")</f>
        <v>GOVT</v>
      </c>
      <c r="E404" s="12">
        <v>87018.63</v>
      </c>
      <c r="F404" s="12">
        <v>80000</v>
      </c>
      <c r="G404" s="11">
        <v>0</v>
      </c>
      <c r="H404" s="11">
        <v>0</v>
      </c>
      <c r="I404" s="12">
        <v>0</v>
      </c>
      <c r="J404" s="12">
        <v>0</v>
      </c>
      <c r="K404" s="12">
        <v>0</v>
      </c>
      <c r="L404" s="12">
        <v>0</v>
      </c>
      <c r="M404" s="13">
        <v>167018.63</v>
      </c>
      <c r="N404">
        <f>YEAR(B404)</f>
        <v>2023</v>
      </c>
      <c r="O404" s="24">
        <f>IFERROR(J404/$I404,0)</f>
        <v>0</v>
      </c>
      <c r="P404" s="24">
        <f>IFERROR(K404/$I404,0)</f>
        <v>0</v>
      </c>
      <c r="Q404" s="24" t="str">
        <f>IF($G404&lt;&gt;0,"Beer",IF($H404&lt;&gt;0,"Liquor","-"))</f>
        <v>-</v>
      </c>
      <c r="R404" s="26">
        <f>IF($G404&lt;&gt;0,$G404,IF($H404&lt;&gt;0,$H404/0.75,0))</f>
        <v>0</v>
      </c>
      <c r="S404" s="32" t="b">
        <f>ISNUMBER(R404)</f>
        <v>1</v>
      </c>
      <c r="T404" s="32"/>
    </row>
    <row r="405" spans="1:20" x14ac:dyDescent="0.3">
      <c r="A405" s="9">
        <v>404</v>
      </c>
      <c r="B405" s="10">
        <v>45066.945057870369</v>
      </c>
      <c r="C405" s="11" t="s">
        <v>415</v>
      </c>
      <c r="D405" s="11" t="str">
        <f>IF(ISNUMBER(SEARCH("OSBC", C405)), "GOVT", "RETAIL")</f>
        <v>RETAIL</v>
      </c>
      <c r="E405" s="12">
        <v>167018.63</v>
      </c>
      <c r="F405" s="12">
        <v>0</v>
      </c>
      <c r="G405" s="11">
        <v>754.2</v>
      </c>
      <c r="H405" s="11">
        <v>0</v>
      </c>
      <c r="I405" s="12">
        <v>119047.91</v>
      </c>
      <c r="J405" s="12">
        <v>41666.949999999997</v>
      </c>
      <c r="K405" s="12">
        <v>1607</v>
      </c>
      <c r="L405" s="12">
        <v>162321.85999999999</v>
      </c>
      <c r="M405" s="13">
        <v>4696.7700000000004</v>
      </c>
      <c r="N405">
        <f>YEAR(B405)</f>
        <v>2023</v>
      </c>
      <c r="O405" s="24">
        <f>IFERROR(J405/$I405,0)</f>
        <v>0.35000152459627387</v>
      </c>
      <c r="P405" s="24">
        <f>IFERROR(K405/$I405,0)</f>
        <v>1.3498767009013429E-2</v>
      </c>
      <c r="Q405" s="24" t="str">
        <f>IF($G405&lt;&gt;0,"Beer",IF($H405&lt;&gt;0,"Liquor","-"))</f>
        <v>Beer</v>
      </c>
      <c r="R405" s="26">
        <f>IF($G405&lt;&gt;0,$G405,IF($H405&lt;&gt;0,$H405/0.75,0))</f>
        <v>754.2</v>
      </c>
      <c r="S405" s="32" t="b">
        <f>ISNUMBER(R405)</f>
        <v>1</v>
      </c>
      <c r="T405" s="32"/>
    </row>
    <row r="406" spans="1:20" x14ac:dyDescent="0.3">
      <c r="A406" s="9">
        <v>405</v>
      </c>
      <c r="B406" s="10">
        <v>45076.422754629632</v>
      </c>
      <c r="C406" s="11" t="s">
        <v>416</v>
      </c>
      <c r="D406" s="11" t="str">
        <f>IF(ISNUMBER(SEARCH("OSBC", C406)), "GOVT", "RETAIL")</f>
        <v>GOVT</v>
      </c>
      <c r="E406" s="12">
        <v>4696.7700000000004</v>
      </c>
      <c r="F406" s="12">
        <v>160000</v>
      </c>
      <c r="G406" s="11">
        <v>0</v>
      </c>
      <c r="H406" s="11">
        <v>0</v>
      </c>
      <c r="I406" s="12">
        <v>0</v>
      </c>
      <c r="J406" s="12">
        <v>0</v>
      </c>
      <c r="K406" s="12">
        <v>0</v>
      </c>
      <c r="L406" s="12">
        <v>0</v>
      </c>
      <c r="M406" s="13">
        <v>164696.76999999999</v>
      </c>
      <c r="N406">
        <f>YEAR(B406)</f>
        <v>2023</v>
      </c>
      <c r="O406" s="24">
        <f>IFERROR(J406/$I406,0)</f>
        <v>0</v>
      </c>
      <c r="P406" s="24">
        <f>IFERROR(K406/$I406,0)</f>
        <v>0</v>
      </c>
      <c r="Q406" s="24" t="str">
        <f>IF($G406&lt;&gt;0,"Beer",IF($H406&lt;&gt;0,"Liquor","-"))</f>
        <v>-</v>
      </c>
      <c r="R406" s="26">
        <f>IF($G406&lt;&gt;0,$G406,IF($H406&lt;&gt;0,$H406/0.75,0))</f>
        <v>0</v>
      </c>
      <c r="S406" s="32" t="b">
        <f>ISNUMBER(R406)</f>
        <v>1</v>
      </c>
      <c r="T406" s="32"/>
    </row>
    <row r="407" spans="1:20" x14ac:dyDescent="0.3">
      <c r="A407" s="9">
        <v>406</v>
      </c>
      <c r="B407" s="10">
        <v>45076.703032407408</v>
      </c>
      <c r="C407" s="11" t="s">
        <v>417</v>
      </c>
      <c r="D407" s="11" t="str">
        <f>IF(ISNUMBER(SEARCH("OSBC", C407)), "GOVT", "RETAIL")</f>
        <v>RETAIL</v>
      </c>
      <c r="E407" s="12">
        <v>164696.76999999999</v>
      </c>
      <c r="F407" s="12">
        <v>0</v>
      </c>
      <c r="G407" s="11">
        <v>0</v>
      </c>
      <c r="H407" s="11">
        <v>52.38</v>
      </c>
      <c r="I407" s="12">
        <v>53253.99</v>
      </c>
      <c r="J407" s="12">
        <v>18638.900000000001</v>
      </c>
      <c r="K407" s="12">
        <v>719</v>
      </c>
      <c r="L407" s="12">
        <v>72611.89</v>
      </c>
      <c r="M407" s="13">
        <v>92084.88</v>
      </c>
      <c r="N407">
        <f>YEAR(B407)</f>
        <v>2023</v>
      </c>
      <c r="O407" s="24">
        <f>IFERROR(J407/$I407,0)</f>
        <v>0.35000006572277498</v>
      </c>
      <c r="P407" s="24">
        <f>IFERROR(K407/$I407,0)</f>
        <v>1.3501335768456035E-2</v>
      </c>
      <c r="Q407" s="24" t="str">
        <f>IF($G407&lt;&gt;0,"Beer",IF($H407&lt;&gt;0,"Liquor","-"))</f>
        <v>Liquor</v>
      </c>
      <c r="R407" s="26">
        <f>IF($G407&lt;&gt;0,$G407,IF($H407&lt;&gt;0,$H407/0.75,0))</f>
        <v>69.84</v>
      </c>
      <c r="S407" s="32" t="b">
        <f>ISNUMBER(R407)</f>
        <v>1</v>
      </c>
      <c r="T407" s="32"/>
    </row>
    <row r="408" spans="1:20" x14ac:dyDescent="0.3">
      <c r="A408" s="9">
        <v>407</v>
      </c>
      <c r="B408" s="10">
        <v>45076.703576388885</v>
      </c>
      <c r="C408" s="11" t="s">
        <v>418</v>
      </c>
      <c r="D408" s="11" t="str">
        <f>IF(ISNUMBER(SEARCH("OSBC", C408)), "GOVT", "RETAIL")</f>
        <v>RETAIL</v>
      </c>
      <c r="E408" s="12">
        <v>92084.88</v>
      </c>
      <c r="F408" s="12">
        <v>0</v>
      </c>
      <c r="G408" s="11">
        <v>397.8</v>
      </c>
      <c r="H408" s="11">
        <v>0</v>
      </c>
      <c r="I408" s="12">
        <v>66587.27</v>
      </c>
      <c r="J408" s="12">
        <v>23305.54</v>
      </c>
      <c r="K408" s="12">
        <v>899</v>
      </c>
      <c r="L408" s="12">
        <v>90791.81</v>
      </c>
      <c r="M408" s="13">
        <v>1293.07</v>
      </c>
      <c r="N408">
        <f>YEAR(B408)</f>
        <v>2023</v>
      </c>
      <c r="O408" s="24">
        <f>IFERROR(J408/$I408,0)</f>
        <v>0.34999993241951499</v>
      </c>
      <c r="P408" s="24">
        <f>IFERROR(K408/$I408,0)</f>
        <v>1.3501079110166252E-2</v>
      </c>
      <c r="Q408" s="24" t="str">
        <f>IF($G408&lt;&gt;0,"Beer",IF($H408&lt;&gt;0,"Liquor","-"))</f>
        <v>Beer</v>
      </c>
      <c r="R408" s="26">
        <f>IF($G408&lt;&gt;0,$G408,IF($H408&lt;&gt;0,$H408/0.75,0))</f>
        <v>397.8</v>
      </c>
      <c r="S408" s="32" t="b">
        <f>ISNUMBER(R408)</f>
        <v>1</v>
      </c>
      <c r="T408" s="32"/>
    </row>
    <row r="409" spans="1:20" x14ac:dyDescent="0.3">
      <c r="A409" s="9">
        <v>408</v>
      </c>
      <c r="B409" s="10">
        <v>45079.468310185184</v>
      </c>
      <c r="C409" s="11" t="s">
        <v>419</v>
      </c>
      <c r="D409" s="11" t="str">
        <f>IF(ISNUMBER(SEARCH("OSBC", C409)), "GOVT", "RETAIL")</f>
        <v>GOVT</v>
      </c>
      <c r="E409" s="12">
        <v>1293.07</v>
      </c>
      <c r="F409" s="12">
        <v>320000</v>
      </c>
      <c r="G409" s="11">
        <v>0</v>
      </c>
      <c r="H409" s="11">
        <v>0</v>
      </c>
      <c r="I409" s="12">
        <v>0</v>
      </c>
      <c r="J409" s="12">
        <v>0</v>
      </c>
      <c r="K409" s="12">
        <v>0</v>
      </c>
      <c r="L409" s="12">
        <v>0</v>
      </c>
      <c r="M409" s="13">
        <v>321293.07</v>
      </c>
      <c r="N409">
        <f>YEAR(B409)</f>
        <v>2023</v>
      </c>
      <c r="O409" s="24">
        <f>IFERROR(J409/$I409,0)</f>
        <v>0</v>
      </c>
      <c r="P409" s="24">
        <f>IFERROR(K409/$I409,0)</f>
        <v>0</v>
      </c>
      <c r="Q409" s="24" t="str">
        <f>IF($G409&lt;&gt;0,"Beer",IF($H409&lt;&gt;0,"Liquor","-"))</f>
        <v>-</v>
      </c>
      <c r="R409" s="26">
        <f>IF($G409&lt;&gt;0,$G409,IF($H409&lt;&gt;0,$H409/0.75,0))</f>
        <v>0</v>
      </c>
      <c r="S409" s="32" t="b">
        <f>ISNUMBER(R409)</f>
        <v>1</v>
      </c>
      <c r="T409" s="32"/>
    </row>
    <row r="410" spans="1:20" x14ac:dyDescent="0.3">
      <c r="A410" s="9">
        <v>409</v>
      </c>
      <c r="B410" s="10">
        <v>45079.530868055554</v>
      </c>
      <c r="C410" s="11" t="s">
        <v>420</v>
      </c>
      <c r="D410" s="11" t="str">
        <f>IF(ISNUMBER(SEARCH("OSBC", C410)), "GOVT", "RETAIL")</f>
        <v>RETAIL</v>
      </c>
      <c r="E410" s="12">
        <v>321293.07</v>
      </c>
      <c r="F410" s="12">
        <v>0</v>
      </c>
      <c r="G410" s="11">
        <v>418.8</v>
      </c>
      <c r="H410" s="11">
        <v>0</v>
      </c>
      <c r="I410" s="12">
        <v>71984.12</v>
      </c>
      <c r="J410" s="12">
        <v>25194.44</v>
      </c>
      <c r="K410" s="12">
        <v>972</v>
      </c>
      <c r="L410" s="12">
        <v>98150.56</v>
      </c>
      <c r="M410" s="13">
        <v>223142.51</v>
      </c>
      <c r="N410">
        <f>YEAR(B410)</f>
        <v>2023</v>
      </c>
      <c r="O410" s="24">
        <f>IFERROR(J410/$I410,0)</f>
        <v>0.34999997221609436</v>
      </c>
      <c r="P410" s="24">
        <f>IFERROR(K410/$I410,0)</f>
        <v>1.350297815684904E-2</v>
      </c>
      <c r="Q410" s="24" t="str">
        <f>IF($G410&lt;&gt;0,"Beer",IF($H410&lt;&gt;0,"Liquor","-"))</f>
        <v>Beer</v>
      </c>
      <c r="R410" s="26">
        <f>IF($G410&lt;&gt;0,$G410,IF($H410&lt;&gt;0,$H410/0.75,0))</f>
        <v>418.8</v>
      </c>
      <c r="S410" s="32" t="b">
        <f>ISNUMBER(R410)</f>
        <v>1</v>
      </c>
      <c r="T410" s="32"/>
    </row>
    <row r="411" spans="1:20" x14ac:dyDescent="0.3">
      <c r="A411" s="9">
        <v>410</v>
      </c>
      <c r="B411" s="10">
        <v>45079.531608796293</v>
      </c>
      <c r="C411" s="11" t="s">
        <v>421</v>
      </c>
      <c r="D411" s="11" t="str">
        <f>IF(ISNUMBER(SEARCH("OSBC", C411)), "GOVT", "RETAIL")</f>
        <v>RETAIL</v>
      </c>
      <c r="E411" s="12">
        <v>223142.51</v>
      </c>
      <c r="F411" s="12">
        <v>0</v>
      </c>
      <c r="G411" s="11">
        <v>0</v>
      </c>
      <c r="H411" s="11">
        <v>102.02</v>
      </c>
      <c r="I411" s="12">
        <v>99411.42</v>
      </c>
      <c r="J411" s="12">
        <v>34794</v>
      </c>
      <c r="K411" s="12">
        <v>1342</v>
      </c>
      <c r="L411" s="12">
        <v>135547.42000000001</v>
      </c>
      <c r="M411" s="13">
        <v>87595.09</v>
      </c>
      <c r="N411">
        <f>YEAR(B411)</f>
        <v>2023</v>
      </c>
      <c r="O411" s="24">
        <f>IFERROR(J411/$I411,0)</f>
        <v>0.35000003017761944</v>
      </c>
      <c r="P411" s="24">
        <f>IFERROR(K411/$I411,0)</f>
        <v>1.3499455092785115E-2</v>
      </c>
      <c r="Q411" s="24" t="str">
        <f>IF($G411&lt;&gt;0,"Beer",IF($H411&lt;&gt;0,"Liquor","-"))</f>
        <v>Liquor</v>
      </c>
      <c r="R411" s="26">
        <f>IF($G411&lt;&gt;0,$G411,IF($H411&lt;&gt;0,$H411/0.75,0))</f>
        <v>136.02666666666667</v>
      </c>
      <c r="S411" s="32" t="b">
        <f>ISNUMBER(R411)</f>
        <v>1</v>
      </c>
      <c r="T411" s="32"/>
    </row>
    <row r="412" spans="1:20" x14ac:dyDescent="0.3">
      <c r="A412" s="9">
        <v>411</v>
      </c>
      <c r="B412" s="10">
        <v>45083.819444444445</v>
      </c>
      <c r="C412" s="11" t="s">
        <v>422</v>
      </c>
      <c r="D412" s="11" t="str">
        <f>IF(ISNUMBER(SEARCH("OSBC", C412)), "GOVT", "RETAIL")</f>
        <v>RETAIL</v>
      </c>
      <c r="E412" s="12">
        <v>87595.09</v>
      </c>
      <c r="F412" s="12">
        <v>0</v>
      </c>
      <c r="G412" s="11">
        <v>383.4</v>
      </c>
      <c r="H412" s="11">
        <v>0</v>
      </c>
      <c r="I412" s="12">
        <v>63254.080000000002</v>
      </c>
      <c r="J412" s="12">
        <v>22139.02</v>
      </c>
      <c r="K412" s="12">
        <v>854</v>
      </c>
      <c r="L412" s="12">
        <v>86247.1</v>
      </c>
      <c r="M412" s="13">
        <v>1347.99</v>
      </c>
      <c r="N412">
        <f>YEAR(B412)</f>
        <v>2023</v>
      </c>
      <c r="O412" s="24">
        <f>IFERROR(J412/$I412,0)</f>
        <v>0.35000145445163378</v>
      </c>
      <c r="P412" s="24">
        <f>IFERROR(K412/$I412,0)</f>
        <v>1.3501105383241681E-2</v>
      </c>
      <c r="Q412" s="24" t="str">
        <f>IF($G412&lt;&gt;0,"Beer",IF($H412&lt;&gt;0,"Liquor","-"))</f>
        <v>Beer</v>
      </c>
      <c r="R412" s="26">
        <f>IF($G412&lt;&gt;0,$G412,IF($H412&lt;&gt;0,$H412/0.75,0))</f>
        <v>383.4</v>
      </c>
      <c r="S412" s="32" t="b">
        <f>ISNUMBER(R412)</f>
        <v>1</v>
      </c>
      <c r="T412" s="32"/>
    </row>
    <row r="413" spans="1:20" x14ac:dyDescent="0.3">
      <c r="A413" s="9">
        <v>412</v>
      </c>
      <c r="B413" s="10">
        <v>45089.46056712963</v>
      </c>
      <c r="C413" s="11" t="s">
        <v>423</v>
      </c>
      <c r="D413" s="11" t="str">
        <f>IF(ISNUMBER(SEARCH("OSBC", C413)), "GOVT", "RETAIL")</f>
        <v>GOVT</v>
      </c>
      <c r="E413" s="12">
        <v>1347.99</v>
      </c>
      <c r="F413" s="12">
        <v>150000</v>
      </c>
      <c r="G413" s="11">
        <v>0</v>
      </c>
      <c r="H413" s="11">
        <v>0</v>
      </c>
      <c r="I413" s="12">
        <v>0</v>
      </c>
      <c r="J413" s="12">
        <v>0</v>
      </c>
      <c r="K413" s="12">
        <v>0</v>
      </c>
      <c r="L413" s="12">
        <v>0</v>
      </c>
      <c r="M413" s="13">
        <v>151347.99</v>
      </c>
      <c r="N413">
        <f>YEAR(B413)</f>
        <v>2023</v>
      </c>
      <c r="O413" s="24">
        <f>IFERROR(J413/$I413,0)</f>
        <v>0</v>
      </c>
      <c r="P413" s="24">
        <f>IFERROR(K413/$I413,0)</f>
        <v>0</v>
      </c>
      <c r="Q413" s="24" t="str">
        <f>IF($G413&lt;&gt;0,"Beer",IF($H413&lt;&gt;0,"Liquor","-"))</f>
        <v>-</v>
      </c>
      <c r="R413" s="26">
        <f>IF($G413&lt;&gt;0,$G413,IF($H413&lt;&gt;0,$H413/0.75,0))</f>
        <v>0</v>
      </c>
      <c r="S413" s="32" t="b">
        <f>ISNUMBER(R413)</f>
        <v>1</v>
      </c>
      <c r="T413" s="32"/>
    </row>
    <row r="414" spans="1:20" x14ac:dyDescent="0.3">
      <c r="A414" s="9">
        <v>413</v>
      </c>
      <c r="B414" s="10">
        <v>45089.726180555554</v>
      </c>
      <c r="C414" s="11" t="s">
        <v>424</v>
      </c>
      <c r="D414" s="11" t="str">
        <f>IF(ISNUMBER(SEARCH("OSBC", C414)), "GOVT", "RETAIL")</f>
        <v>RETAIL</v>
      </c>
      <c r="E414" s="12">
        <v>151347.99</v>
      </c>
      <c r="F414" s="12">
        <v>0</v>
      </c>
      <c r="G414" s="11">
        <v>583.79999999999995</v>
      </c>
      <c r="H414" s="11">
        <v>0</v>
      </c>
      <c r="I414" s="12">
        <v>94920.71</v>
      </c>
      <c r="J414" s="12">
        <v>33222.26</v>
      </c>
      <c r="K414" s="12">
        <v>1281</v>
      </c>
      <c r="L414" s="12">
        <v>129423.97</v>
      </c>
      <c r="M414" s="13">
        <v>21924.02</v>
      </c>
      <c r="N414">
        <f>YEAR(B414)</f>
        <v>2023</v>
      </c>
      <c r="O414" s="24">
        <f>IFERROR(J414/$I414,0)</f>
        <v>0.35000012115375034</v>
      </c>
      <c r="P414" s="24">
        <f>IFERROR(K414/$I414,0)</f>
        <v>1.3495474275318841E-2</v>
      </c>
      <c r="Q414" s="24" t="str">
        <f>IF($G414&lt;&gt;0,"Beer",IF($H414&lt;&gt;0,"Liquor","-"))</f>
        <v>Beer</v>
      </c>
      <c r="R414" s="26">
        <f>IF($G414&lt;&gt;0,$G414,IF($H414&lt;&gt;0,$H414/0.75,0))</f>
        <v>583.79999999999995</v>
      </c>
      <c r="S414" s="32" t="b">
        <f>ISNUMBER(R414)</f>
        <v>1</v>
      </c>
      <c r="T414" s="32"/>
    </row>
    <row r="415" spans="1:20" x14ac:dyDescent="0.3">
      <c r="A415" s="9">
        <v>414</v>
      </c>
      <c r="B415" s="10">
        <v>45094.381724537037</v>
      </c>
      <c r="C415" s="11" t="s">
        <v>425</v>
      </c>
      <c r="D415" s="11" t="str">
        <f>IF(ISNUMBER(SEARCH("OSBC", C415)), "GOVT", "RETAIL")</f>
        <v>GOVT</v>
      </c>
      <c r="E415" s="12">
        <v>21924.02</v>
      </c>
      <c r="F415" s="12">
        <v>340000</v>
      </c>
      <c r="G415" s="11">
        <v>0</v>
      </c>
      <c r="H415" s="11">
        <v>0</v>
      </c>
      <c r="I415" s="12">
        <v>0</v>
      </c>
      <c r="J415" s="12">
        <v>0</v>
      </c>
      <c r="K415" s="12">
        <v>0</v>
      </c>
      <c r="L415" s="12">
        <v>0</v>
      </c>
      <c r="M415" s="13">
        <v>361924.02</v>
      </c>
      <c r="N415">
        <f>YEAR(B415)</f>
        <v>2023</v>
      </c>
      <c r="O415" s="24">
        <f>IFERROR(J415/$I415,0)</f>
        <v>0</v>
      </c>
      <c r="P415" s="24">
        <f>IFERROR(K415/$I415,0)</f>
        <v>0</v>
      </c>
      <c r="Q415" s="24" t="str">
        <f>IF($G415&lt;&gt;0,"Beer",IF($H415&lt;&gt;0,"Liquor","-"))</f>
        <v>-</v>
      </c>
      <c r="R415" s="26">
        <f>IF($G415&lt;&gt;0,$G415,IF($H415&lt;&gt;0,$H415/0.75,0))</f>
        <v>0</v>
      </c>
      <c r="S415" s="32" t="b">
        <f>ISNUMBER(R415)</f>
        <v>1</v>
      </c>
      <c r="T415" s="32"/>
    </row>
    <row r="416" spans="1:20" x14ac:dyDescent="0.3">
      <c r="A416" s="9">
        <v>415</v>
      </c>
      <c r="B416" s="10">
        <v>45094.522719907407</v>
      </c>
      <c r="C416" s="11" t="s">
        <v>426</v>
      </c>
      <c r="D416" s="11" t="str">
        <f>IF(ISNUMBER(SEARCH("OSBC", C416)), "GOVT", "RETAIL")</f>
        <v>GOVT</v>
      </c>
      <c r="E416" s="12">
        <v>361924.02</v>
      </c>
      <c r="F416" s="12">
        <v>80000</v>
      </c>
      <c r="G416" s="11">
        <v>0</v>
      </c>
      <c r="H416" s="11">
        <v>0</v>
      </c>
      <c r="I416" s="12">
        <v>0</v>
      </c>
      <c r="J416" s="12">
        <v>0</v>
      </c>
      <c r="K416" s="12">
        <v>0</v>
      </c>
      <c r="L416" s="12">
        <v>0</v>
      </c>
      <c r="M416" s="13">
        <v>441924.02</v>
      </c>
      <c r="N416">
        <f>YEAR(B416)</f>
        <v>2023</v>
      </c>
      <c r="O416" s="24">
        <f>IFERROR(J416/$I416,0)</f>
        <v>0</v>
      </c>
      <c r="P416" s="24">
        <f>IFERROR(K416/$I416,0)</f>
        <v>0</v>
      </c>
      <c r="Q416" s="24" t="str">
        <f>IF($G416&lt;&gt;0,"Beer",IF($H416&lt;&gt;0,"Liquor","-"))</f>
        <v>-</v>
      </c>
      <c r="R416" s="26">
        <f>IF($G416&lt;&gt;0,$G416,IF($H416&lt;&gt;0,$H416/0.75,0))</f>
        <v>0</v>
      </c>
      <c r="S416" s="32" t="b">
        <f>ISNUMBER(R416)</f>
        <v>1</v>
      </c>
      <c r="T416" s="32"/>
    </row>
    <row r="417" spans="1:20" x14ac:dyDescent="0.3">
      <c r="A417" s="9">
        <v>416</v>
      </c>
      <c r="B417" s="10">
        <v>45094.952592592592</v>
      </c>
      <c r="C417" s="11" t="s">
        <v>427</v>
      </c>
      <c r="D417" s="11" t="str">
        <f>IF(ISNUMBER(SEARCH("OSBC", C417)), "GOVT", "RETAIL")</f>
        <v>RETAIL</v>
      </c>
      <c r="E417" s="12">
        <v>441924.02</v>
      </c>
      <c r="F417" s="12">
        <v>0</v>
      </c>
      <c r="G417" s="11">
        <v>0</v>
      </c>
      <c r="H417" s="11">
        <v>248.4</v>
      </c>
      <c r="I417" s="12">
        <v>215763.31</v>
      </c>
      <c r="J417" s="12">
        <v>75517.16</v>
      </c>
      <c r="K417" s="12">
        <v>2913</v>
      </c>
      <c r="L417" s="12">
        <v>294193.46999999997</v>
      </c>
      <c r="M417" s="13">
        <v>147730.54999999999</v>
      </c>
      <c r="N417">
        <f>YEAR(B417)</f>
        <v>2023</v>
      </c>
      <c r="O417" s="24">
        <f>IFERROR(J417/$I417,0)</f>
        <v>0.35000000695206246</v>
      </c>
      <c r="P417" s="24">
        <f>IFERROR(K417/$I417,0)</f>
        <v>1.3500905228048272E-2</v>
      </c>
      <c r="Q417" s="24" t="str">
        <f>IF($G417&lt;&gt;0,"Beer",IF($H417&lt;&gt;0,"Liquor","-"))</f>
        <v>Liquor</v>
      </c>
      <c r="R417" s="26">
        <f>IF($G417&lt;&gt;0,$G417,IF($H417&lt;&gt;0,$H417/0.75,0))</f>
        <v>331.2</v>
      </c>
      <c r="S417" s="32" t="b">
        <f>ISNUMBER(R417)</f>
        <v>1</v>
      </c>
      <c r="T417" s="32"/>
    </row>
    <row r="418" spans="1:20" x14ac:dyDescent="0.3">
      <c r="A418" s="9">
        <v>417</v>
      </c>
      <c r="B418" s="10">
        <v>45094.9528587963</v>
      </c>
      <c r="C418" s="11" t="s">
        <v>428</v>
      </c>
      <c r="D418" s="11" t="str">
        <f>IF(ISNUMBER(SEARCH("OSBC", C418)), "GOVT", "RETAIL")</f>
        <v>RETAIL</v>
      </c>
      <c r="E418" s="12">
        <v>147730.54999999999</v>
      </c>
      <c r="F418" s="12">
        <v>0</v>
      </c>
      <c r="G418" s="11">
        <v>336.6</v>
      </c>
      <c r="H418" s="11">
        <v>0</v>
      </c>
      <c r="I418" s="12">
        <v>62063.56</v>
      </c>
      <c r="J418" s="12">
        <v>21722.22</v>
      </c>
      <c r="K418" s="12">
        <v>838</v>
      </c>
      <c r="L418" s="12">
        <v>84623.78</v>
      </c>
      <c r="M418" s="13">
        <v>63106.77</v>
      </c>
      <c r="N418">
        <f>YEAR(B418)</f>
        <v>2023</v>
      </c>
      <c r="O418" s="24">
        <f>IFERROR(J418/$I418,0)</f>
        <v>0.34999958107462742</v>
      </c>
      <c r="P418" s="24">
        <f>IFERROR(K418/$I418,0)</f>
        <v>1.3502287010284296E-2</v>
      </c>
      <c r="Q418" s="24" t="str">
        <f>IF($G418&lt;&gt;0,"Beer",IF($H418&lt;&gt;0,"Liquor","-"))</f>
        <v>Beer</v>
      </c>
      <c r="R418" s="26">
        <f>IF($G418&lt;&gt;0,$G418,IF($H418&lt;&gt;0,$H418/0.75,0))</f>
        <v>336.6</v>
      </c>
      <c r="S418" s="32" t="b">
        <f>ISNUMBER(R418)</f>
        <v>1</v>
      </c>
      <c r="T418" s="32"/>
    </row>
    <row r="419" spans="1:20" x14ac:dyDescent="0.3">
      <c r="A419" s="9">
        <v>418</v>
      </c>
      <c r="B419" s="10">
        <v>45096.432719907411</v>
      </c>
      <c r="C419" s="11" t="s">
        <v>429</v>
      </c>
      <c r="D419" s="11" t="str">
        <f>IF(ISNUMBER(SEARCH("OSBC", C419)), "GOVT", "RETAIL")</f>
        <v>GOVT</v>
      </c>
      <c r="E419" s="12">
        <v>63106.77</v>
      </c>
      <c r="F419" s="12">
        <v>120000</v>
      </c>
      <c r="G419" s="11">
        <v>0</v>
      </c>
      <c r="H419" s="11">
        <v>0</v>
      </c>
      <c r="I419" s="12">
        <v>0</v>
      </c>
      <c r="J419" s="12">
        <v>0</v>
      </c>
      <c r="K419" s="12">
        <v>0</v>
      </c>
      <c r="L419" s="12">
        <v>0</v>
      </c>
      <c r="M419" s="13">
        <v>183106.77</v>
      </c>
      <c r="N419">
        <f>YEAR(B419)</f>
        <v>2023</v>
      </c>
      <c r="O419" s="24">
        <f>IFERROR(J419/$I419,0)</f>
        <v>0</v>
      </c>
      <c r="P419" s="24">
        <f>IFERROR(K419/$I419,0)</f>
        <v>0</v>
      </c>
      <c r="Q419" s="24" t="str">
        <f>IF($G419&lt;&gt;0,"Beer",IF($H419&lt;&gt;0,"Liquor","-"))</f>
        <v>-</v>
      </c>
      <c r="R419" s="26">
        <f>IF($G419&lt;&gt;0,$G419,IF($H419&lt;&gt;0,$H419/0.75,0))</f>
        <v>0</v>
      </c>
      <c r="S419" s="32" t="b">
        <f>ISNUMBER(R419)</f>
        <v>1</v>
      </c>
      <c r="T419" s="32"/>
    </row>
    <row r="420" spans="1:20" x14ac:dyDescent="0.3">
      <c r="A420" s="9">
        <v>419</v>
      </c>
      <c r="B420" s="10">
        <v>45096.902256944442</v>
      </c>
      <c r="C420" s="11" t="s">
        <v>430</v>
      </c>
      <c r="D420" s="11" t="str">
        <f>IF(ISNUMBER(SEARCH("OSBC", C420)), "GOVT", "RETAIL")</f>
        <v>RETAIL</v>
      </c>
      <c r="E420" s="12">
        <v>183106.77</v>
      </c>
      <c r="F420" s="12">
        <v>0</v>
      </c>
      <c r="G420" s="11">
        <v>475.8</v>
      </c>
      <c r="H420" s="11">
        <v>0</v>
      </c>
      <c r="I420" s="12">
        <v>73016</v>
      </c>
      <c r="J420" s="12">
        <v>25555.64</v>
      </c>
      <c r="K420" s="12">
        <v>986</v>
      </c>
      <c r="L420" s="12">
        <v>99557.64</v>
      </c>
      <c r="M420" s="13">
        <v>83549.13</v>
      </c>
      <c r="N420">
        <f>YEAR(B420)</f>
        <v>2023</v>
      </c>
      <c r="O420" s="24">
        <f>IFERROR(J420/$I420,0)</f>
        <v>0.35000054782513423</v>
      </c>
      <c r="P420" s="24">
        <f>IFERROR(K420/$I420,0)</f>
        <v>1.3503889558452942E-2</v>
      </c>
      <c r="Q420" s="24" t="str">
        <f>IF($G420&lt;&gt;0,"Beer",IF($H420&lt;&gt;0,"Liquor","-"))</f>
        <v>Beer</v>
      </c>
      <c r="R420" s="26">
        <f>IF($G420&lt;&gt;0,$G420,IF($H420&lt;&gt;0,$H420/0.75,0))</f>
        <v>475.8</v>
      </c>
      <c r="S420" s="32" t="b">
        <f>ISNUMBER(R420)</f>
        <v>1</v>
      </c>
      <c r="T420" s="32"/>
    </row>
    <row r="421" spans="1:20" x14ac:dyDescent="0.3">
      <c r="A421" s="9">
        <v>420</v>
      </c>
      <c r="B421" s="10">
        <v>45099.461192129631</v>
      </c>
      <c r="C421" s="11" t="s">
        <v>431</v>
      </c>
      <c r="D421" s="11" t="str">
        <f>IF(ISNUMBER(SEARCH("OSBC", C421)), "GOVT", "RETAIL")</f>
        <v>GOVT</v>
      </c>
      <c r="E421" s="12">
        <v>83549.13</v>
      </c>
      <c r="F421" s="12">
        <v>100000</v>
      </c>
      <c r="G421" s="11">
        <v>0</v>
      </c>
      <c r="H421" s="11">
        <v>0</v>
      </c>
      <c r="I421" s="12">
        <v>0</v>
      </c>
      <c r="J421" s="12">
        <v>0</v>
      </c>
      <c r="K421" s="12">
        <v>0</v>
      </c>
      <c r="L421" s="12">
        <v>0</v>
      </c>
      <c r="M421" s="13">
        <v>183549.13</v>
      </c>
      <c r="N421">
        <f>YEAR(B421)</f>
        <v>2023</v>
      </c>
      <c r="O421" s="24">
        <f>IFERROR(J421/$I421,0)</f>
        <v>0</v>
      </c>
      <c r="P421" s="24">
        <f>IFERROR(K421/$I421,0)</f>
        <v>0</v>
      </c>
      <c r="Q421" s="24" t="str">
        <f>IF($G421&lt;&gt;0,"Beer",IF($H421&lt;&gt;0,"Liquor","-"))</f>
        <v>-</v>
      </c>
      <c r="R421" s="26">
        <f>IF($G421&lt;&gt;0,$G421,IF($H421&lt;&gt;0,$H421/0.75,0))</f>
        <v>0</v>
      </c>
      <c r="S421" s="32" t="b">
        <f>ISNUMBER(R421)</f>
        <v>1</v>
      </c>
      <c r="T421" s="32"/>
    </row>
    <row r="422" spans="1:20" x14ac:dyDescent="0.3">
      <c r="A422" s="9">
        <v>421</v>
      </c>
      <c r="B422" s="10">
        <v>45099.718344907407</v>
      </c>
      <c r="C422" s="11" t="s">
        <v>432</v>
      </c>
      <c r="D422" s="11" t="str">
        <f>IF(ISNUMBER(SEARCH("OSBC", C422)), "GOVT", "RETAIL")</f>
        <v>RETAIL</v>
      </c>
      <c r="E422" s="12">
        <v>183549.13</v>
      </c>
      <c r="F422" s="12">
        <v>0</v>
      </c>
      <c r="G422" s="11">
        <v>774</v>
      </c>
      <c r="H422" s="11">
        <v>0</v>
      </c>
      <c r="I422" s="12">
        <v>120952.59</v>
      </c>
      <c r="J422" s="12">
        <v>42333.56</v>
      </c>
      <c r="K422" s="12">
        <v>1633</v>
      </c>
      <c r="L422" s="12">
        <v>164919.15</v>
      </c>
      <c r="M422" s="13">
        <v>18629.98</v>
      </c>
      <c r="N422">
        <f>YEAR(B422)</f>
        <v>2023</v>
      </c>
      <c r="O422" s="24">
        <f>IFERROR(J422/$I422,0)</f>
        <v>0.35000126909229473</v>
      </c>
      <c r="P422" s="24">
        <f>IFERROR(K422/$I422,0)</f>
        <v>1.3501157767684017E-2</v>
      </c>
      <c r="Q422" s="24" t="str">
        <f>IF($G422&lt;&gt;0,"Beer",IF($H422&lt;&gt;0,"Liquor","-"))</f>
        <v>Beer</v>
      </c>
      <c r="R422" s="26">
        <f>IF($G422&lt;&gt;0,$G422,IF($H422&lt;&gt;0,$H422/0.75,0))</f>
        <v>774</v>
      </c>
      <c r="S422" s="32" t="b">
        <f>ISNUMBER(R422)</f>
        <v>1</v>
      </c>
      <c r="T422" s="32"/>
    </row>
    <row r="423" spans="1:20" x14ac:dyDescent="0.3">
      <c r="A423" s="9">
        <v>422</v>
      </c>
      <c r="B423" s="10">
        <v>45101.492766203701</v>
      </c>
      <c r="C423" s="11" t="s">
        <v>433</v>
      </c>
      <c r="D423" s="11" t="str">
        <f>IF(ISNUMBER(SEARCH("OSBC", C423)), "GOVT", "RETAIL")</f>
        <v>GOVT</v>
      </c>
      <c r="E423" s="12">
        <v>18629.98</v>
      </c>
      <c r="F423" s="12">
        <v>202000</v>
      </c>
      <c r="G423" s="11">
        <v>0</v>
      </c>
      <c r="H423" s="11">
        <v>0</v>
      </c>
      <c r="I423" s="12">
        <v>0</v>
      </c>
      <c r="J423" s="12">
        <v>0</v>
      </c>
      <c r="K423" s="12">
        <v>0</v>
      </c>
      <c r="L423" s="12">
        <v>0</v>
      </c>
      <c r="M423" s="13">
        <v>220629.98</v>
      </c>
      <c r="N423">
        <f>YEAR(B423)</f>
        <v>2023</v>
      </c>
      <c r="O423" s="24">
        <f>IFERROR(J423/$I423,0)</f>
        <v>0</v>
      </c>
      <c r="P423" s="24">
        <f>IFERROR(K423/$I423,0)</f>
        <v>0</v>
      </c>
      <c r="Q423" s="24" t="str">
        <f>IF($G423&lt;&gt;0,"Beer",IF($H423&lt;&gt;0,"Liquor","-"))</f>
        <v>-</v>
      </c>
      <c r="R423" s="26">
        <f>IF($G423&lt;&gt;0,$G423,IF($H423&lt;&gt;0,$H423/0.75,0))</f>
        <v>0</v>
      </c>
      <c r="S423" s="32" t="b">
        <f>ISNUMBER(R423)</f>
        <v>1</v>
      </c>
      <c r="T423" s="32"/>
    </row>
    <row r="424" spans="1:20" x14ac:dyDescent="0.3">
      <c r="A424" s="9">
        <v>423</v>
      </c>
      <c r="B424" s="10">
        <v>45101.78056712963</v>
      </c>
      <c r="C424" s="11" t="s">
        <v>434</v>
      </c>
      <c r="D424" s="11" t="str">
        <f>IF(ISNUMBER(SEARCH("OSBC", C424)), "GOVT", "RETAIL")</f>
        <v>RETAIL</v>
      </c>
      <c r="E424" s="12">
        <v>220629.98</v>
      </c>
      <c r="F424" s="12">
        <v>0</v>
      </c>
      <c r="G424" s="11">
        <v>492</v>
      </c>
      <c r="H424" s="11">
        <v>0</v>
      </c>
      <c r="I424" s="12">
        <v>76031.92</v>
      </c>
      <c r="J424" s="12">
        <v>26611.24</v>
      </c>
      <c r="K424" s="12">
        <v>1026</v>
      </c>
      <c r="L424" s="12">
        <v>103669.16</v>
      </c>
      <c r="M424" s="13">
        <v>116960.82</v>
      </c>
      <c r="N424">
        <f>YEAR(B424)</f>
        <v>2023</v>
      </c>
      <c r="O424" s="24">
        <f>IFERROR(J424/$I424,0)</f>
        <v>0.3500008943612104</v>
      </c>
      <c r="P424" s="24">
        <f>IFERROR(K424/$I424,0)</f>
        <v>1.3494332380400232E-2</v>
      </c>
      <c r="Q424" s="24" t="str">
        <f>IF($G424&lt;&gt;0,"Beer",IF($H424&lt;&gt;0,"Liquor","-"))</f>
        <v>Beer</v>
      </c>
      <c r="R424" s="26">
        <f>IF($G424&lt;&gt;0,$G424,IF($H424&lt;&gt;0,$H424/0.75,0))</f>
        <v>492</v>
      </c>
      <c r="S424" s="32" t="b">
        <f>ISNUMBER(R424)</f>
        <v>1</v>
      </c>
      <c r="T424" s="32"/>
    </row>
    <row r="425" spans="1:20" x14ac:dyDescent="0.3">
      <c r="A425" s="9">
        <v>424</v>
      </c>
      <c r="B425" s="10">
        <v>45101.781412037039</v>
      </c>
      <c r="C425" s="11" t="s">
        <v>435</v>
      </c>
      <c r="D425" s="11" t="str">
        <f>IF(ISNUMBER(SEARCH("OSBC", C425)), "GOVT", "RETAIL")</f>
        <v>RETAIL</v>
      </c>
      <c r="E425" s="12">
        <v>116960.82</v>
      </c>
      <c r="F425" s="12">
        <v>0</v>
      </c>
      <c r="G425" s="11">
        <v>0</v>
      </c>
      <c r="H425" s="11">
        <v>86.64</v>
      </c>
      <c r="I425" s="12">
        <v>85142.9</v>
      </c>
      <c r="J425" s="12">
        <v>29800.01</v>
      </c>
      <c r="K425" s="12">
        <v>1149</v>
      </c>
      <c r="L425" s="12">
        <v>116091.91</v>
      </c>
      <c r="M425" s="13">
        <v>868.91</v>
      </c>
      <c r="N425">
        <f>YEAR(B425)</f>
        <v>2023</v>
      </c>
      <c r="O425" s="24">
        <f>IFERROR(J425/$I425,0)</f>
        <v>0.34999994127519735</v>
      </c>
      <c r="P425" s="24">
        <f>IFERROR(K425/$I425,0)</f>
        <v>1.3494959650188097E-2</v>
      </c>
      <c r="Q425" s="24" t="str">
        <f>IF($G425&lt;&gt;0,"Beer",IF($H425&lt;&gt;0,"Liquor","-"))</f>
        <v>Liquor</v>
      </c>
      <c r="R425" s="26">
        <f>IF($G425&lt;&gt;0,$G425,IF($H425&lt;&gt;0,$H425/0.75,0))</f>
        <v>115.52</v>
      </c>
      <c r="S425" s="32" t="b">
        <f>ISNUMBER(R425)</f>
        <v>1</v>
      </c>
      <c r="T425" s="32"/>
    </row>
    <row r="426" spans="1:20" x14ac:dyDescent="0.3">
      <c r="A426" s="9">
        <v>425</v>
      </c>
      <c r="B426" s="10">
        <v>45106.466979166667</v>
      </c>
      <c r="C426" s="11" t="s">
        <v>436</v>
      </c>
      <c r="D426" s="11" t="str">
        <f>IF(ISNUMBER(SEARCH("OSBC", C426)), "GOVT", "RETAIL")</f>
        <v>GOVT</v>
      </c>
      <c r="E426" s="12">
        <v>868.91</v>
      </c>
      <c r="F426" s="12">
        <v>350000</v>
      </c>
      <c r="G426" s="11">
        <v>0</v>
      </c>
      <c r="H426" s="11">
        <v>0</v>
      </c>
      <c r="I426" s="12">
        <v>0</v>
      </c>
      <c r="J426" s="12">
        <v>0</v>
      </c>
      <c r="K426" s="12">
        <v>0</v>
      </c>
      <c r="L426" s="12">
        <v>0</v>
      </c>
      <c r="M426" s="13">
        <v>350868.91</v>
      </c>
      <c r="N426">
        <f>YEAR(B426)</f>
        <v>2023</v>
      </c>
      <c r="O426" s="24">
        <f>IFERROR(J426/$I426,0)</f>
        <v>0</v>
      </c>
      <c r="P426" s="24">
        <f>IFERROR(K426/$I426,0)</f>
        <v>0</v>
      </c>
      <c r="Q426" s="24" t="str">
        <f>IF($G426&lt;&gt;0,"Beer",IF($H426&lt;&gt;0,"Liquor","-"))</f>
        <v>-</v>
      </c>
      <c r="R426" s="26">
        <f>IF($G426&lt;&gt;0,$G426,IF($H426&lt;&gt;0,$H426/0.75,0))</f>
        <v>0</v>
      </c>
      <c r="S426" s="32" t="b">
        <f>ISNUMBER(R426)</f>
        <v>1</v>
      </c>
      <c r="T426" s="32"/>
    </row>
    <row r="427" spans="1:20" x14ac:dyDescent="0.3">
      <c r="A427" s="9">
        <v>426</v>
      </c>
      <c r="B427" s="10">
        <v>45106.728449074071</v>
      </c>
      <c r="C427" s="11" t="s">
        <v>437</v>
      </c>
      <c r="D427" s="11" t="str">
        <f>IF(ISNUMBER(SEARCH("OSBC", C427)), "GOVT", "RETAIL")</f>
        <v>RETAIL</v>
      </c>
      <c r="E427" s="12">
        <v>350868.91</v>
      </c>
      <c r="F427" s="12">
        <v>0</v>
      </c>
      <c r="G427" s="11">
        <v>0</v>
      </c>
      <c r="H427" s="11">
        <v>256.93</v>
      </c>
      <c r="I427" s="12">
        <v>257010.63</v>
      </c>
      <c r="J427" s="12">
        <v>89953.72</v>
      </c>
      <c r="K427" s="12">
        <v>3470</v>
      </c>
      <c r="L427" s="12">
        <v>350434.35</v>
      </c>
      <c r="M427" s="13">
        <v>434.56</v>
      </c>
      <c r="N427">
        <f>YEAR(B427)</f>
        <v>2023</v>
      </c>
      <c r="O427" s="24">
        <f>IFERROR(J427/$I427,0)</f>
        <v>0.34999999805455517</v>
      </c>
      <c r="P427" s="24">
        <f>IFERROR(K427/$I427,0)</f>
        <v>1.350138708270549E-2</v>
      </c>
      <c r="Q427" s="24" t="str">
        <f>IF($G427&lt;&gt;0,"Beer",IF($H427&lt;&gt;0,"Liquor","-"))</f>
        <v>Liquor</v>
      </c>
      <c r="R427" s="26">
        <f>IF($G427&lt;&gt;0,$G427,IF($H427&lt;&gt;0,$H427/0.75,0))</f>
        <v>342.57333333333332</v>
      </c>
      <c r="S427" s="32" t="b">
        <f>ISNUMBER(R427)</f>
        <v>1</v>
      </c>
      <c r="T427" s="32"/>
    </row>
    <row r="428" spans="1:20" x14ac:dyDescent="0.3">
      <c r="A428" s="9">
        <v>427</v>
      </c>
      <c r="B428" s="10">
        <v>45111.491631944446</v>
      </c>
      <c r="C428" s="11" t="s">
        <v>438</v>
      </c>
      <c r="D428" s="11" t="str">
        <f>IF(ISNUMBER(SEARCH("OSBC", C428)), "GOVT", "RETAIL")</f>
        <v>GOVT</v>
      </c>
      <c r="E428" s="12">
        <v>434.56</v>
      </c>
      <c r="F428" s="12">
        <v>320000</v>
      </c>
      <c r="G428" s="11">
        <v>0</v>
      </c>
      <c r="H428" s="11">
        <v>0</v>
      </c>
      <c r="I428" s="12">
        <v>0</v>
      </c>
      <c r="J428" s="12">
        <v>0</v>
      </c>
      <c r="K428" s="12">
        <v>0</v>
      </c>
      <c r="L428" s="12">
        <v>0</v>
      </c>
      <c r="M428" s="13">
        <v>320434.56</v>
      </c>
      <c r="N428">
        <f>YEAR(B428)</f>
        <v>2023</v>
      </c>
      <c r="O428" s="24">
        <f>IFERROR(J428/$I428,0)</f>
        <v>0</v>
      </c>
      <c r="P428" s="24">
        <f>IFERROR(K428/$I428,0)</f>
        <v>0</v>
      </c>
      <c r="Q428" s="24" t="str">
        <f>IF($G428&lt;&gt;0,"Beer",IF($H428&lt;&gt;0,"Liquor","-"))</f>
        <v>-</v>
      </c>
      <c r="R428" s="26">
        <f>IF($G428&lt;&gt;0,$G428,IF($H428&lt;&gt;0,$H428/0.75,0))</f>
        <v>0</v>
      </c>
      <c r="S428" s="32" t="b">
        <f>ISNUMBER(R428)</f>
        <v>1</v>
      </c>
      <c r="T428" s="32"/>
    </row>
    <row r="429" spans="1:20" x14ac:dyDescent="0.3">
      <c r="A429" s="9">
        <v>428</v>
      </c>
      <c r="B429" s="10">
        <v>45111.735046296293</v>
      </c>
      <c r="C429" s="11" t="s">
        <v>439</v>
      </c>
      <c r="D429" s="11" t="str">
        <f>IF(ISNUMBER(SEARCH("OSBC", C429)), "GOVT", "RETAIL")</f>
        <v>RETAIL</v>
      </c>
      <c r="E429" s="12">
        <v>320434.56</v>
      </c>
      <c r="F429" s="12">
        <v>0</v>
      </c>
      <c r="G429" s="11">
        <v>0</v>
      </c>
      <c r="H429" s="11">
        <v>106.38</v>
      </c>
      <c r="I429" s="12">
        <v>101269.85</v>
      </c>
      <c r="J429" s="12">
        <v>35444.449999999997</v>
      </c>
      <c r="K429" s="12">
        <v>1367</v>
      </c>
      <c r="L429" s="12">
        <v>138081.29999999999</v>
      </c>
      <c r="M429" s="13">
        <v>182353.26</v>
      </c>
      <c r="N429">
        <f>YEAR(B429)</f>
        <v>2023</v>
      </c>
      <c r="O429" s="24">
        <f>IFERROR(J429/$I429,0)</f>
        <v>0.3500000246865182</v>
      </c>
      <c r="P429" s="24">
        <f>IFERROR(K429/$I429,0)</f>
        <v>1.3498588178021395E-2</v>
      </c>
      <c r="Q429" s="24" t="str">
        <f>IF($G429&lt;&gt;0,"Beer",IF($H429&lt;&gt;0,"Liquor","-"))</f>
        <v>Liquor</v>
      </c>
      <c r="R429" s="26">
        <f>IF($G429&lt;&gt;0,$G429,IF($H429&lt;&gt;0,$H429/0.75,0))</f>
        <v>141.84</v>
      </c>
      <c r="S429" s="32" t="b">
        <f>ISNUMBER(R429)</f>
        <v>1</v>
      </c>
      <c r="T429" s="32"/>
    </row>
    <row r="430" spans="1:20" x14ac:dyDescent="0.3">
      <c r="A430" s="9">
        <v>429</v>
      </c>
      <c r="B430" s="10">
        <v>45111.736504629633</v>
      </c>
      <c r="C430" s="11" t="s">
        <v>440</v>
      </c>
      <c r="D430" s="11" t="str">
        <f>IF(ISNUMBER(SEARCH("OSBC", C430)), "GOVT", "RETAIL")</f>
        <v>RETAIL</v>
      </c>
      <c r="E430" s="12">
        <v>182353.26</v>
      </c>
      <c r="F430" s="12">
        <v>0</v>
      </c>
      <c r="G430" s="11">
        <v>791.4</v>
      </c>
      <c r="H430" s="11">
        <v>0</v>
      </c>
      <c r="I430" s="12">
        <v>133492.13</v>
      </c>
      <c r="J430" s="12">
        <v>46722.18</v>
      </c>
      <c r="K430" s="12">
        <v>1802</v>
      </c>
      <c r="L430" s="12">
        <v>182016.31</v>
      </c>
      <c r="M430" s="13">
        <v>336.95</v>
      </c>
      <c r="N430">
        <f>YEAR(B430)</f>
        <v>2023</v>
      </c>
      <c r="O430" s="24">
        <f>IFERROR(J430/$I430,0)</f>
        <v>0.34999950933437046</v>
      </c>
      <c r="P430" s="24">
        <f>IFERROR(K430/$I430,0)</f>
        <v>1.3498923120037113E-2</v>
      </c>
      <c r="Q430" s="24" t="str">
        <f>IF($G430&lt;&gt;0,"Beer",IF($H430&lt;&gt;0,"Liquor","-"))</f>
        <v>Beer</v>
      </c>
      <c r="R430" s="26">
        <f>IF($G430&lt;&gt;0,$G430,IF($H430&lt;&gt;0,$H430/0.75,0))</f>
        <v>791.4</v>
      </c>
      <c r="S430" s="32" t="b">
        <f>ISNUMBER(R430)</f>
        <v>1</v>
      </c>
      <c r="T430" s="32"/>
    </row>
    <row r="431" spans="1:20" x14ac:dyDescent="0.3">
      <c r="A431" s="9">
        <v>430</v>
      </c>
      <c r="B431" s="10">
        <v>45120.497824074075</v>
      </c>
      <c r="C431" s="11" t="s">
        <v>441</v>
      </c>
      <c r="D431" s="11" t="str">
        <f>IF(ISNUMBER(SEARCH("OSBC", C431)), "GOVT", "RETAIL")</f>
        <v>GOVT</v>
      </c>
      <c r="E431" s="12">
        <v>336.95</v>
      </c>
      <c r="F431" s="12">
        <v>275000</v>
      </c>
      <c r="G431" s="11">
        <v>0</v>
      </c>
      <c r="H431" s="11">
        <v>0</v>
      </c>
      <c r="I431" s="12">
        <v>0</v>
      </c>
      <c r="J431" s="12">
        <v>0</v>
      </c>
      <c r="K431" s="12">
        <v>0</v>
      </c>
      <c r="L431" s="12">
        <v>0</v>
      </c>
      <c r="M431" s="13">
        <v>275336.95</v>
      </c>
      <c r="N431">
        <f>YEAR(B431)</f>
        <v>2023</v>
      </c>
      <c r="O431" s="24">
        <f>IFERROR(J431/$I431,0)</f>
        <v>0</v>
      </c>
      <c r="P431" s="24">
        <f>IFERROR(K431/$I431,0)</f>
        <v>0</v>
      </c>
      <c r="Q431" s="24" t="str">
        <f>IF($G431&lt;&gt;0,"Beer",IF($H431&lt;&gt;0,"Liquor","-"))</f>
        <v>-</v>
      </c>
      <c r="R431" s="26">
        <f>IF($G431&lt;&gt;0,$G431,IF($H431&lt;&gt;0,$H431/0.75,0))</f>
        <v>0</v>
      </c>
      <c r="S431" s="32" t="b">
        <f>ISNUMBER(R431)</f>
        <v>1</v>
      </c>
      <c r="T431" s="32"/>
    </row>
    <row r="432" spans="1:20" x14ac:dyDescent="0.3">
      <c r="A432" s="9">
        <v>431</v>
      </c>
      <c r="B432" s="10">
        <v>45121.354618055557</v>
      </c>
      <c r="C432" s="11" t="s">
        <v>442</v>
      </c>
      <c r="D432" s="11" t="str">
        <f>IF(ISNUMBER(SEARCH("OSBC", C432)), "GOVT", "RETAIL")</f>
        <v>GOVT</v>
      </c>
      <c r="E432" s="12">
        <v>275336.95</v>
      </c>
      <c r="F432" s="12">
        <v>74000</v>
      </c>
      <c r="G432" s="11">
        <v>0</v>
      </c>
      <c r="H432" s="11">
        <v>0</v>
      </c>
      <c r="I432" s="12">
        <v>0</v>
      </c>
      <c r="J432" s="12">
        <v>0</v>
      </c>
      <c r="K432" s="12">
        <v>0</v>
      </c>
      <c r="L432" s="12">
        <v>0</v>
      </c>
      <c r="M432" s="13">
        <v>349336.95</v>
      </c>
      <c r="N432">
        <f>YEAR(B432)</f>
        <v>2023</v>
      </c>
      <c r="O432" s="24">
        <f>IFERROR(J432/$I432,0)</f>
        <v>0</v>
      </c>
      <c r="P432" s="24">
        <f>IFERROR(K432/$I432,0)</f>
        <v>0</v>
      </c>
      <c r="Q432" s="24" t="str">
        <f>IF($G432&lt;&gt;0,"Beer",IF($H432&lt;&gt;0,"Liquor","-"))</f>
        <v>-</v>
      </c>
      <c r="R432" s="26">
        <f>IF($G432&lt;&gt;0,$G432,IF($H432&lt;&gt;0,$H432/0.75,0))</f>
        <v>0</v>
      </c>
      <c r="S432" s="32" t="b">
        <f>ISNUMBER(R432)</f>
        <v>1</v>
      </c>
      <c r="T432" s="32"/>
    </row>
    <row r="433" spans="1:20" x14ac:dyDescent="0.3">
      <c r="A433" s="9">
        <v>432</v>
      </c>
      <c r="B433" s="10">
        <v>45121.500694444447</v>
      </c>
      <c r="C433" s="11" t="s">
        <v>443</v>
      </c>
      <c r="D433" s="11" t="str">
        <f>IF(ISNUMBER(SEARCH("OSBC", C433)), "GOVT", "RETAIL")</f>
        <v>RETAIL</v>
      </c>
      <c r="E433" s="12">
        <v>349336.95</v>
      </c>
      <c r="F433" s="12">
        <v>0</v>
      </c>
      <c r="G433" s="11">
        <v>231.6</v>
      </c>
      <c r="H433" s="11">
        <v>0</v>
      </c>
      <c r="I433" s="12">
        <v>40317.480000000003</v>
      </c>
      <c r="J433" s="12">
        <v>14111.1</v>
      </c>
      <c r="K433" s="12">
        <v>544</v>
      </c>
      <c r="L433" s="12">
        <v>54972.58</v>
      </c>
      <c r="M433" s="13">
        <v>294364.37</v>
      </c>
      <c r="N433">
        <f>YEAR(B433)</f>
        <v>2023</v>
      </c>
      <c r="O433" s="24">
        <f>IFERROR(J433/$I433,0)</f>
        <v>0.34999955354352502</v>
      </c>
      <c r="P433" s="24">
        <f>IFERROR(K433/$I433,0)</f>
        <v>1.3492906798738413E-2</v>
      </c>
      <c r="Q433" s="24" t="str">
        <f>IF($G433&lt;&gt;0,"Beer",IF($H433&lt;&gt;0,"Liquor","-"))</f>
        <v>Beer</v>
      </c>
      <c r="R433" s="26">
        <f>IF($G433&lt;&gt;0,$G433,IF($H433&lt;&gt;0,$H433/0.75,0))</f>
        <v>231.6</v>
      </c>
      <c r="S433" s="32" t="b">
        <f>ISNUMBER(R433)</f>
        <v>1</v>
      </c>
      <c r="T433" s="32"/>
    </row>
    <row r="434" spans="1:20" x14ac:dyDescent="0.3">
      <c r="A434" s="9">
        <v>433</v>
      </c>
      <c r="B434" s="10">
        <v>45121.501967592594</v>
      </c>
      <c r="C434" s="11" t="s">
        <v>444</v>
      </c>
      <c r="D434" s="11" t="str">
        <f>IF(ISNUMBER(SEARCH("OSBC", C434)), "GOVT", "RETAIL")</f>
        <v>RETAIL</v>
      </c>
      <c r="E434" s="12">
        <v>294364.37</v>
      </c>
      <c r="F434" s="12">
        <v>0</v>
      </c>
      <c r="G434" s="11">
        <v>0</v>
      </c>
      <c r="H434" s="11">
        <v>245.74</v>
      </c>
      <c r="I434" s="12">
        <v>215251.77</v>
      </c>
      <c r="J434" s="12">
        <v>75338.12</v>
      </c>
      <c r="K434" s="12">
        <v>2906</v>
      </c>
      <c r="L434" s="12">
        <v>293495.89</v>
      </c>
      <c r="M434" s="13">
        <v>868.48</v>
      </c>
      <c r="N434">
        <f>YEAR(B434)</f>
        <v>2023</v>
      </c>
      <c r="O434" s="24">
        <f>IFERROR(J434/$I434,0)</f>
        <v>0.35000000232286127</v>
      </c>
      <c r="P434" s="24">
        <f>IFERROR(K434/$I434,0)</f>
        <v>1.3500469705777566E-2</v>
      </c>
      <c r="Q434" s="24" t="str">
        <f>IF($G434&lt;&gt;0,"Beer",IF($H434&lt;&gt;0,"Liquor","-"))</f>
        <v>Liquor</v>
      </c>
      <c r="R434" s="26">
        <f>IF($G434&lt;&gt;0,$G434,IF($H434&lt;&gt;0,$H434/0.75,0))</f>
        <v>327.65333333333336</v>
      </c>
      <c r="S434" s="32" t="b">
        <f>ISNUMBER(R434)</f>
        <v>1</v>
      </c>
      <c r="T434" s="32"/>
    </row>
    <row r="435" spans="1:20" x14ac:dyDescent="0.3">
      <c r="A435" s="9">
        <v>434</v>
      </c>
      <c r="B435" s="10">
        <v>45134.455370370371</v>
      </c>
      <c r="C435" s="11" t="s">
        <v>445</v>
      </c>
      <c r="D435" s="11" t="str">
        <f>IF(ISNUMBER(SEARCH("OSBC", C435)), "GOVT", "RETAIL")</f>
        <v>GOVT</v>
      </c>
      <c r="E435" s="12">
        <v>868.48</v>
      </c>
      <c r="F435" s="12">
        <v>330000</v>
      </c>
      <c r="G435" s="11">
        <v>0</v>
      </c>
      <c r="H435" s="11">
        <v>0</v>
      </c>
      <c r="I435" s="12">
        <v>0</v>
      </c>
      <c r="J435" s="12">
        <v>0</v>
      </c>
      <c r="K435" s="12">
        <v>0</v>
      </c>
      <c r="L435" s="12">
        <v>0</v>
      </c>
      <c r="M435" s="13">
        <v>330868.47999999998</v>
      </c>
      <c r="N435">
        <f>YEAR(B435)</f>
        <v>2023</v>
      </c>
      <c r="O435" s="24">
        <f>IFERROR(J435/$I435,0)</f>
        <v>0</v>
      </c>
      <c r="P435" s="24">
        <f>IFERROR(K435/$I435,0)</f>
        <v>0</v>
      </c>
      <c r="Q435" s="24" t="str">
        <f>IF($G435&lt;&gt;0,"Beer",IF($H435&lt;&gt;0,"Liquor","-"))</f>
        <v>-</v>
      </c>
      <c r="R435" s="26">
        <f>IF($G435&lt;&gt;0,$G435,IF($H435&lt;&gt;0,$H435/0.75,0))</f>
        <v>0</v>
      </c>
      <c r="S435" s="32" t="b">
        <f>ISNUMBER(R435)</f>
        <v>1</v>
      </c>
      <c r="T435" s="32"/>
    </row>
    <row r="436" spans="1:20" x14ac:dyDescent="0.3">
      <c r="A436" s="9">
        <v>435</v>
      </c>
      <c r="B436" s="10">
        <v>45134.735300925924</v>
      </c>
      <c r="C436" s="11" t="s">
        <v>446</v>
      </c>
      <c r="D436" s="11" t="str">
        <f>IF(ISNUMBER(SEARCH("OSBC", C436)), "GOVT", "RETAIL")</f>
        <v>RETAIL</v>
      </c>
      <c r="E436" s="12">
        <v>330868.47999999998</v>
      </c>
      <c r="F436" s="12">
        <v>0</v>
      </c>
      <c r="G436" s="11">
        <v>0</v>
      </c>
      <c r="H436" s="11">
        <v>259.25</v>
      </c>
      <c r="I436" s="12">
        <v>242364.07</v>
      </c>
      <c r="J436" s="12">
        <v>84827.43</v>
      </c>
      <c r="K436" s="12">
        <v>3272</v>
      </c>
      <c r="L436" s="12">
        <v>330463.5</v>
      </c>
      <c r="M436" s="13">
        <v>404.98</v>
      </c>
      <c r="N436">
        <f>YEAR(B436)</f>
        <v>2023</v>
      </c>
      <c r="O436" s="24">
        <f>IFERROR(J436/$I436,0)</f>
        <v>0.35000002269313263</v>
      </c>
      <c r="P436" s="24">
        <f>IFERROR(K436/$I436,0)</f>
        <v>1.3500350938982003E-2</v>
      </c>
      <c r="Q436" s="24" t="str">
        <f>IF($G436&lt;&gt;0,"Beer",IF($H436&lt;&gt;0,"Liquor","-"))</f>
        <v>Liquor</v>
      </c>
      <c r="R436" s="26">
        <f>IF($G436&lt;&gt;0,$G436,IF($H436&lt;&gt;0,$H436/0.75,0))</f>
        <v>345.66666666666669</v>
      </c>
      <c r="S436" s="32" t="b">
        <f>ISNUMBER(R436)</f>
        <v>1</v>
      </c>
      <c r="T436" s="32"/>
    </row>
    <row r="437" spans="1:20" x14ac:dyDescent="0.3">
      <c r="A437" s="9">
        <v>436</v>
      </c>
      <c r="B437" s="10">
        <v>45145.460868055554</v>
      </c>
      <c r="C437" s="11" t="s">
        <v>447</v>
      </c>
      <c r="D437" s="11" t="str">
        <f>IF(ISNUMBER(SEARCH("OSBC", C437)), "GOVT", "RETAIL")</f>
        <v>GOVT</v>
      </c>
      <c r="E437" s="12">
        <v>404.98</v>
      </c>
      <c r="F437" s="12">
        <v>230000</v>
      </c>
      <c r="G437" s="11">
        <v>0</v>
      </c>
      <c r="H437" s="11">
        <v>0</v>
      </c>
      <c r="I437" s="12">
        <v>0</v>
      </c>
      <c r="J437" s="12">
        <v>0</v>
      </c>
      <c r="K437" s="12">
        <v>0</v>
      </c>
      <c r="L437" s="12">
        <v>0</v>
      </c>
      <c r="M437" s="13">
        <v>230404.98</v>
      </c>
      <c r="N437">
        <f>YEAR(B437)</f>
        <v>2023</v>
      </c>
      <c r="O437" s="24">
        <f>IFERROR(J437/$I437,0)</f>
        <v>0</v>
      </c>
      <c r="P437" s="24">
        <f>IFERROR(K437/$I437,0)</f>
        <v>0</v>
      </c>
      <c r="Q437" s="24" t="str">
        <f>IF($G437&lt;&gt;0,"Beer",IF($H437&lt;&gt;0,"Liquor","-"))</f>
        <v>-</v>
      </c>
      <c r="R437" s="26">
        <f>IF($G437&lt;&gt;0,$G437,IF($H437&lt;&gt;0,$H437/0.75,0))</f>
        <v>0</v>
      </c>
      <c r="S437" s="32" t="b">
        <f>ISNUMBER(R437)</f>
        <v>1</v>
      </c>
      <c r="T437" s="32"/>
    </row>
    <row r="438" spans="1:20" x14ac:dyDescent="0.3">
      <c r="A438" s="9">
        <v>437</v>
      </c>
      <c r="B438" s="10">
        <v>45145.687939814816</v>
      </c>
      <c r="C438" s="11" t="s">
        <v>448</v>
      </c>
      <c r="D438" s="11" t="str">
        <f>IF(ISNUMBER(SEARCH("OSBC", C438)), "GOVT", "RETAIL")</f>
        <v>RETAIL</v>
      </c>
      <c r="E438" s="12">
        <v>230404.98</v>
      </c>
      <c r="F438" s="12">
        <v>0</v>
      </c>
      <c r="G438" s="11">
        <v>0</v>
      </c>
      <c r="H438" s="11">
        <v>108.13</v>
      </c>
      <c r="I438" s="12">
        <v>104284.44</v>
      </c>
      <c r="J438" s="12">
        <v>36499.550000000003</v>
      </c>
      <c r="K438" s="12">
        <v>1408</v>
      </c>
      <c r="L438" s="12">
        <v>142191.99</v>
      </c>
      <c r="M438" s="13">
        <v>88212.99</v>
      </c>
      <c r="N438">
        <f>YEAR(B438)</f>
        <v>2023</v>
      </c>
      <c r="O438" s="24">
        <f>IFERROR(J438/$I438,0)</f>
        <v>0.34999996164336694</v>
      </c>
      <c r="P438" s="24">
        <f>IFERROR(K438/$I438,0)</f>
        <v>1.35015348406723E-2</v>
      </c>
      <c r="Q438" s="24" t="str">
        <f>IF($G438&lt;&gt;0,"Beer",IF($H438&lt;&gt;0,"Liquor","-"))</f>
        <v>Liquor</v>
      </c>
      <c r="R438" s="26">
        <f>IF($G438&lt;&gt;0,$G438,IF($H438&lt;&gt;0,$H438/0.75,0))</f>
        <v>144.17333333333332</v>
      </c>
      <c r="S438" s="32" t="b">
        <f>ISNUMBER(R438)</f>
        <v>1</v>
      </c>
      <c r="T438" s="32"/>
    </row>
    <row r="439" spans="1:20" x14ac:dyDescent="0.3">
      <c r="A439" s="9">
        <v>438</v>
      </c>
      <c r="B439" s="10">
        <v>45145.688622685186</v>
      </c>
      <c r="C439" s="11" t="s">
        <v>449</v>
      </c>
      <c r="D439" s="11" t="str">
        <f>IF(ISNUMBER(SEARCH("OSBC", C439)), "GOVT", "RETAIL")</f>
        <v>RETAIL</v>
      </c>
      <c r="E439" s="12">
        <v>88212.99</v>
      </c>
      <c r="F439" s="12">
        <v>0</v>
      </c>
      <c r="G439" s="11">
        <v>417</v>
      </c>
      <c r="H439" s="11">
        <v>0</v>
      </c>
      <c r="I439" s="12">
        <v>64603.29</v>
      </c>
      <c r="J439" s="12">
        <v>22611.15</v>
      </c>
      <c r="K439" s="12">
        <v>872</v>
      </c>
      <c r="L439" s="12">
        <v>88086.44</v>
      </c>
      <c r="M439" s="13">
        <v>126.55</v>
      </c>
      <c r="N439">
        <f>YEAR(B439)</f>
        <v>2023</v>
      </c>
      <c r="O439" s="24">
        <f>IFERROR(J439/$I439,0)</f>
        <v>0.34999997678136829</v>
      </c>
      <c r="P439" s="24">
        <f>IFERROR(K439/$I439,0)</f>
        <v>1.3497764587531068E-2</v>
      </c>
      <c r="Q439" s="24" t="str">
        <f>IF($G439&lt;&gt;0,"Beer",IF($H439&lt;&gt;0,"Liquor","-"))</f>
        <v>Beer</v>
      </c>
      <c r="R439" s="26">
        <f>IF($G439&lt;&gt;0,$G439,IF($H439&lt;&gt;0,$H439/0.75,0))</f>
        <v>417</v>
      </c>
      <c r="S439" s="32" t="b">
        <f>ISNUMBER(R439)</f>
        <v>1</v>
      </c>
      <c r="T439" s="32"/>
    </row>
    <row r="440" spans="1:20" x14ac:dyDescent="0.3">
      <c r="A440" s="9">
        <v>439</v>
      </c>
      <c r="B440" s="10">
        <v>45155.457777777781</v>
      </c>
      <c r="C440" s="11" t="s">
        <v>450</v>
      </c>
      <c r="D440" s="11" t="str">
        <f>IF(ISNUMBER(SEARCH("OSBC", C440)), "GOVT", "RETAIL")</f>
        <v>GOVT</v>
      </c>
      <c r="E440" s="12">
        <v>126.55</v>
      </c>
      <c r="F440" s="12">
        <v>345000</v>
      </c>
      <c r="G440" s="11">
        <v>0</v>
      </c>
      <c r="H440" s="11">
        <v>0</v>
      </c>
      <c r="I440" s="12">
        <v>0</v>
      </c>
      <c r="J440" s="12">
        <v>0</v>
      </c>
      <c r="K440" s="12">
        <v>0</v>
      </c>
      <c r="L440" s="12">
        <v>0</v>
      </c>
      <c r="M440" s="13">
        <v>345126.55</v>
      </c>
      <c r="N440">
        <f>YEAR(B440)</f>
        <v>2023</v>
      </c>
      <c r="O440" s="24">
        <f>IFERROR(J440/$I440,0)</f>
        <v>0</v>
      </c>
      <c r="P440" s="24">
        <f>IFERROR(K440/$I440,0)</f>
        <v>0</v>
      </c>
      <c r="Q440" s="24" t="str">
        <f>IF($G440&lt;&gt;0,"Beer",IF($H440&lt;&gt;0,"Liquor","-"))</f>
        <v>-</v>
      </c>
      <c r="R440" s="26">
        <f>IF($G440&lt;&gt;0,$G440,IF($H440&lt;&gt;0,$H440/0.75,0))</f>
        <v>0</v>
      </c>
      <c r="S440" s="32" t="b">
        <f>ISNUMBER(R440)</f>
        <v>1</v>
      </c>
      <c r="T440" s="32"/>
    </row>
    <row r="441" spans="1:20" x14ac:dyDescent="0.3">
      <c r="A441" s="9">
        <v>440</v>
      </c>
      <c r="B441" s="10">
        <v>45155.733483796299</v>
      </c>
      <c r="C441" s="11" t="s">
        <v>451</v>
      </c>
      <c r="D441" s="11" t="str">
        <f>IF(ISNUMBER(SEARCH("OSBC", C441)), "GOVT", "RETAIL")</f>
        <v>RETAIL</v>
      </c>
      <c r="E441" s="12">
        <v>345126.55</v>
      </c>
      <c r="F441" s="12">
        <v>0</v>
      </c>
      <c r="G441" s="11">
        <v>0</v>
      </c>
      <c r="H441" s="11">
        <v>268.10000000000002</v>
      </c>
      <c r="I441" s="12">
        <v>228424.1</v>
      </c>
      <c r="J441" s="12">
        <v>79948.350000000006</v>
      </c>
      <c r="K441" s="12">
        <v>3084</v>
      </c>
      <c r="L441" s="12">
        <v>311456.45</v>
      </c>
      <c r="M441" s="13">
        <v>33670.1</v>
      </c>
      <c r="N441">
        <f>YEAR(B441)</f>
        <v>2023</v>
      </c>
      <c r="O441" s="24">
        <f>IFERROR(J441/$I441,0)</f>
        <v>0.34999962788514871</v>
      </c>
      <c r="P441" s="24">
        <f>IFERROR(K441/$I441,0)</f>
        <v>1.3501202368751809E-2</v>
      </c>
      <c r="Q441" s="24" t="str">
        <f>IF($G441&lt;&gt;0,"Beer",IF($H441&lt;&gt;0,"Liquor","-"))</f>
        <v>Liquor</v>
      </c>
      <c r="R441" s="26">
        <f>IF($G441&lt;&gt;0,$G441,IF($H441&lt;&gt;0,$H441/0.75,0))</f>
        <v>357.4666666666667</v>
      </c>
      <c r="S441" s="32" t="b">
        <f>ISNUMBER(R441)</f>
        <v>1</v>
      </c>
      <c r="T441" s="32"/>
    </row>
    <row r="442" spans="1:20" x14ac:dyDescent="0.3">
      <c r="A442" s="9">
        <v>441</v>
      </c>
      <c r="B442" s="10">
        <v>45162.377881944441</v>
      </c>
      <c r="C442" s="11" t="s">
        <v>452</v>
      </c>
      <c r="D442" s="11" t="str">
        <f>IF(ISNUMBER(SEARCH("OSBC", C442)), "GOVT", "RETAIL")</f>
        <v>GOVT</v>
      </c>
      <c r="E442" s="12">
        <v>33670.1</v>
      </c>
      <c r="F442" s="12">
        <v>255000</v>
      </c>
      <c r="G442" s="11">
        <v>0</v>
      </c>
      <c r="H442" s="11">
        <v>0</v>
      </c>
      <c r="I442" s="12">
        <v>0</v>
      </c>
      <c r="J442" s="12">
        <v>0</v>
      </c>
      <c r="K442" s="12">
        <v>0</v>
      </c>
      <c r="L442" s="12">
        <v>0</v>
      </c>
      <c r="M442" s="13">
        <v>288670.09999999998</v>
      </c>
      <c r="N442">
        <f>YEAR(B442)</f>
        <v>2023</v>
      </c>
      <c r="O442" s="24">
        <f>IFERROR(J442/$I442,0)</f>
        <v>0</v>
      </c>
      <c r="P442" s="24">
        <f>IFERROR(K442/$I442,0)</f>
        <v>0</v>
      </c>
      <c r="Q442" s="24" t="str">
        <f>IF($G442&lt;&gt;0,"Beer",IF($H442&lt;&gt;0,"Liquor","-"))</f>
        <v>-</v>
      </c>
      <c r="R442" s="26">
        <f>IF($G442&lt;&gt;0,$G442,IF($H442&lt;&gt;0,$H442/0.75,0))</f>
        <v>0</v>
      </c>
      <c r="S442" s="32" t="b">
        <f>ISNUMBER(R442)</f>
        <v>1</v>
      </c>
      <c r="T442" s="32"/>
    </row>
    <row r="443" spans="1:20" x14ac:dyDescent="0.3">
      <c r="A443" s="9">
        <v>442</v>
      </c>
      <c r="B443" s="10">
        <v>45162.545231481483</v>
      </c>
      <c r="C443" s="11" t="s">
        <v>453</v>
      </c>
      <c r="D443" s="11" t="str">
        <f>IF(ISNUMBER(SEARCH("OSBC", C443)), "GOVT", "RETAIL")</f>
        <v>RETAIL</v>
      </c>
      <c r="E443" s="12">
        <v>288670.09999999998</v>
      </c>
      <c r="F443" s="12">
        <v>0</v>
      </c>
      <c r="G443" s="11">
        <v>401.4</v>
      </c>
      <c r="H443" s="11">
        <v>0</v>
      </c>
      <c r="I443" s="12">
        <v>64841.279999999999</v>
      </c>
      <c r="J443" s="12">
        <v>22694.45</v>
      </c>
      <c r="K443" s="12">
        <v>875</v>
      </c>
      <c r="L443" s="12">
        <v>88410.73</v>
      </c>
      <c r="M443" s="13">
        <v>200259.37</v>
      </c>
      <c r="N443">
        <f>YEAR(B443)</f>
        <v>2023</v>
      </c>
      <c r="O443" s="24">
        <f>IFERROR(J443/$I443,0)</f>
        <v>0.35000003084454845</v>
      </c>
      <c r="P443" s="24">
        <f>IFERROR(K443/$I443,0)</f>
        <v>1.3494489929871834E-2</v>
      </c>
      <c r="Q443" s="24" t="str">
        <f>IF($G443&lt;&gt;0,"Beer",IF($H443&lt;&gt;0,"Liquor","-"))</f>
        <v>Beer</v>
      </c>
      <c r="R443" s="26">
        <f>IF($G443&lt;&gt;0,$G443,IF($H443&lt;&gt;0,$H443/0.75,0))</f>
        <v>401.4</v>
      </c>
      <c r="S443" s="32" t="b">
        <f>ISNUMBER(R443)</f>
        <v>1</v>
      </c>
      <c r="T443" s="32"/>
    </row>
    <row r="444" spans="1:20" x14ac:dyDescent="0.3">
      <c r="A444" s="9">
        <v>443</v>
      </c>
      <c r="B444" s="10">
        <v>45162.546180555553</v>
      </c>
      <c r="C444" s="11" t="s">
        <v>454</v>
      </c>
      <c r="D444" s="11" t="str">
        <f>IF(ISNUMBER(SEARCH("OSBC", C444)), "GOVT", "RETAIL")</f>
        <v>RETAIL</v>
      </c>
      <c r="E444" s="12">
        <v>200259.37</v>
      </c>
      <c r="F444" s="12">
        <v>0</v>
      </c>
      <c r="G444" s="11">
        <v>0</v>
      </c>
      <c r="H444" s="11">
        <v>139.87</v>
      </c>
      <c r="I444" s="12">
        <v>145830.37</v>
      </c>
      <c r="J444" s="12">
        <v>51040.63</v>
      </c>
      <c r="K444" s="12">
        <v>1969</v>
      </c>
      <c r="L444" s="12">
        <v>198840</v>
      </c>
      <c r="M444" s="13">
        <v>1419.37</v>
      </c>
      <c r="N444">
        <f>YEAR(B444)</f>
        <v>2023</v>
      </c>
      <c r="O444" s="24">
        <f>IFERROR(J444/$I444,0)</f>
        <v>0.35000000342864107</v>
      </c>
      <c r="P444" s="24">
        <f>IFERROR(K444/$I444,0)</f>
        <v>1.3501988646123576E-2</v>
      </c>
      <c r="Q444" s="24" t="str">
        <f>IF($G444&lt;&gt;0,"Beer",IF($H444&lt;&gt;0,"Liquor","-"))</f>
        <v>Liquor</v>
      </c>
      <c r="R444" s="26">
        <f>IF($G444&lt;&gt;0,$G444,IF($H444&lt;&gt;0,$H444/0.75,0))</f>
        <v>186.49333333333334</v>
      </c>
      <c r="S444" s="32" t="b">
        <f>ISNUMBER(R444)</f>
        <v>1</v>
      </c>
      <c r="T444" s="32"/>
    </row>
    <row r="445" spans="1:20" x14ac:dyDescent="0.3">
      <c r="A445" s="9">
        <v>444</v>
      </c>
      <c r="B445" s="10">
        <v>45170.374884259261</v>
      </c>
      <c r="C445" s="11" t="s">
        <v>455</v>
      </c>
      <c r="D445" s="11" t="str">
        <f>IF(ISNUMBER(SEARCH("OSBC", C445)), "GOVT", "RETAIL")</f>
        <v>GOVT</v>
      </c>
      <c r="E445" s="12">
        <v>1419.37</v>
      </c>
      <c r="F445" s="12">
        <v>300000</v>
      </c>
      <c r="G445" s="11">
        <v>0</v>
      </c>
      <c r="H445" s="11">
        <v>0</v>
      </c>
      <c r="I445" s="12">
        <v>0</v>
      </c>
      <c r="J445" s="12">
        <v>0</v>
      </c>
      <c r="K445" s="12">
        <v>0</v>
      </c>
      <c r="L445" s="12">
        <v>0</v>
      </c>
      <c r="M445" s="13">
        <v>301419.37</v>
      </c>
      <c r="N445">
        <f>YEAR(B445)</f>
        <v>2023</v>
      </c>
      <c r="O445" s="24">
        <f>IFERROR(J445/$I445,0)</f>
        <v>0</v>
      </c>
      <c r="P445" s="24">
        <f>IFERROR(K445/$I445,0)</f>
        <v>0</v>
      </c>
      <c r="Q445" s="24" t="str">
        <f>IF($G445&lt;&gt;0,"Beer",IF($H445&lt;&gt;0,"Liquor","-"))</f>
        <v>-</v>
      </c>
      <c r="R445" s="26">
        <f>IF($G445&lt;&gt;0,$G445,IF($H445&lt;&gt;0,$H445/0.75,0))</f>
        <v>0</v>
      </c>
      <c r="S445" s="32" t="b">
        <f>ISNUMBER(R445)</f>
        <v>1</v>
      </c>
      <c r="T445" s="32"/>
    </row>
    <row r="446" spans="1:20" x14ac:dyDescent="0.3">
      <c r="A446" s="9">
        <v>445</v>
      </c>
      <c r="B446" s="10">
        <v>45170.682847222219</v>
      </c>
      <c r="C446" s="11" t="s">
        <v>456</v>
      </c>
      <c r="D446" s="11" t="str">
        <f>IF(ISNUMBER(SEARCH("OSBC", C446)), "GOVT", "RETAIL")</f>
        <v>RETAIL</v>
      </c>
      <c r="E446" s="12">
        <v>301419.37</v>
      </c>
      <c r="F446" s="12">
        <v>0</v>
      </c>
      <c r="G446" s="11">
        <v>0</v>
      </c>
      <c r="H446" s="11">
        <v>214.4</v>
      </c>
      <c r="I446" s="12">
        <v>205162.19</v>
      </c>
      <c r="J446" s="12">
        <v>71806.77</v>
      </c>
      <c r="K446" s="12">
        <v>2770</v>
      </c>
      <c r="L446" s="12">
        <v>279738.96000000002</v>
      </c>
      <c r="M446" s="13">
        <v>21680.41</v>
      </c>
      <c r="N446">
        <f>YEAR(B446)</f>
        <v>2023</v>
      </c>
      <c r="O446" s="24">
        <f>IFERROR(J446/$I446,0)</f>
        <v>0.35000001705967365</v>
      </c>
      <c r="P446" s="24">
        <f>IFERROR(K446/$I446,0)</f>
        <v>1.3501513119936963E-2</v>
      </c>
      <c r="Q446" s="24" t="str">
        <f>IF($G446&lt;&gt;0,"Beer",IF($H446&lt;&gt;0,"Liquor","-"))</f>
        <v>Liquor</v>
      </c>
      <c r="R446" s="26">
        <f>IF($G446&lt;&gt;0,$G446,IF($H446&lt;&gt;0,$H446/0.75,0))</f>
        <v>285.86666666666667</v>
      </c>
      <c r="S446" s="32" t="b">
        <f>ISNUMBER(R446)</f>
        <v>1</v>
      </c>
      <c r="T446" s="32"/>
    </row>
    <row r="447" spans="1:20" x14ac:dyDescent="0.3">
      <c r="A447" s="9">
        <v>446</v>
      </c>
      <c r="B447" s="10">
        <v>45180.295497685183</v>
      </c>
      <c r="C447" s="11" t="s">
        <v>457</v>
      </c>
      <c r="D447" s="11" t="str">
        <f>IF(ISNUMBER(SEARCH("OSBC", C447)), "GOVT", "RETAIL")</f>
        <v>GOVT</v>
      </c>
      <c r="E447" s="12">
        <v>21680.41</v>
      </c>
      <c r="F447" s="12">
        <v>310000</v>
      </c>
      <c r="G447" s="11">
        <v>0</v>
      </c>
      <c r="H447" s="11">
        <v>0</v>
      </c>
      <c r="I447" s="12">
        <v>0</v>
      </c>
      <c r="J447" s="12">
        <v>0</v>
      </c>
      <c r="K447" s="12">
        <v>0</v>
      </c>
      <c r="L447" s="12">
        <v>0</v>
      </c>
      <c r="M447" s="13">
        <v>331680.40999999997</v>
      </c>
      <c r="N447">
        <f>YEAR(B447)</f>
        <v>2023</v>
      </c>
      <c r="O447" s="24">
        <f>IFERROR(J447/$I447,0)</f>
        <v>0</v>
      </c>
      <c r="P447" s="24">
        <f>IFERROR(K447/$I447,0)</f>
        <v>0</v>
      </c>
      <c r="Q447" s="24" t="str">
        <f>IF($G447&lt;&gt;0,"Beer",IF($H447&lt;&gt;0,"Liquor","-"))</f>
        <v>-</v>
      </c>
      <c r="R447" s="26">
        <f>IF($G447&lt;&gt;0,$G447,IF($H447&lt;&gt;0,$H447/0.75,0))</f>
        <v>0</v>
      </c>
      <c r="S447" s="32" t="b">
        <f>ISNUMBER(R447)</f>
        <v>1</v>
      </c>
      <c r="T447" s="32"/>
    </row>
    <row r="448" spans="1:20" x14ac:dyDescent="0.3">
      <c r="A448" s="9">
        <v>447</v>
      </c>
      <c r="B448" s="10">
        <v>45180.637673611112</v>
      </c>
      <c r="C448" s="11" t="s">
        <v>458</v>
      </c>
      <c r="D448" s="11" t="str">
        <f>IF(ISNUMBER(SEARCH("OSBC", C448)), "GOVT", "RETAIL")</f>
        <v>RETAIL</v>
      </c>
      <c r="E448" s="12">
        <v>331680.40999999997</v>
      </c>
      <c r="F448" s="12">
        <v>0</v>
      </c>
      <c r="G448" s="11">
        <v>435.6</v>
      </c>
      <c r="H448" s="11">
        <v>0</v>
      </c>
      <c r="I448" s="12">
        <v>76031.73</v>
      </c>
      <c r="J448" s="12">
        <v>26611.11</v>
      </c>
      <c r="K448" s="12">
        <v>1026</v>
      </c>
      <c r="L448" s="12">
        <v>103668.84</v>
      </c>
      <c r="M448" s="13">
        <v>228011.57</v>
      </c>
      <c r="N448">
        <f>YEAR(B448)</f>
        <v>2023</v>
      </c>
      <c r="O448" s="24">
        <f>IFERROR(J448/$I448,0)</f>
        <v>0.35000005918581628</v>
      </c>
      <c r="P448" s="24">
        <f>IFERROR(K448/$I448,0)</f>
        <v>1.3494366102152352E-2</v>
      </c>
      <c r="Q448" s="24" t="str">
        <f>IF($G448&lt;&gt;0,"Beer",IF($H448&lt;&gt;0,"Liquor","-"))</f>
        <v>Beer</v>
      </c>
      <c r="R448" s="26">
        <f>IF($G448&lt;&gt;0,$G448,IF($H448&lt;&gt;0,$H448/0.75,0))</f>
        <v>435.6</v>
      </c>
      <c r="S448" s="32" t="b">
        <f>ISNUMBER(R448)</f>
        <v>1</v>
      </c>
      <c r="T448" s="32"/>
    </row>
    <row r="449" spans="1:20" x14ac:dyDescent="0.3">
      <c r="A449" s="9">
        <v>448</v>
      </c>
      <c r="B449" s="10">
        <v>45180.638680555552</v>
      </c>
      <c r="C449" s="11" t="s">
        <v>459</v>
      </c>
      <c r="D449" s="11" t="str">
        <f>IF(ISNUMBER(SEARCH("OSBC", C449)), "GOVT", "RETAIL")</f>
        <v>RETAIL</v>
      </c>
      <c r="E449" s="12">
        <v>228011.57</v>
      </c>
      <c r="F449" s="12">
        <v>0</v>
      </c>
      <c r="G449" s="11">
        <v>0</v>
      </c>
      <c r="H449" s="11">
        <v>112.55</v>
      </c>
      <c r="I449" s="12">
        <v>115925.6</v>
      </c>
      <c r="J449" s="12">
        <v>40573.96</v>
      </c>
      <c r="K449" s="12">
        <v>1565</v>
      </c>
      <c r="L449" s="12">
        <v>158064.56</v>
      </c>
      <c r="M449" s="13">
        <v>69947.009999999995</v>
      </c>
      <c r="N449">
        <f>YEAR(B449)</f>
        <v>2023</v>
      </c>
      <c r="O449" s="24">
        <f>IFERROR(J449/$I449,0)</f>
        <v>0.35</v>
      </c>
      <c r="P449" s="24">
        <f>IFERROR(K449/$I449,0)</f>
        <v>1.3500037955378276E-2</v>
      </c>
      <c r="Q449" s="24" t="str">
        <f>IF($G449&lt;&gt;0,"Beer",IF($H449&lt;&gt;0,"Liquor","-"))</f>
        <v>Liquor</v>
      </c>
      <c r="R449" s="26">
        <f>IF($G449&lt;&gt;0,$G449,IF($H449&lt;&gt;0,$H449/0.75,0))</f>
        <v>150.06666666666666</v>
      </c>
      <c r="S449" s="32" t="b">
        <f>ISNUMBER(R449)</f>
        <v>1</v>
      </c>
      <c r="T449" s="32"/>
    </row>
    <row r="450" spans="1:20" x14ac:dyDescent="0.3">
      <c r="A450" s="9">
        <v>449</v>
      </c>
      <c r="B450" s="10">
        <v>45185.491944444446</v>
      </c>
      <c r="C450" s="11" t="s">
        <v>460</v>
      </c>
      <c r="D450" s="11" t="str">
        <f>IF(ISNUMBER(SEARCH("OSBC", C450)), "GOVT", "RETAIL")</f>
        <v>RETAIL</v>
      </c>
      <c r="E450" s="12">
        <v>69947.009999999995</v>
      </c>
      <c r="F450" s="12">
        <v>0</v>
      </c>
      <c r="G450" s="11">
        <v>0</v>
      </c>
      <c r="H450" s="11">
        <v>75.25</v>
      </c>
      <c r="I450" s="12">
        <v>50276.24</v>
      </c>
      <c r="J450" s="12">
        <v>17596.68</v>
      </c>
      <c r="K450" s="12">
        <v>679</v>
      </c>
      <c r="L450" s="12">
        <v>68551.92</v>
      </c>
      <c r="M450" s="13">
        <v>1395.09</v>
      </c>
      <c r="N450">
        <f>YEAR(B450)</f>
        <v>2023</v>
      </c>
      <c r="O450" s="24">
        <f>IFERROR(J450/$I450,0)</f>
        <v>0.34999992043955558</v>
      </c>
      <c r="P450" s="24">
        <f>IFERROR(K450/$I450,0)</f>
        <v>1.3505385446485258E-2</v>
      </c>
      <c r="Q450" s="24" t="str">
        <f>IF($G450&lt;&gt;0,"Beer",IF($H450&lt;&gt;0,"Liquor","-"))</f>
        <v>Liquor</v>
      </c>
      <c r="R450" s="26">
        <f>IF($G450&lt;&gt;0,$G450,IF($H450&lt;&gt;0,$H450/0.75,0))</f>
        <v>100.33333333333333</v>
      </c>
      <c r="S450" s="32" t="b">
        <f>ISNUMBER(R450)</f>
        <v>1</v>
      </c>
      <c r="T450" s="32"/>
    </row>
    <row r="451" spans="1:20" x14ac:dyDescent="0.3">
      <c r="A451" s="9">
        <v>450</v>
      </c>
      <c r="B451" s="10">
        <v>45186.927453703705</v>
      </c>
      <c r="C451" s="11" t="s">
        <v>461</v>
      </c>
      <c r="D451" s="11" t="str">
        <f>IF(ISNUMBER(SEARCH("OSBC", C451)), "GOVT", "RETAIL")</f>
        <v>GOVT</v>
      </c>
      <c r="E451" s="12">
        <v>1395.09</v>
      </c>
      <c r="F451" s="12">
        <v>150000</v>
      </c>
      <c r="G451" s="11">
        <v>0</v>
      </c>
      <c r="H451" s="11">
        <v>0</v>
      </c>
      <c r="I451" s="12">
        <v>0</v>
      </c>
      <c r="J451" s="12">
        <v>0</v>
      </c>
      <c r="K451" s="12">
        <v>0</v>
      </c>
      <c r="L451" s="12">
        <v>0</v>
      </c>
      <c r="M451" s="13">
        <v>151395.09</v>
      </c>
      <c r="N451">
        <f>YEAR(B451)</f>
        <v>2023</v>
      </c>
      <c r="O451" s="24">
        <f>IFERROR(J451/$I451,0)</f>
        <v>0</v>
      </c>
      <c r="P451" s="24">
        <f>IFERROR(K451/$I451,0)</f>
        <v>0</v>
      </c>
      <c r="Q451" s="24" t="str">
        <f>IF($G451&lt;&gt;0,"Beer",IF($H451&lt;&gt;0,"Liquor","-"))</f>
        <v>-</v>
      </c>
      <c r="R451" s="26">
        <f>IF($G451&lt;&gt;0,$G451,IF($H451&lt;&gt;0,$H451/0.75,0))</f>
        <v>0</v>
      </c>
      <c r="S451" s="32" t="b">
        <f>ISNUMBER(R451)</f>
        <v>1</v>
      </c>
      <c r="T451" s="32"/>
    </row>
    <row r="452" spans="1:20" x14ac:dyDescent="0.3">
      <c r="A452" s="9">
        <v>451</v>
      </c>
      <c r="B452" s="10">
        <v>45187.451168981483</v>
      </c>
      <c r="C452" s="11" t="s">
        <v>462</v>
      </c>
      <c r="D452" s="11" t="str">
        <f>IF(ISNUMBER(SEARCH("OSBC", C452)), "GOVT", "RETAIL")</f>
        <v>RETAIL</v>
      </c>
      <c r="E452" s="12">
        <v>151395.09</v>
      </c>
      <c r="F452" s="12">
        <v>0</v>
      </c>
      <c r="G452" s="11">
        <v>0</v>
      </c>
      <c r="H452" s="11">
        <v>107.62</v>
      </c>
      <c r="I452" s="12">
        <v>110288.39</v>
      </c>
      <c r="J452" s="12">
        <v>38600.93</v>
      </c>
      <c r="K452" s="12">
        <v>1489</v>
      </c>
      <c r="L452" s="12">
        <v>150378.32</v>
      </c>
      <c r="M452" s="13">
        <v>1016.77</v>
      </c>
      <c r="N452">
        <f>YEAR(B452)</f>
        <v>2023</v>
      </c>
      <c r="O452" s="24">
        <f>IFERROR(J452/$I452,0)</f>
        <v>0.34999994106360605</v>
      </c>
      <c r="P452" s="24">
        <f>IFERROR(K452/$I452,0)</f>
        <v>1.3500967780924175E-2</v>
      </c>
      <c r="Q452" s="24" t="str">
        <f>IF($G452&lt;&gt;0,"Beer",IF($H452&lt;&gt;0,"Liquor","-"))</f>
        <v>Liquor</v>
      </c>
      <c r="R452" s="26">
        <f>IF($G452&lt;&gt;0,$G452,IF($H452&lt;&gt;0,$H452/0.75,0))</f>
        <v>143.49333333333334</v>
      </c>
      <c r="S452" s="32" t="b">
        <f>ISNUMBER(R452)</f>
        <v>1</v>
      </c>
      <c r="T452" s="32"/>
    </row>
    <row r="453" spans="1:20" x14ac:dyDescent="0.3">
      <c r="A453" s="9">
        <v>452</v>
      </c>
      <c r="B453" s="10">
        <v>45197.289826388886</v>
      </c>
      <c r="C453" s="11" t="s">
        <v>463</v>
      </c>
      <c r="D453" s="11" t="str">
        <f>IF(ISNUMBER(SEARCH("OSBC", C453)), "GOVT", "RETAIL")</f>
        <v>GOVT</v>
      </c>
      <c r="E453" s="12">
        <v>1016.77</v>
      </c>
      <c r="F453" s="12">
        <v>270000</v>
      </c>
      <c r="G453" s="11">
        <v>0</v>
      </c>
      <c r="H453" s="11">
        <v>0</v>
      </c>
      <c r="I453" s="12">
        <v>0</v>
      </c>
      <c r="J453" s="12">
        <v>0</v>
      </c>
      <c r="K453" s="12">
        <v>0</v>
      </c>
      <c r="L453" s="12">
        <v>0</v>
      </c>
      <c r="M453" s="13">
        <v>271016.77</v>
      </c>
      <c r="N453">
        <f>YEAR(B453)</f>
        <v>2023</v>
      </c>
      <c r="O453" s="24">
        <f>IFERROR(J453/$I453,0)</f>
        <v>0</v>
      </c>
      <c r="P453" s="24">
        <f>IFERROR(K453/$I453,0)</f>
        <v>0</v>
      </c>
      <c r="Q453" s="24" t="str">
        <f>IF($G453&lt;&gt;0,"Beer",IF($H453&lt;&gt;0,"Liquor","-"))</f>
        <v>-</v>
      </c>
      <c r="R453" s="26">
        <f>IF($G453&lt;&gt;0,$G453,IF($H453&lt;&gt;0,$H453/0.75,0))</f>
        <v>0</v>
      </c>
      <c r="S453" s="32" t="b">
        <f>ISNUMBER(R453)</f>
        <v>1</v>
      </c>
      <c r="T453" s="32"/>
    </row>
    <row r="454" spans="1:20" x14ac:dyDescent="0.3">
      <c r="A454" s="9">
        <v>453</v>
      </c>
      <c r="B454" s="10">
        <v>45197.384768518517</v>
      </c>
      <c r="C454" s="11" t="s">
        <v>464</v>
      </c>
      <c r="D454" s="11" t="str">
        <f>IF(ISNUMBER(SEARCH("OSBC", C454)), "GOVT", "RETAIL")</f>
        <v>GOVT</v>
      </c>
      <c r="E454" s="12">
        <v>271016.77</v>
      </c>
      <c r="F454" s="12">
        <v>25000</v>
      </c>
      <c r="G454" s="11">
        <v>0</v>
      </c>
      <c r="H454" s="11">
        <v>0</v>
      </c>
      <c r="I454" s="12">
        <v>0</v>
      </c>
      <c r="J454" s="12">
        <v>0</v>
      </c>
      <c r="K454" s="12">
        <v>0</v>
      </c>
      <c r="L454" s="12">
        <v>0</v>
      </c>
      <c r="M454" s="13">
        <v>296016.77</v>
      </c>
      <c r="N454">
        <f>YEAR(B454)</f>
        <v>2023</v>
      </c>
      <c r="O454" s="24">
        <f>IFERROR(J454/$I454,0)</f>
        <v>0</v>
      </c>
      <c r="P454" s="24">
        <f>IFERROR(K454/$I454,0)</f>
        <v>0</v>
      </c>
      <c r="Q454" s="24" t="str">
        <f>IF($G454&lt;&gt;0,"Beer",IF($H454&lt;&gt;0,"Liquor","-"))</f>
        <v>-</v>
      </c>
      <c r="R454" s="26">
        <f>IF($G454&lt;&gt;0,$G454,IF($H454&lt;&gt;0,$H454/0.75,0))</f>
        <v>0</v>
      </c>
      <c r="S454" s="32" t="b">
        <f>ISNUMBER(R454)</f>
        <v>1</v>
      </c>
      <c r="T454" s="32"/>
    </row>
    <row r="455" spans="1:20" x14ac:dyDescent="0.3">
      <c r="A455" s="9">
        <v>454</v>
      </c>
      <c r="B455" s="10">
        <v>45197.550787037035</v>
      </c>
      <c r="C455" s="11" t="s">
        <v>465</v>
      </c>
      <c r="D455" s="11" t="str">
        <f>IF(ISNUMBER(SEARCH("OSBC", C455)), "GOVT", "RETAIL")</f>
        <v>RETAIL</v>
      </c>
      <c r="E455" s="12">
        <v>296016.77</v>
      </c>
      <c r="F455" s="12">
        <v>0</v>
      </c>
      <c r="G455" s="11">
        <v>0</v>
      </c>
      <c r="H455" s="11">
        <v>145.04</v>
      </c>
      <c r="I455" s="12">
        <v>131025.17</v>
      </c>
      <c r="J455" s="12">
        <v>45858.81</v>
      </c>
      <c r="K455" s="12">
        <v>1769</v>
      </c>
      <c r="L455" s="12">
        <v>178652.98</v>
      </c>
      <c r="M455" s="13">
        <v>117363.79</v>
      </c>
      <c r="N455">
        <f>YEAR(B455)</f>
        <v>2023</v>
      </c>
      <c r="O455" s="24">
        <f>IFERROR(J455/$I455,0)</f>
        <v>0.35000000381606067</v>
      </c>
      <c r="P455" s="24">
        <f>IFERROR(K455/$I455,0)</f>
        <v>1.3501222704004124E-2</v>
      </c>
      <c r="Q455" s="24" t="str">
        <f>IF($G455&lt;&gt;0,"Beer",IF($H455&lt;&gt;0,"Liquor","-"))</f>
        <v>Liquor</v>
      </c>
      <c r="R455" s="26">
        <f>IF($G455&lt;&gt;0,$G455,IF($H455&lt;&gt;0,$H455/0.75,0))</f>
        <v>193.38666666666666</v>
      </c>
      <c r="S455" s="32" t="b">
        <f>ISNUMBER(R455)</f>
        <v>1</v>
      </c>
      <c r="T455" s="32"/>
    </row>
    <row r="456" spans="1:20" x14ac:dyDescent="0.3">
      <c r="A456" s="9">
        <v>455</v>
      </c>
      <c r="B456" s="10">
        <v>45197.551134259258</v>
      </c>
      <c r="C456" s="11" t="s">
        <v>466</v>
      </c>
      <c r="D456" s="11" t="str">
        <f>IF(ISNUMBER(SEARCH("OSBC", C456)), "GOVT", "RETAIL")</f>
        <v>RETAIL</v>
      </c>
      <c r="E456" s="12">
        <v>117363.79</v>
      </c>
      <c r="F456" s="12">
        <v>0</v>
      </c>
      <c r="G456" s="11">
        <v>487.2</v>
      </c>
      <c r="H456" s="11">
        <v>0</v>
      </c>
      <c r="I456" s="12">
        <v>85476.18</v>
      </c>
      <c r="J456" s="12">
        <v>29916.66</v>
      </c>
      <c r="K456" s="12">
        <v>1154</v>
      </c>
      <c r="L456" s="12">
        <v>116546.84</v>
      </c>
      <c r="M456" s="13">
        <v>816.95</v>
      </c>
      <c r="N456">
        <f>YEAR(B456)</f>
        <v>2023</v>
      </c>
      <c r="O456" s="24">
        <f>IFERROR(J456/$I456,0)</f>
        <v>0.34999996490250268</v>
      </c>
      <c r="P456" s="24">
        <f>IFERROR(K456/$I456,0)</f>
        <v>1.3500837309294824E-2</v>
      </c>
      <c r="Q456" s="24" t="str">
        <f>IF($G456&lt;&gt;0,"Beer",IF($H456&lt;&gt;0,"Liquor","-"))</f>
        <v>Beer</v>
      </c>
      <c r="R456" s="26">
        <f>IF($G456&lt;&gt;0,$G456,IF($H456&lt;&gt;0,$H456/0.75,0))</f>
        <v>487.2</v>
      </c>
      <c r="S456" s="32" t="b">
        <f>ISNUMBER(R456)</f>
        <v>1</v>
      </c>
      <c r="T456" s="32"/>
    </row>
    <row r="457" spans="1:20" x14ac:dyDescent="0.3">
      <c r="A457" s="9">
        <v>456</v>
      </c>
      <c r="B457" s="10">
        <v>45208.375578703701</v>
      </c>
      <c r="C457" s="11" t="s">
        <v>467</v>
      </c>
      <c r="D457" s="11" t="str">
        <f>IF(ISNUMBER(SEARCH("OSBC", C457)), "GOVT", "RETAIL")</f>
        <v>GOVT</v>
      </c>
      <c r="E457" s="12">
        <v>816.95</v>
      </c>
      <c r="F457" s="12">
        <v>250000</v>
      </c>
      <c r="G457" s="11">
        <v>0</v>
      </c>
      <c r="H457" s="11">
        <v>0</v>
      </c>
      <c r="I457" s="12">
        <v>0</v>
      </c>
      <c r="J457" s="12">
        <v>0</v>
      </c>
      <c r="K457" s="12">
        <v>0</v>
      </c>
      <c r="L457" s="12">
        <v>0</v>
      </c>
      <c r="M457" s="13">
        <v>250816.95</v>
      </c>
      <c r="N457">
        <f>YEAR(B457)</f>
        <v>2023</v>
      </c>
      <c r="O457" s="24">
        <f>IFERROR(J457/$I457,0)</f>
        <v>0</v>
      </c>
      <c r="P457" s="24">
        <f>IFERROR(K457/$I457,0)</f>
        <v>0</v>
      </c>
      <c r="Q457" s="24" t="str">
        <f>IF($G457&lt;&gt;0,"Beer",IF($H457&lt;&gt;0,"Liquor","-"))</f>
        <v>-</v>
      </c>
      <c r="R457" s="26">
        <f>IF($G457&lt;&gt;0,$G457,IF($H457&lt;&gt;0,$H457/0.75,0))</f>
        <v>0</v>
      </c>
      <c r="S457" s="32" t="b">
        <f>ISNUMBER(R457)</f>
        <v>1</v>
      </c>
      <c r="T457" s="32"/>
    </row>
    <row r="458" spans="1:20" x14ac:dyDescent="0.3">
      <c r="A458" s="9">
        <v>457</v>
      </c>
      <c r="B458" s="10">
        <v>45208.545995370368</v>
      </c>
      <c r="C458" s="11" t="s">
        <v>468</v>
      </c>
      <c r="D458" s="11" t="str">
        <f>IF(ISNUMBER(SEARCH("OSBC", C458)), "GOVT", "RETAIL")</f>
        <v>RETAIL</v>
      </c>
      <c r="E458" s="12">
        <v>250816.95</v>
      </c>
      <c r="F458" s="12">
        <v>0</v>
      </c>
      <c r="G458" s="11">
        <v>0</v>
      </c>
      <c r="H458" s="11">
        <v>205.07</v>
      </c>
      <c r="I458" s="12">
        <v>182440.58</v>
      </c>
      <c r="J458" s="12">
        <v>63854.2</v>
      </c>
      <c r="K458" s="12">
        <v>2463</v>
      </c>
      <c r="L458" s="12">
        <v>248757.78</v>
      </c>
      <c r="M458" s="13">
        <v>2059.17</v>
      </c>
      <c r="N458">
        <f>YEAR(B458)</f>
        <v>2023</v>
      </c>
      <c r="O458" s="24">
        <f>IFERROR(J458/$I458,0)</f>
        <v>0.34999998355628997</v>
      </c>
      <c r="P458" s="24">
        <f>IFERROR(K458/$I458,0)</f>
        <v>1.3500285956117878E-2</v>
      </c>
      <c r="Q458" s="24" t="str">
        <f>IF($G458&lt;&gt;0,"Beer",IF($H458&lt;&gt;0,"Liquor","-"))</f>
        <v>Liquor</v>
      </c>
      <c r="R458" s="26">
        <f>IF($G458&lt;&gt;0,$G458,IF($H458&lt;&gt;0,$H458/0.75,0))</f>
        <v>273.42666666666668</v>
      </c>
      <c r="S458" s="32" t="b">
        <f>ISNUMBER(R458)</f>
        <v>1</v>
      </c>
      <c r="T458" s="32"/>
    </row>
    <row r="459" spans="1:20" x14ac:dyDescent="0.3">
      <c r="A459" s="9">
        <v>458</v>
      </c>
      <c r="B459" s="10">
        <v>45216.36341435185</v>
      </c>
      <c r="C459" s="11" t="s">
        <v>469</v>
      </c>
      <c r="D459" s="11" t="str">
        <f>IF(ISNUMBER(SEARCH("OSBC", C459)), "GOVT", "RETAIL")</f>
        <v>GOVT</v>
      </c>
      <c r="E459" s="12">
        <v>2059.17</v>
      </c>
      <c r="F459" s="12">
        <v>195000</v>
      </c>
      <c r="G459" s="11">
        <v>0</v>
      </c>
      <c r="H459" s="11">
        <v>0</v>
      </c>
      <c r="I459" s="12">
        <v>0</v>
      </c>
      <c r="J459" s="12">
        <v>0</v>
      </c>
      <c r="K459" s="12">
        <v>0</v>
      </c>
      <c r="L459" s="12">
        <v>0</v>
      </c>
      <c r="M459" s="13">
        <v>197059.17</v>
      </c>
      <c r="N459">
        <f>YEAR(B459)</f>
        <v>2023</v>
      </c>
      <c r="O459" s="24">
        <f>IFERROR(J459/$I459,0)</f>
        <v>0</v>
      </c>
      <c r="P459" s="24">
        <f>IFERROR(K459/$I459,0)</f>
        <v>0</v>
      </c>
      <c r="Q459" s="24" t="str">
        <f>IF($G459&lt;&gt;0,"Beer",IF($H459&lt;&gt;0,"Liquor","-"))</f>
        <v>-</v>
      </c>
      <c r="R459" s="26">
        <f>IF($G459&lt;&gt;0,$G459,IF($H459&lt;&gt;0,$H459/0.75,0))</f>
        <v>0</v>
      </c>
      <c r="S459" s="32" t="b">
        <f>ISNUMBER(R459)</f>
        <v>1</v>
      </c>
      <c r="T459" s="32"/>
    </row>
    <row r="460" spans="1:20" x14ac:dyDescent="0.3">
      <c r="A460" s="9">
        <v>459</v>
      </c>
      <c r="B460" s="10">
        <v>45216.559386574074</v>
      </c>
      <c r="C460" s="11" t="s">
        <v>470</v>
      </c>
      <c r="D460" s="11" t="str">
        <f>IF(ISNUMBER(SEARCH("OSBC", C460)), "GOVT", "RETAIL")</f>
        <v>RETAIL</v>
      </c>
      <c r="E460" s="12">
        <v>197059.17</v>
      </c>
      <c r="F460" s="12">
        <v>0</v>
      </c>
      <c r="G460" s="11">
        <v>0</v>
      </c>
      <c r="H460" s="11">
        <v>83.67</v>
      </c>
      <c r="I460" s="12">
        <v>69850.649999999994</v>
      </c>
      <c r="J460" s="12">
        <v>24447.74</v>
      </c>
      <c r="K460" s="12">
        <v>943</v>
      </c>
      <c r="L460" s="12">
        <v>95241.39</v>
      </c>
      <c r="M460" s="13">
        <v>101817.78</v>
      </c>
      <c r="N460">
        <f>YEAR(B460)</f>
        <v>2023</v>
      </c>
      <c r="O460" s="24">
        <f>IFERROR(J460/$I460,0)</f>
        <v>0.35000017895323815</v>
      </c>
      <c r="P460" s="24">
        <f>IFERROR(K460/$I460,0)</f>
        <v>1.3500232281303039E-2</v>
      </c>
      <c r="Q460" s="24" t="str">
        <f>IF($G460&lt;&gt;0,"Beer",IF($H460&lt;&gt;0,"Liquor","-"))</f>
        <v>Liquor</v>
      </c>
      <c r="R460" s="26">
        <f>IF($G460&lt;&gt;0,$G460,IF($H460&lt;&gt;0,$H460/0.75,0))</f>
        <v>111.56</v>
      </c>
      <c r="S460" s="32" t="b">
        <f>ISNUMBER(R460)</f>
        <v>1</v>
      </c>
      <c r="T460" s="32"/>
    </row>
    <row r="461" spans="1:20" x14ac:dyDescent="0.3">
      <c r="A461" s="9">
        <v>460</v>
      </c>
      <c r="B461" s="10">
        <v>45216.602708333332</v>
      </c>
      <c r="C461" s="11" t="s">
        <v>471</v>
      </c>
      <c r="D461" s="11" t="str">
        <f>IF(ISNUMBER(SEARCH("OSBC", C461)), "GOVT", "RETAIL")</f>
        <v>RETAIL</v>
      </c>
      <c r="E461" s="12">
        <v>101817.78</v>
      </c>
      <c r="F461" s="12">
        <v>0</v>
      </c>
      <c r="G461" s="11">
        <v>411</v>
      </c>
      <c r="H461" s="11">
        <v>0</v>
      </c>
      <c r="I461" s="12">
        <v>74285.740000000005</v>
      </c>
      <c r="J461" s="12">
        <v>26000.01</v>
      </c>
      <c r="K461" s="12">
        <v>1003</v>
      </c>
      <c r="L461" s="12">
        <v>101288.75</v>
      </c>
      <c r="M461" s="13">
        <v>529.03</v>
      </c>
      <c r="N461">
        <f>YEAR(B461)</f>
        <v>2023</v>
      </c>
      <c r="O461" s="24">
        <f>IFERROR(J461/$I461,0)</f>
        <v>0.35000001346153375</v>
      </c>
      <c r="P461" s="24">
        <f>IFERROR(K461/$I461,0)</f>
        <v>1.350191840318209E-2</v>
      </c>
      <c r="Q461" s="24" t="str">
        <f>IF($G461&lt;&gt;0,"Beer",IF($H461&lt;&gt;0,"Liquor","-"))</f>
        <v>Beer</v>
      </c>
      <c r="R461" s="26">
        <f>IF($G461&lt;&gt;0,$G461,IF($H461&lt;&gt;0,$H461/0.75,0))</f>
        <v>411</v>
      </c>
      <c r="S461" s="32" t="b">
        <f>ISNUMBER(R461)</f>
        <v>1</v>
      </c>
      <c r="T461" s="32"/>
    </row>
    <row r="462" spans="1:20" x14ac:dyDescent="0.3">
      <c r="A462" s="9">
        <v>461</v>
      </c>
      <c r="B462" s="10">
        <v>45225.376273148147</v>
      </c>
      <c r="C462" s="11" t="s">
        <v>472</v>
      </c>
      <c r="D462" s="11" t="str">
        <f>IF(ISNUMBER(SEARCH("OSBC", C462)), "GOVT", "RETAIL")</f>
        <v>GOVT</v>
      </c>
      <c r="E462" s="12">
        <v>529.03</v>
      </c>
      <c r="F462" s="12">
        <v>280000</v>
      </c>
      <c r="G462" s="11">
        <v>0</v>
      </c>
      <c r="H462" s="11">
        <v>0</v>
      </c>
      <c r="I462" s="12">
        <v>0</v>
      </c>
      <c r="J462" s="12">
        <v>0</v>
      </c>
      <c r="K462" s="12">
        <v>0</v>
      </c>
      <c r="L462" s="12">
        <v>0</v>
      </c>
      <c r="M462" s="13">
        <v>280529.03000000003</v>
      </c>
      <c r="N462">
        <f>YEAR(B462)</f>
        <v>2023</v>
      </c>
      <c r="O462" s="24">
        <f>IFERROR(J462/$I462,0)</f>
        <v>0</v>
      </c>
      <c r="P462" s="24">
        <f>IFERROR(K462/$I462,0)</f>
        <v>0</v>
      </c>
      <c r="Q462" s="24" t="str">
        <f>IF($G462&lt;&gt;0,"Beer",IF($H462&lt;&gt;0,"Liquor","-"))</f>
        <v>-</v>
      </c>
      <c r="R462" s="26">
        <f>IF($G462&lt;&gt;0,$G462,IF($H462&lt;&gt;0,$H462/0.75,0))</f>
        <v>0</v>
      </c>
      <c r="S462" s="32" t="b">
        <f>ISNUMBER(R462)</f>
        <v>1</v>
      </c>
      <c r="T462" s="32"/>
    </row>
    <row r="463" spans="1:20" x14ac:dyDescent="0.3">
      <c r="A463" s="9">
        <v>462</v>
      </c>
      <c r="B463" s="10">
        <v>45225.635567129626</v>
      </c>
      <c r="C463" s="11" t="s">
        <v>473</v>
      </c>
      <c r="D463" s="11" t="str">
        <f>IF(ISNUMBER(SEARCH("OSBC", C463)), "GOVT", "RETAIL")</f>
        <v>RETAIL</v>
      </c>
      <c r="E463" s="12">
        <v>280529.03000000003</v>
      </c>
      <c r="F463" s="12">
        <v>0</v>
      </c>
      <c r="G463" s="11">
        <v>0</v>
      </c>
      <c r="H463" s="11">
        <v>128.86000000000001</v>
      </c>
      <c r="I463" s="12">
        <v>124955.78</v>
      </c>
      <c r="J463" s="12">
        <v>43734.52</v>
      </c>
      <c r="K463" s="12">
        <v>1687</v>
      </c>
      <c r="L463" s="12">
        <v>170377.3</v>
      </c>
      <c r="M463" s="13">
        <v>110151.73</v>
      </c>
      <c r="N463">
        <f>YEAR(B463)</f>
        <v>2023</v>
      </c>
      <c r="O463" s="24">
        <f>IFERROR(J463/$I463,0)</f>
        <v>0.34999997599150673</v>
      </c>
      <c r="P463" s="24">
        <f>IFERROR(K463/$I463,0)</f>
        <v>1.3500776034529975E-2</v>
      </c>
      <c r="Q463" s="24" t="str">
        <f>IF($G463&lt;&gt;0,"Beer",IF($H463&lt;&gt;0,"Liquor","-"))</f>
        <v>Liquor</v>
      </c>
      <c r="R463" s="26">
        <f>IF($G463&lt;&gt;0,$G463,IF($H463&lt;&gt;0,$H463/0.75,0))</f>
        <v>171.81333333333336</v>
      </c>
      <c r="S463" s="32" t="b">
        <f>ISNUMBER(R463)</f>
        <v>1</v>
      </c>
      <c r="T463" s="32"/>
    </row>
    <row r="464" spans="1:20" x14ac:dyDescent="0.3">
      <c r="A464" s="9">
        <v>463</v>
      </c>
      <c r="B464" s="10">
        <v>45225.636180555557</v>
      </c>
      <c r="C464" s="11" t="s">
        <v>474</v>
      </c>
      <c r="D464" s="11" t="str">
        <f>IF(ISNUMBER(SEARCH("OSBC", C464)), "GOVT", "RETAIL")</f>
        <v>RETAIL</v>
      </c>
      <c r="E464" s="12">
        <v>110151.73</v>
      </c>
      <c r="F464" s="12">
        <v>0</v>
      </c>
      <c r="G464" s="11">
        <v>439.2</v>
      </c>
      <c r="H464" s="11">
        <v>0</v>
      </c>
      <c r="I464" s="12">
        <v>77619.08</v>
      </c>
      <c r="J464" s="12">
        <v>27166.68</v>
      </c>
      <c r="K464" s="12">
        <v>1048</v>
      </c>
      <c r="L464" s="12">
        <v>105833.76</v>
      </c>
      <c r="M464" s="13">
        <v>4317.97</v>
      </c>
      <c r="N464">
        <f>YEAR(B464)</f>
        <v>2023</v>
      </c>
      <c r="O464" s="24">
        <f>IFERROR(J464/$I464,0)</f>
        <v>0.3500000257668604</v>
      </c>
      <c r="P464" s="24">
        <f>IFERROR(K464/$I464,0)</f>
        <v>1.3501834858130243E-2</v>
      </c>
      <c r="Q464" s="24" t="str">
        <f>IF($G464&lt;&gt;0,"Beer",IF($H464&lt;&gt;0,"Liquor","-"))</f>
        <v>Beer</v>
      </c>
      <c r="R464" s="26">
        <f>IF($G464&lt;&gt;0,$G464,IF($H464&lt;&gt;0,$H464/0.75,0))</f>
        <v>439.2</v>
      </c>
      <c r="S464" s="32" t="b">
        <f>ISNUMBER(R464)</f>
        <v>1</v>
      </c>
      <c r="T464" s="32"/>
    </row>
    <row r="465" spans="1:20" x14ac:dyDescent="0.3">
      <c r="A465" s="9">
        <v>464</v>
      </c>
      <c r="B465" s="10">
        <v>45239.447534722225</v>
      </c>
      <c r="C465" s="11" t="s">
        <v>475</v>
      </c>
      <c r="D465" s="11" t="str">
        <f>IF(ISNUMBER(SEARCH("OSBC", C465)), "GOVT", "RETAIL")</f>
        <v>GOVT</v>
      </c>
      <c r="E465" s="12">
        <v>4317.97</v>
      </c>
      <c r="F465" s="12">
        <v>330000</v>
      </c>
      <c r="G465" s="11">
        <v>0</v>
      </c>
      <c r="H465" s="11">
        <v>0</v>
      </c>
      <c r="I465" s="12">
        <v>0</v>
      </c>
      <c r="J465" s="12">
        <v>0</v>
      </c>
      <c r="K465" s="12">
        <v>0</v>
      </c>
      <c r="L465" s="12">
        <v>0</v>
      </c>
      <c r="M465" s="13">
        <v>334317.96999999997</v>
      </c>
      <c r="N465">
        <f>YEAR(B465)</f>
        <v>2023</v>
      </c>
      <c r="O465" s="24">
        <f>IFERROR(J465/$I465,0)</f>
        <v>0</v>
      </c>
      <c r="P465" s="24">
        <f>IFERROR(K465/$I465,0)</f>
        <v>0</v>
      </c>
      <c r="Q465" s="24" t="str">
        <f>IF($G465&lt;&gt;0,"Beer",IF($H465&lt;&gt;0,"Liquor","-"))</f>
        <v>-</v>
      </c>
      <c r="R465" s="26">
        <f>IF($G465&lt;&gt;0,$G465,IF($H465&lt;&gt;0,$H465/0.75,0))</f>
        <v>0</v>
      </c>
      <c r="S465" s="32" t="b">
        <f>ISNUMBER(R465)</f>
        <v>1</v>
      </c>
      <c r="T465" s="32"/>
    </row>
    <row r="466" spans="1:20" x14ac:dyDescent="0.3">
      <c r="A466" s="9">
        <v>465</v>
      </c>
      <c r="B466" s="10">
        <v>45239.498495370368</v>
      </c>
      <c r="C466" s="11" t="s">
        <v>476</v>
      </c>
      <c r="D466" s="11" t="str">
        <f>IF(ISNUMBER(SEARCH("OSBC", C466)), "GOVT", "RETAIL")</f>
        <v>RETAIL</v>
      </c>
      <c r="E466" s="12">
        <v>334317.96999999997</v>
      </c>
      <c r="F466" s="12">
        <v>0</v>
      </c>
      <c r="G466" s="11">
        <v>0</v>
      </c>
      <c r="H466" s="11">
        <v>222.5</v>
      </c>
      <c r="I466" s="12">
        <v>209658.42</v>
      </c>
      <c r="J466" s="12">
        <v>73380.44</v>
      </c>
      <c r="K466" s="12">
        <v>2830</v>
      </c>
      <c r="L466" s="12">
        <v>285868.86</v>
      </c>
      <c r="M466" s="13">
        <v>48449.11</v>
      </c>
      <c r="N466">
        <f>YEAR(B466)</f>
        <v>2023</v>
      </c>
      <c r="O466" s="24">
        <f>IFERROR(J466/$I466,0)</f>
        <v>0.34999996661235927</v>
      </c>
      <c r="P466" s="24">
        <f>IFERROR(K466/$I466,0)</f>
        <v>1.3498146175097569E-2</v>
      </c>
      <c r="Q466" s="24" t="str">
        <f>IF($G466&lt;&gt;0,"Beer",IF($H466&lt;&gt;0,"Liquor","-"))</f>
        <v>Liquor</v>
      </c>
      <c r="R466" s="26">
        <f>IF($G466&lt;&gt;0,$G466,IF($H466&lt;&gt;0,$H466/0.75,0))</f>
        <v>296.66666666666669</v>
      </c>
      <c r="S466" s="32" t="b">
        <f>ISNUMBER(R466)</f>
        <v>1</v>
      </c>
      <c r="T466" s="32"/>
    </row>
    <row r="467" spans="1:20" x14ac:dyDescent="0.3">
      <c r="A467" s="9">
        <v>466</v>
      </c>
      <c r="B467" s="10">
        <v>45244.335034722222</v>
      </c>
      <c r="C467" s="11" t="s">
        <v>477</v>
      </c>
      <c r="D467" s="11" t="str">
        <f>IF(ISNUMBER(SEARCH("OSBC", C467)), "GOVT", "RETAIL")</f>
        <v>GOVT</v>
      </c>
      <c r="E467" s="12">
        <v>48449.11</v>
      </c>
      <c r="F467" s="12">
        <v>150000</v>
      </c>
      <c r="G467" s="11">
        <v>0</v>
      </c>
      <c r="H467" s="11">
        <v>0</v>
      </c>
      <c r="I467" s="12">
        <v>0</v>
      </c>
      <c r="J467" s="12">
        <v>0</v>
      </c>
      <c r="K467" s="12">
        <v>0</v>
      </c>
      <c r="L467" s="12">
        <v>0</v>
      </c>
      <c r="M467" s="13">
        <v>198449.11</v>
      </c>
      <c r="N467">
        <f>YEAR(B467)</f>
        <v>2023</v>
      </c>
      <c r="O467" s="24">
        <f>IFERROR(J467/$I467,0)</f>
        <v>0</v>
      </c>
      <c r="P467" s="24">
        <f>IFERROR(K467/$I467,0)</f>
        <v>0</v>
      </c>
      <c r="Q467" s="24" t="str">
        <f>IF($G467&lt;&gt;0,"Beer",IF($H467&lt;&gt;0,"Liquor","-"))</f>
        <v>-</v>
      </c>
      <c r="R467" s="26">
        <f>IF($G467&lt;&gt;0,$G467,IF($H467&lt;&gt;0,$H467/0.75,0))</f>
        <v>0</v>
      </c>
      <c r="S467" s="32" t="b">
        <f>ISNUMBER(R467)</f>
        <v>1</v>
      </c>
      <c r="T467" s="32"/>
    </row>
    <row r="468" spans="1:20" x14ac:dyDescent="0.3">
      <c r="A468" s="9">
        <v>467</v>
      </c>
      <c r="B468" s="10">
        <v>45244.343993055554</v>
      </c>
      <c r="C468" s="11" t="s">
        <v>478</v>
      </c>
      <c r="D468" s="11" t="str">
        <f>IF(ISNUMBER(SEARCH("OSBC", C468)), "GOVT", "RETAIL")</f>
        <v>GOVT</v>
      </c>
      <c r="E468" s="12">
        <v>198449.11</v>
      </c>
      <c r="F468" s="12">
        <v>10000</v>
      </c>
      <c r="G468" s="11">
        <v>0</v>
      </c>
      <c r="H468" s="11">
        <v>0</v>
      </c>
      <c r="I468" s="12">
        <v>0</v>
      </c>
      <c r="J468" s="12">
        <v>0</v>
      </c>
      <c r="K468" s="12">
        <v>0</v>
      </c>
      <c r="L468" s="12">
        <v>0</v>
      </c>
      <c r="M468" s="13">
        <v>208449.11</v>
      </c>
      <c r="N468">
        <f>YEAR(B468)</f>
        <v>2023</v>
      </c>
      <c r="O468" s="24">
        <f>IFERROR(J468/$I468,0)</f>
        <v>0</v>
      </c>
      <c r="P468" s="24">
        <f>IFERROR(K468/$I468,0)</f>
        <v>0</v>
      </c>
      <c r="Q468" s="24" t="str">
        <f>IF($G468&lt;&gt;0,"Beer",IF($H468&lt;&gt;0,"Liquor","-"))</f>
        <v>-</v>
      </c>
      <c r="R468" s="26">
        <f>IF($G468&lt;&gt;0,$G468,IF($H468&lt;&gt;0,$H468/0.75,0))</f>
        <v>0</v>
      </c>
      <c r="S468" s="32" t="b">
        <f>ISNUMBER(R468)</f>
        <v>1</v>
      </c>
      <c r="T468" s="32"/>
    </row>
    <row r="469" spans="1:20" x14ac:dyDescent="0.3">
      <c r="A469" s="9">
        <v>468</v>
      </c>
      <c r="B469" s="10">
        <v>45244.631099537037</v>
      </c>
      <c r="C469" s="11" t="s">
        <v>479</v>
      </c>
      <c r="D469" s="11" t="str">
        <f>IF(ISNUMBER(SEARCH("OSBC", C469)), "GOVT", "RETAIL")</f>
        <v>RETAIL</v>
      </c>
      <c r="E469" s="12">
        <v>208449.11</v>
      </c>
      <c r="F469" s="12">
        <v>0</v>
      </c>
      <c r="G469" s="11">
        <v>0</v>
      </c>
      <c r="H469" s="11">
        <v>95.41</v>
      </c>
      <c r="I469" s="12">
        <v>98911.52</v>
      </c>
      <c r="J469" s="12">
        <v>34619.03</v>
      </c>
      <c r="K469" s="12">
        <v>1335</v>
      </c>
      <c r="L469" s="12">
        <v>134865.54999999999</v>
      </c>
      <c r="M469" s="13">
        <v>73583.56</v>
      </c>
      <c r="N469">
        <f>YEAR(B469)</f>
        <v>2023</v>
      </c>
      <c r="O469" s="24">
        <f>IFERROR(J469/$I469,0)</f>
        <v>0.34999997977990832</v>
      </c>
      <c r="P469" s="24">
        <f>IFERROR(K469/$I469,0)</f>
        <v>1.3496911178798992E-2</v>
      </c>
      <c r="Q469" s="24" t="str">
        <f>IF($G469&lt;&gt;0,"Beer",IF($H469&lt;&gt;0,"Liquor","-"))</f>
        <v>Liquor</v>
      </c>
      <c r="R469" s="26">
        <f>IF($G469&lt;&gt;0,$G469,IF($H469&lt;&gt;0,$H469/0.75,0))</f>
        <v>127.21333333333332</v>
      </c>
      <c r="S469" s="32" t="b">
        <f>ISNUMBER(R469)</f>
        <v>1</v>
      </c>
      <c r="T469" s="32"/>
    </row>
    <row r="470" spans="1:20" x14ac:dyDescent="0.3">
      <c r="A470" s="9">
        <v>469</v>
      </c>
      <c r="B470" s="10">
        <v>45244.631620370368</v>
      </c>
      <c r="C470" s="11" t="s">
        <v>480</v>
      </c>
      <c r="D470" s="11" t="str">
        <f>IF(ISNUMBER(SEARCH("OSBC", C470)), "GOVT", "RETAIL")</f>
        <v>RETAIL</v>
      </c>
      <c r="E470" s="12">
        <v>73583.56</v>
      </c>
      <c r="F470" s="12">
        <v>0</v>
      </c>
      <c r="G470" s="11">
        <v>301.2</v>
      </c>
      <c r="H470" s="11">
        <v>0</v>
      </c>
      <c r="I470" s="12">
        <v>53650.79</v>
      </c>
      <c r="J470" s="12">
        <v>18777.78</v>
      </c>
      <c r="K470" s="12">
        <v>724</v>
      </c>
      <c r="L470" s="12">
        <v>73152.570000000007</v>
      </c>
      <c r="M470" s="13">
        <v>430.99</v>
      </c>
      <c r="N470">
        <f>YEAR(B470)</f>
        <v>2023</v>
      </c>
      <c r="O470" s="24">
        <f>IFERROR(J470/$I470,0)</f>
        <v>0.3500000652366908</v>
      </c>
      <c r="P470" s="24">
        <f>IFERROR(K470/$I470,0)</f>
        <v>1.3494675474489751E-2</v>
      </c>
      <c r="Q470" s="24" t="str">
        <f>IF($G470&lt;&gt;0,"Beer",IF($H470&lt;&gt;0,"Liquor","-"))</f>
        <v>Beer</v>
      </c>
      <c r="R470" s="26">
        <f>IF($G470&lt;&gt;0,$G470,IF($H470&lt;&gt;0,$H470/0.75,0))</f>
        <v>301.2</v>
      </c>
      <c r="S470" s="32" t="b">
        <f>ISNUMBER(R470)</f>
        <v>1</v>
      </c>
      <c r="T470" s="32"/>
    </row>
    <row r="471" spans="1:20" x14ac:dyDescent="0.3">
      <c r="A471" s="9">
        <v>470</v>
      </c>
      <c r="B471" s="10">
        <v>45250.373124999998</v>
      </c>
      <c r="C471" s="11" t="s">
        <v>481</v>
      </c>
      <c r="D471" s="11" t="str">
        <f>IF(ISNUMBER(SEARCH("OSBC", C471)), "GOVT", "RETAIL")</f>
        <v>GOVT</v>
      </c>
      <c r="E471" s="12">
        <v>430.99</v>
      </c>
      <c r="F471" s="12">
        <v>195000</v>
      </c>
      <c r="G471" s="11">
        <v>0</v>
      </c>
      <c r="H471" s="11">
        <v>0</v>
      </c>
      <c r="I471" s="12">
        <v>0</v>
      </c>
      <c r="J471" s="12">
        <v>0</v>
      </c>
      <c r="K471" s="12">
        <v>0</v>
      </c>
      <c r="L471" s="12">
        <v>0</v>
      </c>
      <c r="M471" s="13">
        <v>195430.99</v>
      </c>
      <c r="N471">
        <f>YEAR(B471)</f>
        <v>2023</v>
      </c>
      <c r="O471" s="24">
        <f>IFERROR(J471/$I471,0)</f>
        <v>0</v>
      </c>
      <c r="P471" s="24">
        <f>IFERROR(K471/$I471,0)</f>
        <v>0</v>
      </c>
      <c r="Q471" s="24" t="str">
        <f>IF($G471&lt;&gt;0,"Beer",IF($H471&lt;&gt;0,"Liquor","-"))</f>
        <v>-</v>
      </c>
      <c r="R471" s="26">
        <f>IF($G471&lt;&gt;0,$G471,IF($H471&lt;&gt;0,$H471/0.75,0))</f>
        <v>0</v>
      </c>
      <c r="S471" s="32" t="b">
        <f>ISNUMBER(R471)</f>
        <v>1</v>
      </c>
      <c r="T471" s="32"/>
    </row>
    <row r="472" spans="1:20" x14ac:dyDescent="0.3">
      <c r="A472" s="9">
        <v>471</v>
      </c>
      <c r="B472" s="10">
        <v>45250.480995370373</v>
      </c>
      <c r="C472" s="11" t="s">
        <v>482</v>
      </c>
      <c r="D472" s="11" t="str">
        <f>IF(ISNUMBER(SEARCH("OSBC", C472)), "GOVT", "RETAIL")</f>
        <v>RETAIL</v>
      </c>
      <c r="E472" s="12">
        <v>195430.99</v>
      </c>
      <c r="F472" s="12">
        <v>0</v>
      </c>
      <c r="G472" s="11">
        <v>0</v>
      </c>
      <c r="H472" s="11">
        <v>74.78</v>
      </c>
      <c r="I472" s="12">
        <v>76009.279999999999</v>
      </c>
      <c r="J472" s="12">
        <v>26603.25</v>
      </c>
      <c r="K472" s="12">
        <v>1026</v>
      </c>
      <c r="L472" s="12">
        <v>103638.53</v>
      </c>
      <c r="M472" s="13">
        <v>91792.46</v>
      </c>
      <c r="N472">
        <f>YEAR(B472)</f>
        <v>2023</v>
      </c>
      <c r="O472" s="24">
        <f>IFERROR(J472/$I472,0)</f>
        <v>0.3500000263125766</v>
      </c>
      <c r="P472" s="24">
        <f>IFERROR(K472/$I472,0)</f>
        <v>1.349835178020368E-2</v>
      </c>
      <c r="Q472" s="24" t="str">
        <f>IF($G472&lt;&gt;0,"Beer",IF($H472&lt;&gt;0,"Liquor","-"))</f>
        <v>Liquor</v>
      </c>
      <c r="R472" s="26">
        <f>IF($G472&lt;&gt;0,$G472,IF($H472&lt;&gt;0,$H472/0.75,0))</f>
        <v>99.706666666666663</v>
      </c>
      <c r="S472" s="32" t="b">
        <f>ISNUMBER(R472)</f>
        <v>1</v>
      </c>
      <c r="T472" s="32"/>
    </row>
    <row r="473" spans="1:20" x14ac:dyDescent="0.3">
      <c r="A473" s="9">
        <v>472</v>
      </c>
      <c r="B473" s="10">
        <v>45250.481539351851</v>
      </c>
      <c r="C473" s="11" t="s">
        <v>483</v>
      </c>
      <c r="D473" s="11" t="str">
        <f>IF(ISNUMBER(SEARCH("OSBC", C473)), "GOVT", "RETAIL")</f>
        <v>RETAIL</v>
      </c>
      <c r="E473" s="12">
        <v>91792.46</v>
      </c>
      <c r="F473" s="12">
        <v>0</v>
      </c>
      <c r="G473" s="11">
        <v>189</v>
      </c>
      <c r="H473" s="11">
        <v>0</v>
      </c>
      <c r="I473" s="12">
        <v>31746.05</v>
      </c>
      <c r="J473" s="12">
        <v>11111.12</v>
      </c>
      <c r="K473" s="12">
        <v>429</v>
      </c>
      <c r="L473" s="12">
        <v>43286.17</v>
      </c>
      <c r="M473" s="13">
        <v>48506.29</v>
      </c>
      <c r="N473">
        <f>YEAR(B473)</f>
        <v>2023</v>
      </c>
      <c r="O473" s="24">
        <f>IFERROR(J473/$I473,0)</f>
        <v>0.35000007874995476</v>
      </c>
      <c r="P473" s="24">
        <f>IFERROR(K473/$I473,0)</f>
        <v>1.3513492229741969E-2</v>
      </c>
      <c r="Q473" s="24" t="str">
        <f>IF($G473&lt;&gt;0,"Beer",IF($H473&lt;&gt;0,"Liquor","-"))</f>
        <v>Beer</v>
      </c>
      <c r="R473" s="26">
        <f>IF($G473&lt;&gt;0,$G473,IF($H473&lt;&gt;0,$H473/0.75,0))</f>
        <v>189</v>
      </c>
      <c r="S473" s="32" t="b">
        <f>ISNUMBER(R473)</f>
        <v>1</v>
      </c>
      <c r="T473" s="32"/>
    </row>
    <row r="474" spans="1:20" x14ac:dyDescent="0.3">
      <c r="A474" s="9">
        <v>473</v>
      </c>
      <c r="B474" s="10">
        <v>45258.411354166667</v>
      </c>
      <c r="C474" s="11" t="s">
        <v>484</v>
      </c>
      <c r="D474" s="11" t="str">
        <f>IF(ISNUMBER(SEARCH("OSBC", C474)), "GOVT", "RETAIL")</f>
        <v>GOVT</v>
      </c>
      <c r="E474" s="12">
        <v>48506.29</v>
      </c>
      <c r="F474" s="12">
        <v>255000</v>
      </c>
      <c r="G474" s="11">
        <v>0</v>
      </c>
      <c r="H474" s="11">
        <v>0</v>
      </c>
      <c r="I474" s="12">
        <v>0</v>
      </c>
      <c r="J474" s="12">
        <v>0</v>
      </c>
      <c r="K474" s="12">
        <v>0</v>
      </c>
      <c r="L474" s="12">
        <v>0</v>
      </c>
      <c r="M474" s="13">
        <v>303506.28999999998</v>
      </c>
      <c r="N474">
        <f>YEAR(B474)</f>
        <v>2023</v>
      </c>
      <c r="O474" s="24">
        <f>IFERROR(J474/$I474,0)</f>
        <v>0</v>
      </c>
      <c r="P474" s="24">
        <f>IFERROR(K474/$I474,0)</f>
        <v>0</v>
      </c>
      <c r="Q474" s="24" t="str">
        <f>IF($G474&lt;&gt;0,"Beer",IF($H474&lt;&gt;0,"Liquor","-"))</f>
        <v>-</v>
      </c>
      <c r="R474" s="26">
        <f>IF($G474&lt;&gt;0,$G474,IF($H474&lt;&gt;0,$H474/0.75,0))</f>
        <v>0</v>
      </c>
      <c r="S474" s="32" t="b">
        <f>ISNUMBER(R474)</f>
        <v>1</v>
      </c>
      <c r="T474" s="32"/>
    </row>
    <row r="475" spans="1:20" x14ac:dyDescent="0.3">
      <c r="A475" s="9">
        <v>474</v>
      </c>
      <c r="B475" s="10">
        <v>45258.659780092596</v>
      </c>
      <c r="C475" s="11" t="s">
        <v>485</v>
      </c>
      <c r="D475" s="11" t="str">
        <f>IF(ISNUMBER(SEARCH("OSBC", C475)), "GOVT", "RETAIL")</f>
        <v>RETAIL</v>
      </c>
      <c r="E475" s="12">
        <v>303506.28999999998</v>
      </c>
      <c r="F475" s="12">
        <v>0</v>
      </c>
      <c r="G475" s="11">
        <v>207.6</v>
      </c>
      <c r="H475" s="11">
        <v>0</v>
      </c>
      <c r="I475" s="12">
        <v>36984.129999999997</v>
      </c>
      <c r="J475" s="12">
        <v>12944.45</v>
      </c>
      <c r="K475" s="12">
        <v>499</v>
      </c>
      <c r="L475" s="12">
        <v>50427.58</v>
      </c>
      <c r="M475" s="13">
        <v>253078.71</v>
      </c>
      <c r="N475">
        <f>YEAR(B475)</f>
        <v>2023</v>
      </c>
      <c r="O475" s="24">
        <f>IFERROR(J475/$I475,0)</f>
        <v>0.35000012167380984</v>
      </c>
      <c r="P475" s="24">
        <f>IFERROR(K475/$I475,0)</f>
        <v>1.3492273577883272E-2</v>
      </c>
      <c r="Q475" s="24" t="str">
        <f>IF($G475&lt;&gt;0,"Beer",IF($H475&lt;&gt;0,"Liquor","-"))</f>
        <v>Beer</v>
      </c>
      <c r="R475" s="26">
        <f>IF($G475&lt;&gt;0,$G475,IF($H475&lt;&gt;0,$H475/0.75,0))</f>
        <v>207.6</v>
      </c>
      <c r="S475" s="32" t="b">
        <f>ISNUMBER(R475)</f>
        <v>1</v>
      </c>
      <c r="T475" s="32"/>
    </row>
    <row r="476" spans="1:20" x14ac:dyDescent="0.3">
      <c r="A476" s="9">
        <v>475</v>
      </c>
      <c r="B476" s="10">
        <v>45258.660578703704</v>
      </c>
      <c r="C476" s="11" t="s">
        <v>486</v>
      </c>
      <c r="D476" s="11" t="str">
        <f>IF(ISNUMBER(SEARCH("OSBC", C476)), "GOVT", "RETAIL")</f>
        <v>RETAIL</v>
      </c>
      <c r="E476" s="12">
        <v>253078.71</v>
      </c>
      <c r="F476" s="12">
        <v>0</v>
      </c>
      <c r="G476" s="11">
        <v>0</v>
      </c>
      <c r="H476" s="11">
        <v>166.61</v>
      </c>
      <c r="I476" s="12">
        <v>153784.09</v>
      </c>
      <c r="J476" s="12">
        <v>53824.43</v>
      </c>
      <c r="K476" s="12">
        <v>2076</v>
      </c>
      <c r="L476" s="12">
        <v>209684.52</v>
      </c>
      <c r="M476" s="13">
        <v>43394.19</v>
      </c>
      <c r="N476">
        <f>YEAR(B476)</f>
        <v>2023</v>
      </c>
      <c r="O476" s="24">
        <f>IFERROR(J476/$I476,0)</f>
        <v>0.34999999024606515</v>
      </c>
      <c r="P476" s="24">
        <f>IFERROR(K476/$I476,0)</f>
        <v>1.349944587895926E-2</v>
      </c>
      <c r="Q476" s="24" t="str">
        <f>IF($G476&lt;&gt;0,"Beer",IF($H476&lt;&gt;0,"Liquor","-"))</f>
        <v>Liquor</v>
      </c>
      <c r="R476" s="26">
        <f>IF($G476&lt;&gt;0,$G476,IF($H476&lt;&gt;0,$H476/0.75,0))</f>
        <v>222.14666666666668</v>
      </c>
      <c r="S476" s="32" t="b">
        <f>ISNUMBER(R476)</f>
        <v>1</v>
      </c>
      <c r="T476" s="32"/>
    </row>
    <row r="477" spans="1:20" x14ac:dyDescent="0.3">
      <c r="A477" s="9">
        <v>476</v>
      </c>
      <c r="B477" s="10">
        <v>45268.470856481479</v>
      </c>
      <c r="C477" s="11" t="s">
        <v>487</v>
      </c>
      <c r="D477" s="11" t="str">
        <f>IF(ISNUMBER(SEARCH("OSBC", C477)), "GOVT", "RETAIL")</f>
        <v>GOVT</v>
      </c>
      <c r="E477" s="12">
        <v>43394.19</v>
      </c>
      <c r="F477" s="12">
        <v>200000</v>
      </c>
      <c r="G477" s="11">
        <v>0</v>
      </c>
      <c r="H477" s="11">
        <v>0</v>
      </c>
      <c r="I477" s="12">
        <v>0</v>
      </c>
      <c r="J477" s="12">
        <v>0</v>
      </c>
      <c r="K477" s="12">
        <v>0</v>
      </c>
      <c r="L477" s="12">
        <v>0</v>
      </c>
      <c r="M477" s="13">
        <v>243394.19</v>
      </c>
      <c r="N477">
        <f>YEAR(B477)</f>
        <v>2023</v>
      </c>
      <c r="O477" s="24">
        <f>IFERROR(J477/$I477,0)</f>
        <v>0</v>
      </c>
      <c r="P477" s="24">
        <f>IFERROR(K477/$I477,0)</f>
        <v>0</v>
      </c>
      <c r="Q477" s="24" t="str">
        <f>IF($G477&lt;&gt;0,"Beer",IF($H477&lt;&gt;0,"Liquor","-"))</f>
        <v>-</v>
      </c>
      <c r="R477" s="26">
        <f>IF($G477&lt;&gt;0,$G477,IF($H477&lt;&gt;0,$H477/0.75,0))</f>
        <v>0</v>
      </c>
      <c r="S477" s="32" t="b">
        <f>ISNUMBER(R477)</f>
        <v>1</v>
      </c>
      <c r="T477" s="32"/>
    </row>
    <row r="478" spans="1:20" x14ac:dyDescent="0.3">
      <c r="A478" s="9">
        <v>477</v>
      </c>
      <c r="B478" s="10">
        <v>45268.635810185187</v>
      </c>
      <c r="C478" s="11" t="s">
        <v>488</v>
      </c>
      <c r="D478" s="11" t="str">
        <f>IF(ISNUMBER(SEARCH("OSBC", C478)), "GOVT", "RETAIL")</f>
        <v>RETAIL</v>
      </c>
      <c r="E478" s="12">
        <v>243394.19</v>
      </c>
      <c r="F478" s="12">
        <v>0</v>
      </c>
      <c r="G478" s="11">
        <v>0</v>
      </c>
      <c r="H478" s="11">
        <v>151.74</v>
      </c>
      <c r="I478" s="12">
        <v>141428.63</v>
      </c>
      <c r="J478" s="12">
        <v>49500.02</v>
      </c>
      <c r="K478" s="12">
        <v>1909</v>
      </c>
      <c r="L478" s="12">
        <v>192837.65</v>
      </c>
      <c r="M478" s="13">
        <v>50556.54</v>
      </c>
      <c r="N478">
        <f>YEAR(B478)</f>
        <v>2023</v>
      </c>
      <c r="O478" s="24">
        <f>IFERROR(J478/$I478,0)</f>
        <v>0.34999999646464791</v>
      </c>
      <c r="P478" s="24">
        <f>IFERROR(K478/$I478,0)</f>
        <v>1.3497974207909672E-2</v>
      </c>
      <c r="Q478" s="24" t="str">
        <f>IF($G478&lt;&gt;0,"Beer",IF($H478&lt;&gt;0,"Liquor","-"))</f>
        <v>Liquor</v>
      </c>
      <c r="R478" s="26">
        <f>IF($G478&lt;&gt;0,$G478,IF($H478&lt;&gt;0,$H478/0.75,0))</f>
        <v>202.32000000000002</v>
      </c>
      <c r="S478" s="32" t="b">
        <f>ISNUMBER(R478)</f>
        <v>1</v>
      </c>
      <c r="T478" s="32"/>
    </row>
    <row r="479" spans="1:20" x14ac:dyDescent="0.3">
      <c r="A479" s="9">
        <v>478</v>
      </c>
      <c r="B479" s="10">
        <v>45271.392430555556</v>
      </c>
      <c r="C479" s="11" t="s">
        <v>489</v>
      </c>
      <c r="D479" s="11" t="str">
        <f>IF(ISNUMBER(SEARCH("OSBC", C479)), "GOVT", "RETAIL")</f>
        <v>GOVT</v>
      </c>
      <c r="E479" s="12">
        <v>50556.54</v>
      </c>
      <c r="F479" s="12">
        <v>140000</v>
      </c>
      <c r="G479" s="11">
        <v>0</v>
      </c>
      <c r="H479" s="11">
        <v>0</v>
      </c>
      <c r="I479" s="12">
        <v>0</v>
      </c>
      <c r="J479" s="12">
        <v>0</v>
      </c>
      <c r="K479" s="12">
        <v>0</v>
      </c>
      <c r="L479" s="12">
        <v>0</v>
      </c>
      <c r="M479" s="13">
        <v>190556.54</v>
      </c>
      <c r="N479">
        <f>YEAR(B479)</f>
        <v>2023</v>
      </c>
      <c r="O479" s="24">
        <f>IFERROR(J479/$I479,0)</f>
        <v>0</v>
      </c>
      <c r="P479" s="24">
        <f>IFERROR(K479/$I479,0)</f>
        <v>0</v>
      </c>
      <c r="Q479" s="24" t="str">
        <f>IF($G479&lt;&gt;0,"Beer",IF($H479&lt;&gt;0,"Liquor","-"))</f>
        <v>-</v>
      </c>
      <c r="R479" s="26">
        <f>IF($G479&lt;&gt;0,$G479,IF($H479&lt;&gt;0,$H479/0.75,0))</f>
        <v>0</v>
      </c>
      <c r="S479" s="32" t="b">
        <f>ISNUMBER(R479)</f>
        <v>1</v>
      </c>
      <c r="T479" s="32"/>
    </row>
    <row r="480" spans="1:20" x14ac:dyDescent="0.3">
      <c r="A480" s="9">
        <v>479</v>
      </c>
      <c r="B480" s="10">
        <v>45271.606400462966</v>
      </c>
      <c r="C480" s="11" t="s">
        <v>490</v>
      </c>
      <c r="D480" s="11" t="str">
        <f>IF(ISNUMBER(SEARCH("OSBC", C480)), "GOVT", "RETAIL")</f>
        <v>RETAIL</v>
      </c>
      <c r="E480" s="12">
        <v>190556.54</v>
      </c>
      <c r="F480" s="12">
        <v>0</v>
      </c>
      <c r="G480" s="11">
        <v>187.8</v>
      </c>
      <c r="H480" s="11">
        <v>0</v>
      </c>
      <c r="I480" s="12">
        <v>38174.629999999997</v>
      </c>
      <c r="J480" s="12">
        <v>13361.12</v>
      </c>
      <c r="K480" s="12">
        <v>515</v>
      </c>
      <c r="L480" s="12">
        <v>52050.75</v>
      </c>
      <c r="M480" s="13">
        <v>138505.79</v>
      </c>
      <c r="N480">
        <f>YEAR(B480)</f>
        <v>2023</v>
      </c>
      <c r="O480" s="24">
        <f>IFERROR(J480/$I480,0)</f>
        <v>0.34999998690229617</v>
      </c>
      <c r="P480" s="24">
        <f>IFERROR(K480/$I480,0)</f>
        <v>1.3490635010738808E-2</v>
      </c>
      <c r="Q480" s="24" t="str">
        <f>IF($G480&lt;&gt;0,"Beer",IF($H480&lt;&gt;0,"Liquor","-"))</f>
        <v>Beer</v>
      </c>
      <c r="R480" s="26">
        <f>IF($G480&lt;&gt;0,$G480,IF($H480&lt;&gt;0,$H480/0.75,0))</f>
        <v>187.8</v>
      </c>
      <c r="S480" s="32" t="b">
        <f>ISNUMBER(R480)</f>
        <v>1</v>
      </c>
      <c r="T480" s="32"/>
    </row>
    <row r="481" spans="1:20" x14ac:dyDescent="0.3">
      <c r="A481" s="9">
        <v>480</v>
      </c>
      <c r="B481" s="10">
        <v>45271.60696759259</v>
      </c>
      <c r="C481" s="11" t="s">
        <v>491</v>
      </c>
      <c r="D481" s="11" t="str">
        <f>IF(ISNUMBER(SEARCH("OSBC", C481)), "GOVT", "RETAIL")</f>
        <v>RETAIL</v>
      </c>
      <c r="E481" s="12">
        <v>138505.79</v>
      </c>
      <c r="F481" s="12">
        <v>0</v>
      </c>
      <c r="G481" s="11">
        <v>0</v>
      </c>
      <c r="H481" s="11">
        <v>96.26</v>
      </c>
      <c r="I481" s="12">
        <v>96527.83</v>
      </c>
      <c r="J481" s="12">
        <v>33784.720000000001</v>
      </c>
      <c r="K481" s="12">
        <v>1303</v>
      </c>
      <c r="L481" s="12">
        <v>131615.54999999999</v>
      </c>
      <c r="M481" s="13">
        <v>6890.24</v>
      </c>
      <c r="N481">
        <f>YEAR(B481)</f>
        <v>2023</v>
      </c>
      <c r="O481" s="24">
        <f>IFERROR(J481/$I481,0)</f>
        <v>0.34999978762601419</v>
      </c>
      <c r="P481" s="24">
        <f>IFERROR(K481/$I481,0)</f>
        <v>1.3498697733078636E-2</v>
      </c>
      <c r="Q481" s="24" t="str">
        <f>IF($G481&lt;&gt;0,"Beer",IF($H481&lt;&gt;0,"Liquor","-"))</f>
        <v>Liquor</v>
      </c>
      <c r="R481" s="26">
        <f>IF($G481&lt;&gt;0,$G481,IF($H481&lt;&gt;0,$H481/0.75,0))</f>
        <v>128.34666666666666</v>
      </c>
      <c r="S481" s="32" t="b">
        <f>ISNUMBER(R481)</f>
        <v>1</v>
      </c>
      <c r="T481" s="32"/>
    </row>
    <row r="482" spans="1:20" x14ac:dyDescent="0.3">
      <c r="A482" s="9">
        <v>481</v>
      </c>
      <c r="B482" s="10">
        <v>45275.492731481485</v>
      </c>
      <c r="C482" s="11" t="s">
        <v>492</v>
      </c>
      <c r="D482" s="11" t="str">
        <f>IF(ISNUMBER(SEARCH("OSBC", C482)), "GOVT", "RETAIL")</f>
        <v>GOVT</v>
      </c>
      <c r="E482" s="12">
        <v>6890.24</v>
      </c>
      <c r="F482" s="12">
        <v>170000</v>
      </c>
      <c r="G482" s="11">
        <v>0</v>
      </c>
      <c r="H482" s="11">
        <v>0</v>
      </c>
      <c r="I482" s="12">
        <v>0</v>
      </c>
      <c r="J482" s="12">
        <v>0</v>
      </c>
      <c r="K482" s="12">
        <v>0</v>
      </c>
      <c r="L482" s="12">
        <v>0</v>
      </c>
      <c r="M482" s="13">
        <v>176890.23999999999</v>
      </c>
      <c r="N482">
        <f>YEAR(B482)</f>
        <v>2023</v>
      </c>
      <c r="O482" s="24">
        <f>IFERROR(J482/$I482,0)</f>
        <v>0</v>
      </c>
      <c r="P482" s="24">
        <f>IFERROR(K482/$I482,0)</f>
        <v>0</v>
      </c>
      <c r="Q482" s="24" t="str">
        <f>IF($G482&lt;&gt;0,"Beer",IF($H482&lt;&gt;0,"Liquor","-"))</f>
        <v>-</v>
      </c>
      <c r="R482" s="26">
        <f>IF($G482&lt;&gt;0,$G482,IF($H482&lt;&gt;0,$H482/0.75,0))</f>
        <v>0</v>
      </c>
      <c r="S482" s="32" t="b">
        <f>ISNUMBER(R482)</f>
        <v>1</v>
      </c>
      <c r="T482" s="32"/>
    </row>
    <row r="483" spans="1:20" x14ac:dyDescent="0.3">
      <c r="A483" s="9">
        <v>482</v>
      </c>
      <c r="B483" s="10">
        <v>45275.629560185182</v>
      </c>
      <c r="C483" s="11" t="s">
        <v>493</v>
      </c>
      <c r="D483" s="11" t="str">
        <f>IF(ISNUMBER(SEARCH("OSBC", C483)), "GOVT", "RETAIL")</f>
        <v>RETAIL</v>
      </c>
      <c r="E483" s="12">
        <v>176890.23999999999</v>
      </c>
      <c r="F483" s="12">
        <v>0</v>
      </c>
      <c r="G483" s="11">
        <v>0</v>
      </c>
      <c r="H483" s="11">
        <v>122.6</v>
      </c>
      <c r="I483" s="12">
        <v>128829.54</v>
      </c>
      <c r="J483" s="12">
        <v>45090.33</v>
      </c>
      <c r="K483" s="12">
        <v>1739</v>
      </c>
      <c r="L483" s="12">
        <v>175658.87</v>
      </c>
      <c r="M483" s="13">
        <v>1231.3699999999999</v>
      </c>
      <c r="N483">
        <f>YEAR(B483)</f>
        <v>2023</v>
      </c>
      <c r="O483" s="24">
        <f>IFERROR(J483/$I483,0)</f>
        <v>0.34999993014024583</v>
      </c>
      <c r="P483" s="24">
        <f>IFERROR(K483/$I483,0)</f>
        <v>1.3498456953273294E-2</v>
      </c>
      <c r="Q483" s="24" t="str">
        <f>IF($G483&lt;&gt;0,"Beer",IF($H483&lt;&gt;0,"Liquor","-"))</f>
        <v>Liquor</v>
      </c>
      <c r="R483" s="26">
        <f>IF($G483&lt;&gt;0,$G483,IF($H483&lt;&gt;0,$H483/0.75,0))</f>
        <v>163.46666666666667</v>
      </c>
      <c r="S483" s="32" t="b">
        <f>ISNUMBER(R483)</f>
        <v>1</v>
      </c>
      <c r="T483" s="32"/>
    </row>
    <row r="484" spans="1:20" x14ac:dyDescent="0.3">
      <c r="A484" s="9">
        <v>483</v>
      </c>
      <c r="B484" s="10">
        <v>45289.49523148148</v>
      </c>
      <c r="C484" s="11" t="s">
        <v>494</v>
      </c>
      <c r="D484" s="11" t="str">
        <f>IF(ISNUMBER(SEARCH("OSBC", C484)), "GOVT", "RETAIL")</f>
        <v>GOVT</v>
      </c>
      <c r="E484" s="12">
        <v>1231.3699999999999</v>
      </c>
      <c r="F484" s="12">
        <v>100000</v>
      </c>
      <c r="G484" s="11">
        <v>0</v>
      </c>
      <c r="H484" s="11">
        <v>0</v>
      </c>
      <c r="I484" s="12">
        <v>0</v>
      </c>
      <c r="J484" s="12">
        <v>0</v>
      </c>
      <c r="K484" s="12">
        <v>0</v>
      </c>
      <c r="L484" s="12">
        <v>0</v>
      </c>
      <c r="M484" s="13">
        <v>101231.37</v>
      </c>
      <c r="N484">
        <f>YEAR(B484)</f>
        <v>2023</v>
      </c>
      <c r="O484" s="24">
        <f>IFERROR(J484/$I484,0)</f>
        <v>0</v>
      </c>
      <c r="P484" s="24">
        <f>IFERROR(K484/$I484,0)</f>
        <v>0</v>
      </c>
      <c r="Q484" s="24" t="str">
        <f>IF($G484&lt;&gt;0,"Beer",IF($H484&lt;&gt;0,"Liquor","-"))</f>
        <v>-</v>
      </c>
      <c r="R484" s="26">
        <f>IF($G484&lt;&gt;0,$G484,IF($H484&lt;&gt;0,$H484/0.75,0))</f>
        <v>0</v>
      </c>
      <c r="S484" s="32" t="b">
        <f>ISNUMBER(R484)</f>
        <v>1</v>
      </c>
      <c r="T484" s="32"/>
    </row>
    <row r="485" spans="1:20" x14ac:dyDescent="0.3">
      <c r="A485" s="9">
        <v>484</v>
      </c>
      <c r="B485" s="10">
        <v>45289.587372685186</v>
      </c>
      <c r="C485" s="11" t="s">
        <v>495</v>
      </c>
      <c r="D485" s="11" t="str">
        <f>IF(ISNUMBER(SEARCH("OSBC", C485)), "GOVT", "RETAIL")</f>
        <v>GOVT</v>
      </c>
      <c r="E485" s="12">
        <v>101231.37</v>
      </c>
      <c r="F485" s="12">
        <v>100000</v>
      </c>
      <c r="G485" s="11">
        <v>0</v>
      </c>
      <c r="H485" s="11">
        <v>0</v>
      </c>
      <c r="I485" s="12">
        <v>0</v>
      </c>
      <c r="J485" s="12">
        <v>0</v>
      </c>
      <c r="K485" s="12">
        <v>0</v>
      </c>
      <c r="L485" s="12">
        <v>0</v>
      </c>
      <c r="M485" s="13">
        <v>201231.37</v>
      </c>
      <c r="N485">
        <f>YEAR(B485)</f>
        <v>2023</v>
      </c>
      <c r="O485" s="24">
        <f>IFERROR(J485/$I485,0)</f>
        <v>0</v>
      </c>
      <c r="P485" s="24">
        <f>IFERROR(K485/$I485,0)</f>
        <v>0</v>
      </c>
      <c r="Q485" s="24" t="str">
        <f>IF($G485&lt;&gt;0,"Beer",IF($H485&lt;&gt;0,"Liquor","-"))</f>
        <v>-</v>
      </c>
      <c r="R485" s="26">
        <f>IF($G485&lt;&gt;0,$G485,IF($H485&lt;&gt;0,$H485/0.75,0))</f>
        <v>0</v>
      </c>
      <c r="S485" s="32" t="b">
        <f>ISNUMBER(R485)</f>
        <v>1</v>
      </c>
      <c r="T485" s="32"/>
    </row>
    <row r="486" spans="1:20" x14ac:dyDescent="0.3">
      <c r="A486" s="9">
        <v>485</v>
      </c>
      <c r="B486" s="10">
        <v>45289.589050925926</v>
      </c>
      <c r="C486" s="11" t="s">
        <v>496</v>
      </c>
      <c r="D486" s="11" t="str">
        <f>IF(ISNUMBER(SEARCH("OSBC", C486)), "GOVT", "RETAIL")</f>
        <v>GOVT</v>
      </c>
      <c r="E486" s="12">
        <v>201231.37</v>
      </c>
      <c r="F486" s="12">
        <v>80000</v>
      </c>
      <c r="G486" s="11">
        <v>0</v>
      </c>
      <c r="H486" s="11">
        <v>0</v>
      </c>
      <c r="I486" s="12">
        <v>0</v>
      </c>
      <c r="J486" s="12">
        <v>0</v>
      </c>
      <c r="K486" s="12">
        <v>0</v>
      </c>
      <c r="L486" s="12">
        <v>0</v>
      </c>
      <c r="M486" s="13">
        <v>281231.37</v>
      </c>
      <c r="N486">
        <f>YEAR(B486)</f>
        <v>2023</v>
      </c>
      <c r="O486" s="24">
        <f>IFERROR(J486/$I486,0)</f>
        <v>0</v>
      </c>
      <c r="P486" s="24">
        <f>IFERROR(K486/$I486,0)</f>
        <v>0</v>
      </c>
      <c r="Q486" s="24" t="str">
        <f>IF($G486&lt;&gt;0,"Beer",IF($H486&lt;&gt;0,"Liquor","-"))</f>
        <v>-</v>
      </c>
      <c r="R486" s="26">
        <f>IF($G486&lt;&gt;0,$G486,IF($H486&lt;&gt;0,$H486/0.75,0))</f>
        <v>0</v>
      </c>
      <c r="S486" s="32" t="b">
        <f>ISNUMBER(R486)</f>
        <v>1</v>
      </c>
      <c r="T486" s="32"/>
    </row>
    <row r="487" spans="1:20" x14ac:dyDescent="0.3">
      <c r="A487" s="9">
        <v>486</v>
      </c>
      <c r="B487" s="10">
        <v>45289.706979166665</v>
      </c>
      <c r="C487" s="11" t="s">
        <v>497</v>
      </c>
      <c r="D487" s="11" t="str">
        <f>IF(ISNUMBER(SEARCH("OSBC", C487)), "GOVT", "RETAIL")</f>
        <v>RETAIL</v>
      </c>
      <c r="E487" s="12">
        <v>281231.37</v>
      </c>
      <c r="F487" s="12">
        <v>0</v>
      </c>
      <c r="G487" s="11">
        <v>394.2</v>
      </c>
      <c r="H487" s="11">
        <v>0</v>
      </c>
      <c r="I487" s="12">
        <v>65873.05</v>
      </c>
      <c r="J487" s="12">
        <v>23055.55</v>
      </c>
      <c r="K487" s="12">
        <v>889</v>
      </c>
      <c r="L487" s="12">
        <v>89817.600000000006</v>
      </c>
      <c r="M487" s="13">
        <v>191413.77</v>
      </c>
      <c r="N487">
        <f>YEAR(B487)</f>
        <v>2023</v>
      </c>
      <c r="O487" s="24">
        <f>IFERROR(J487/$I487,0)</f>
        <v>0.34999973433748699</v>
      </c>
      <c r="P487" s="24">
        <f>IFERROR(K487/$I487,0)</f>
        <v>1.3495655658877188E-2</v>
      </c>
      <c r="Q487" s="24" t="str">
        <f>IF($G487&lt;&gt;0,"Beer",IF($H487&lt;&gt;0,"Liquor","-"))</f>
        <v>Beer</v>
      </c>
      <c r="R487" s="26">
        <f>IF($G487&lt;&gt;0,$G487,IF($H487&lt;&gt;0,$H487/0.75,0))</f>
        <v>394.2</v>
      </c>
      <c r="S487" s="32" t="b">
        <f>ISNUMBER(R487)</f>
        <v>1</v>
      </c>
      <c r="T487" s="32"/>
    </row>
    <row r="488" spans="1:20" x14ac:dyDescent="0.3">
      <c r="A488" s="9">
        <v>487</v>
      </c>
      <c r="B488" s="10">
        <v>45289.708275462966</v>
      </c>
      <c r="C488" s="11" t="s">
        <v>498</v>
      </c>
      <c r="D488" s="11" t="str">
        <f>IF(ISNUMBER(SEARCH("OSBC", C488)), "GOVT", "RETAIL")</f>
        <v>RETAIL</v>
      </c>
      <c r="E488" s="12">
        <v>191413.77</v>
      </c>
      <c r="F488" s="12">
        <v>0</v>
      </c>
      <c r="G488" s="11">
        <v>0</v>
      </c>
      <c r="H488" s="11">
        <v>143.27000000000001</v>
      </c>
      <c r="I488" s="12">
        <v>140070.63</v>
      </c>
      <c r="J488" s="12">
        <v>49024.69</v>
      </c>
      <c r="K488" s="12">
        <v>1891</v>
      </c>
      <c r="L488" s="12">
        <v>190986.32</v>
      </c>
      <c r="M488" s="13">
        <v>427.45</v>
      </c>
      <c r="N488">
        <f>YEAR(B488)</f>
        <v>2023</v>
      </c>
      <c r="O488" s="24">
        <f>IFERROR(J488/$I488,0)</f>
        <v>0.34999978225271067</v>
      </c>
      <c r="P488" s="24">
        <f>IFERROR(K488/$I488,0)</f>
        <v>1.3500331939679288E-2</v>
      </c>
      <c r="Q488" s="24" t="str">
        <f>IF($G488&lt;&gt;0,"Beer",IF($H488&lt;&gt;0,"Liquor","-"))</f>
        <v>Liquor</v>
      </c>
      <c r="R488" s="26">
        <f>IF($G488&lt;&gt;0,$G488,IF($H488&lt;&gt;0,$H488/0.75,0))</f>
        <v>191.02666666666667</v>
      </c>
      <c r="S488" s="32" t="b">
        <f>ISNUMBER(R488)</f>
        <v>1</v>
      </c>
      <c r="T488" s="32"/>
    </row>
    <row r="489" spans="1:20" x14ac:dyDescent="0.3">
      <c r="A489" s="9">
        <v>488</v>
      </c>
      <c r="B489" s="10">
        <v>45293.483576388891</v>
      </c>
      <c r="C489" s="11" t="s">
        <v>499</v>
      </c>
      <c r="D489" s="11" t="str">
        <f>IF(ISNUMBER(SEARCH("OSBC", C489)), "GOVT", "RETAIL")</f>
        <v>GOVT</v>
      </c>
      <c r="E489" s="12">
        <v>427.45</v>
      </c>
      <c r="F489" s="12">
        <v>220000</v>
      </c>
      <c r="G489" s="11">
        <v>0</v>
      </c>
      <c r="H489" s="11">
        <v>0</v>
      </c>
      <c r="I489" s="12">
        <v>0</v>
      </c>
      <c r="J489" s="12">
        <v>0</v>
      </c>
      <c r="K489" s="12">
        <v>0</v>
      </c>
      <c r="L489" s="12">
        <v>0</v>
      </c>
      <c r="M489" s="13">
        <v>220427.45</v>
      </c>
      <c r="N489">
        <f>YEAR(B489)</f>
        <v>2024</v>
      </c>
      <c r="O489" s="24">
        <f>IFERROR(J489/$I489,0)</f>
        <v>0</v>
      </c>
      <c r="P489" s="24">
        <f>IFERROR(K489/$I489,0)</f>
        <v>0</v>
      </c>
      <c r="Q489" s="24" t="str">
        <f>IF($G489&lt;&gt;0,"Beer",IF($H489&lt;&gt;0,"Liquor","-"))</f>
        <v>-</v>
      </c>
      <c r="R489" s="26">
        <f>IF($G489&lt;&gt;0,$G489,IF($H489&lt;&gt;0,$H489/0.75,0))</f>
        <v>0</v>
      </c>
      <c r="S489" s="32" t="b">
        <f>ISNUMBER(R489)</f>
        <v>1</v>
      </c>
      <c r="T489" s="32"/>
    </row>
    <row r="490" spans="1:20" x14ac:dyDescent="0.3">
      <c r="A490" s="9">
        <v>489</v>
      </c>
      <c r="B490" s="10">
        <v>45293.504016203704</v>
      </c>
      <c r="C490" s="11" t="s">
        <v>500</v>
      </c>
      <c r="D490" s="11" t="str">
        <f>IF(ISNUMBER(SEARCH("OSBC", C490)), "GOVT", "RETAIL")</f>
        <v>GOVT</v>
      </c>
      <c r="E490" s="12">
        <v>220427.45</v>
      </c>
      <c r="F490" s="12">
        <v>1000</v>
      </c>
      <c r="G490" s="11">
        <v>0</v>
      </c>
      <c r="H490" s="11">
        <v>0</v>
      </c>
      <c r="I490" s="12">
        <v>0</v>
      </c>
      <c r="J490" s="12">
        <v>0</v>
      </c>
      <c r="K490" s="12">
        <v>0</v>
      </c>
      <c r="L490" s="12">
        <v>0</v>
      </c>
      <c r="M490" s="13">
        <v>221427.45</v>
      </c>
      <c r="N490">
        <f>YEAR(B490)</f>
        <v>2024</v>
      </c>
      <c r="O490" s="24">
        <f>IFERROR(J490/$I490,0)</f>
        <v>0</v>
      </c>
      <c r="P490" s="24">
        <f>IFERROR(K490/$I490,0)</f>
        <v>0</v>
      </c>
      <c r="Q490" s="24" t="str">
        <f>IF($G490&lt;&gt;0,"Beer",IF($H490&lt;&gt;0,"Liquor","-"))</f>
        <v>-</v>
      </c>
      <c r="R490" s="26">
        <f>IF($G490&lt;&gt;0,$G490,IF($H490&lt;&gt;0,$H490/0.75,0))</f>
        <v>0</v>
      </c>
      <c r="S490" s="32" t="b">
        <f>ISNUMBER(R490)</f>
        <v>1</v>
      </c>
      <c r="T490" s="32"/>
    </row>
    <row r="491" spans="1:20" x14ac:dyDescent="0.3">
      <c r="A491" s="9">
        <v>490</v>
      </c>
      <c r="B491" s="10">
        <v>45293.658321759256</v>
      </c>
      <c r="C491" s="11" t="s">
        <v>501</v>
      </c>
      <c r="D491" s="11" t="str">
        <f>IF(ISNUMBER(SEARCH("OSBC", C491)), "GOVT", "RETAIL")</f>
        <v>RETAIL</v>
      </c>
      <c r="E491" s="12">
        <v>221427.45</v>
      </c>
      <c r="F491" s="12">
        <v>0</v>
      </c>
      <c r="G491" s="11">
        <v>0</v>
      </c>
      <c r="H491" s="11">
        <v>174.53</v>
      </c>
      <c r="I491" s="12">
        <v>161666.73000000001</v>
      </c>
      <c r="J491" s="12">
        <v>56583.34</v>
      </c>
      <c r="K491" s="12">
        <v>2183</v>
      </c>
      <c r="L491" s="12">
        <v>220433.07</v>
      </c>
      <c r="M491" s="13">
        <v>994.38</v>
      </c>
      <c r="N491">
        <f>YEAR(B491)</f>
        <v>2024</v>
      </c>
      <c r="O491" s="24">
        <f>IFERROR(J491/$I491,0)</f>
        <v>0.34999990412374887</v>
      </c>
      <c r="P491" s="24">
        <f>IFERROR(K491/$I491,0)</f>
        <v>1.3503087493635827E-2</v>
      </c>
      <c r="Q491" s="24" t="str">
        <f>IF($G491&lt;&gt;0,"Beer",IF($H491&lt;&gt;0,"Liquor","-"))</f>
        <v>Liquor</v>
      </c>
      <c r="R491" s="26">
        <f>IF($G491&lt;&gt;0,$G491,IF($H491&lt;&gt;0,$H491/0.75,0))</f>
        <v>232.70666666666668</v>
      </c>
      <c r="S491" s="32" t="b">
        <f>ISNUMBER(R491)</f>
        <v>1</v>
      </c>
      <c r="T491" s="32"/>
    </row>
    <row r="492" spans="1:20" x14ac:dyDescent="0.3">
      <c r="A492" s="9">
        <v>491</v>
      </c>
      <c r="B492" s="10">
        <v>45303.406585648147</v>
      </c>
      <c r="C492" s="11" t="s">
        <v>502</v>
      </c>
      <c r="D492" s="11" t="str">
        <f>IF(ISNUMBER(SEARCH("OSBC", C492)), "GOVT", "RETAIL")</f>
        <v>GOVT</v>
      </c>
      <c r="E492" s="12">
        <v>994.38</v>
      </c>
      <c r="F492" s="12">
        <v>190000</v>
      </c>
      <c r="G492" s="11">
        <v>0</v>
      </c>
      <c r="H492" s="11">
        <v>0</v>
      </c>
      <c r="I492" s="12">
        <v>0</v>
      </c>
      <c r="J492" s="12">
        <v>0</v>
      </c>
      <c r="K492" s="12">
        <v>0</v>
      </c>
      <c r="L492" s="12">
        <v>0</v>
      </c>
      <c r="M492" s="13">
        <v>190994.38</v>
      </c>
      <c r="N492">
        <f>YEAR(B492)</f>
        <v>2024</v>
      </c>
      <c r="O492" s="24">
        <f>IFERROR(J492/$I492,0)</f>
        <v>0</v>
      </c>
      <c r="P492" s="24">
        <f>IFERROR(K492/$I492,0)</f>
        <v>0</v>
      </c>
      <c r="Q492" s="24" t="str">
        <f>IF($G492&lt;&gt;0,"Beer",IF($H492&lt;&gt;0,"Liquor","-"))</f>
        <v>-</v>
      </c>
      <c r="R492" s="26">
        <f>IF($G492&lt;&gt;0,$G492,IF($H492&lt;&gt;0,$H492/0.75,0))</f>
        <v>0</v>
      </c>
      <c r="S492" s="32" t="b">
        <f>ISNUMBER(R492)</f>
        <v>1</v>
      </c>
      <c r="T492" s="32"/>
    </row>
    <row r="493" spans="1:20" x14ac:dyDescent="0.3">
      <c r="A493" s="9">
        <v>492</v>
      </c>
      <c r="B493" s="10">
        <v>45303.734861111108</v>
      </c>
      <c r="C493" s="11" t="s">
        <v>503</v>
      </c>
      <c r="D493" s="11" t="str">
        <f>IF(ISNUMBER(SEARCH("OSBC", C493)), "GOVT", "RETAIL")</f>
        <v>RETAIL</v>
      </c>
      <c r="E493" s="12">
        <v>190994.38</v>
      </c>
      <c r="F493" s="12">
        <v>0</v>
      </c>
      <c r="G493" s="11">
        <v>249.6</v>
      </c>
      <c r="H493" s="11">
        <v>0</v>
      </c>
      <c r="I493" s="12">
        <v>43095.27</v>
      </c>
      <c r="J493" s="12">
        <v>15083.34</v>
      </c>
      <c r="K493" s="12">
        <v>582</v>
      </c>
      <c r="L493" s="12">
        <v>58760.61</v>
      </c>
      <c r="M493" s="13">
        <v>132233.76999999999</v>
      </c>
      <c r="N493">
        <f>YEAR(B493)</f>
        <v>2024</v>
      </c>
      <c r="O493" s="24">
        <f>IFERROR(J493/$I493,0)</f>
        <v>0.34999989558018785</v>
      </c>
      <c r="P493" s="24">
        <f>IFERROR(K493/$I493,0)</f>
        <v>1.3504962377541667E-2</v>
      </c>
      <c r="Q493" s="24" t="str">
        <f>IF($G493&lt;&gt;0,"Beer",IF($H493&lt;&gt;0,"Liquor","-"))</f>
        <v>Beer</v>
      </c>
      <c r="R493" s="26">
        <f>IF($G493&lt;&gt;0,$G493,IF($H493&lt;&gt;0,$H493/0.75,0))</f>
        <v>249.6</v>
      </c>
      <c r="S493" s="32" t="b">
        <f>ISNUMBER(R493)</f>
        <v>1</v>
      </c>
      <c r="T493" s="32"/>
    </row>
    <row r="494" spans="1:20" x14ac:dyDescent="0.3">
      <c r="A494" s="9">
        <v>493</v>
      </c>
      <c r="B494" s="10">
        <v>45303.747534722221</v>
      </c>
      <c r="C494" s="11" t="s">
        <v>504</v>
      </c>
      <c r="D494" s="11" t="str">
        <f>IF(ISNUMBER(SEARCH("OSBC", C494)), "GOVT", "RETAIL")</f>
        <v>RETAIL</v>
      </c>
      <c r="E494" s="12">
        <v>132233.76999999999</v>
      </c>
      <c r="F494" s="12">
        <v>0</v>
      </c>
      <c r="G494" s="11">
        <v>0</v>
      </c>
      <c r="H494" s="11">
        <v>97.22</v>
      </c>
      <c r="I494" s="12">
        <v>94350.06</v>
      </c>
      <c r="J494" s="12">
        <v>33022.53</v>
      </c>
      <c r="K494" s="12">
        <v>1274</v>
      </c>
      <c r="L494" s="12">
        <v>128646.59</v>
      </c>
      <c r="M494" s="13">
        <v>3587.18</v>
      </c>
      <c r="N494">
        <f>YEAR(B494)</f>
        <v>2024</v>
      </c>
      <c r="O494" s="24">
        <f>IFERROR(J494/$I494,0)</f>
        <v>0.35000009538944649</v>
      </c>
      <c r="P494" s="24">
        <f>IFERROR(K494/$I494,0)</f>
        <v>1.3502906092481552E-2</v>
      </c>
      <c r="Q494" s="24" t="str">
        <f>IF($G494&lt;&gt;0,"Beer",IF($H494&lt;&gt;0,"Liquor","-"))</f>
        <v>Liquor</v>
      </c>
      <c r="R494" s="26">
        <f>IF($G494&lt;&gt;0,$G494,IF($H494&lt;&gt;0,$H494/0.75,0))</f>
        <v>129.62666666666667</v>
      </c>
      <c r="S494" s="32" t="b">
        <f>ISNUMBER(R494)</f>
        <v>1</v>
      </c>
      <c r="T494" s="32"/>
    </row>
    <row r="495" spans="1:20" x14ac:dyDescent="0.3">
      <c r="A495" s="9">
        <v>494</v>
      </c>
      <c r="B495" s="10">
        <v>45307.479594907411</v>
      </c>
      <c r="C495" s="11" t="s">
        <v>505</v>
      </c>
      <c r="D495" s="11" t="str">
        <f>IF(ISNUMBER(SEARCH("OSBC", C495)), "GOVT", "RETAIL")</f>
        <v>GOVT</v>
      </c>
      <c r="E495" s="12">
        <v>3587.18</v>
      </c>
      <c r="F495" s="12">
        <v>240000</v>
      </c>
      <c r="G495" s="11">
        <v>0</v>
      </c>
      <c r="H495" s="11">
        <v>0</v>
      </c>
      <c r="I495" s="12">
        <v>0</v>
      </c>
      <c r="J495" s="12">
        <v>0</v>
      </c>
      <c r="K495" s="12">
        <v>0</v>
      </c>
      <c r="L495" s="12">
        <v>0</v>
      </c>
      <c r="M495" s="13">
        <v>243587.18</v>
      </c>
      <c r="N495">
        <f>YEAR(B495)</f>
        <v>2024</v>
      </c>
      <c r="O495" s="24">
        <f>IFERROR(J495/$I495,0)</f>
        <v>0</v>
      </c>
      <c r="P495" s="24">
        <f>IFERROR(K495/$I495,0)</f>
        <v>0</v>
      </c>
      <c r="Q495" s="24" t="str">
        <f>IF($G495&lt;&gt;0,"Beer",IF($H495&lt;&gt;0,"Liquor","-"))</f>
        <v>-</v>
      </c>
      <c r="R495" s="26">
        <f>IF($G495&lt;&gt;0,$G495,IF($H495&lt;&gt;0,$H495/0.75,0))</f>
        <v>0</v>
      </c>
      <c r="S495" s="32" t="b">
        <f>ISNUMBER(R495)</f>
        <v>1</v>
      </c>
      <c r="T495" s="32"/>
    </row>
    <row r="496" spans="1:20" x14ac:dyDescent="0.3">
      <c r="A496" s="9">
        <v>495</v>
      </c>
      <c r="B496" s="10">
        <v>45307.850393518522</v>
      </c>
      <c r="C496" s="11" t="s">
        <v>506</v>
      </c>
      <c r="D496" s="11" t="str">
        <f>IF(ISNUMBER(SEARCH("OSBC", C496)), "GOVT", "RETAIL")</f>
        <v>RETAIL</v>
      </c>
      <c r="E496" s="12">
        <v>243587.18</v>
      </c>
      <c r="F496" s="12">
        <v>0</v>
      </c>
      <c r="G496" s="11">
        <v>0</v>
      </c>
      <c r="H496" s="11">
        <v>198.45</v>
      </c>
      <c r="I496" s="12">
        <v>178015.95</v>
      </c>
      <c r="J496" s="12">
        <v>62305.58</v>
      </c>
      <c r="K496" s="12">
        <v>2403</v>
      </c>
      <c r="L496" s="12">
        <v>242724.53</v>
      </c>
      <c r="M496" s="13">
        <v>862.65</v>
      </c>
      <c r="N496">
        <f>YEAR(B496)</f>
        <v>2024</v>
      </c>
      <c r="O496" s="24">
        <f>IFERROR(J496/$I496,0)</f>
        <v>0.3499999859563146</v>
      </c>
      <c r="P496" s="24">
        <f>IFERROR(K496/$I496,0)</f>
        <v>1.3498790417375521E-2</v>
      </c>
      <c r="Q496" s="24" t="str">
        <f>IF($G496&lt;&gt;0,"Beer",IF($H496&lt;&gt;0,"Liquor","-"))</f>
        <v>Liquor</v>
      </c>
      <c r="R496" s="26">
        <f>IF($G496&lt;&gt;0,$G496,IF($H496&lt;&gt;0,$H496/0.75,0))</f>
        <v>264.59999999999997</v>
      </c>
      <c r="S496" s="32" t="b">
        <f>ISNUMBER(R496)</f>
        <v>1</v>
      </c>
      <c r="T496" s="32"/>
    </row>
    <row r="497" spans="1:20" x14ac:dyDescent="0.3">
      <c r="A497" s="9">
        <v>496</v>
      </c>
      <c r="B497" s="10">
        <v>45316.382835648146</v>
      </c>
      <c r="C497" s="11" t="s">
        <v>507</v>
      </c>
      <c r="D497" s="11" t="str">
        <f>IF(ISNUMBER(SEARCH("OSBC", C497)), "GOVT", "RETAIL")</f>
        <v>GOVT</v>
      </c>
      <c r="E497" s="12">
        <v>862.65</v>
      </c>
      <c r="F497" s="12">
        <v>200000</v>
      </c>
      <c r="G497" s="11">
        <v>0</v>
      </c>
      <c r="H497" s="11">
        <v>0</v>
      </c>
      <c r="I497" s="12">
        <v>0</v>
      </c>
      <c r="J497" s="12">
        <v>0</v>
      </c>
      <c r="K497" s="12">
        <v>0</v>
      </c>
      <c r="L497" s="12">
        <v>0</v>
      </c>
      <c r="M497" s="13">
        <v>200862.65</v>
      </c>
      <c r="N497">
        <f>YEAR(B497)</f>
        <v>2024</v>
      </c>
      <c r="O497" s="24">
        <f>IFERROR(J497/$I497,0)</f>
        <v>0</v>
      </c>
      <c r="P497" s="24">
        <f>IFERROR(K497/$I497,0)</f>
        <v>0</v>
      </c>
      <c r="Q497" s="24" t="str">
        <f>IF($G497&lt;&gt;0,"Beer",IF($H497&lt;&gt;0,"Liquor","-"))</f>
        <v>-</v>
      </c>
      <c r="R497" s="26">
        <f>IF($G497&lt;&gt;0,$G497,IF($H497&lt;&gt;0,$H497/0.75,0))</f>
        <v>0</v>
      </c>
      <c r="S497" s="32" t="b">
        <f>ISNUMBER(R497)</f>
        <v>1</v>
      </c>
      <c r="T497" s="32"/>
    </row>
    <row r="498" spans="1:20" x14ac:dyDescent="0.3">
      <c r="A498" s="9">
        <v>497</v>
      </c>
      <c r="B498" s="10">
        <v>45316.624085648145</v>
      </c>
      <c r="C498" s="11" t="s">
        <v>508</v>
      </c>
      <c r="D498" s="11" t="str">
        <f>IF(ISNUMBER(SEARCH("OSBC", C498)), "GOVT", "RETAIL")</f>
        <v>RETAIL</v>
      </c>
      <c r="E498" s="12">
        <v>200862.65</v>
      </c>
      <c r="F498" s="12">
        <v>0</v>
      </c>
      <c r="G498" s="11">
        <v>0</v>
      </c>
      <c r="H498" s="11">
        <v>79.11</v>
      </c>
      <c r="I498" s="12">
        <v>75333.36</v>
      </c>
      <c r="J498" s="12">
        <v>26366.68</v>
      </c>
      <c r="K498" s="12">
        <v>1017</v>
      </c>
      <c r="L498" s="12">
        <v>102717.04</v>
      </c>
      <c r="M498" s="13">
        <v>98145.61</v>
      </c>
      <c r="N498">
        <f>YEAR(B498)</f>
        <v>2024</v>
      </c>
      <c r="O498" s="24">
        <f>IFERROR(J498/$I498,0)</f>
        <v>0.35000005309732635</v>
      </c>
      <c r="P498" s="24">
        <f>IFERROR(K498/$I498,0)</f>
        <v>1.3499995221240629E-2</v>
      </c>
      <c r="Q498" s="24" t="str">
        <f>IF($G498&lt;&gt;0,"Beer",IF($H498&lt;&gt;0,"Liquor","-"))</f>
        <v>Liquor</v>
      </c>
      <c r="R498" s="26">
        <f>IF($G498&lt;&gt;0,$G498,IF($H498&lt;&gt;0,$H498/0.75,0))</f>
        <v>105.48</v>
      </c>
      <c r="S498" s="32" t="b">
        <f>ISNUMBER(R498)</f>
        <v>1</v>
      </c>
      <c r="T498" s="32"/>
    </row>
    <row r="499" spans="1:20" x14ac:dyDescent="0.3">
      <c r="A499" s="9">
        <v>498</v>
      </c>
      <c r="B499" s="10">
        <v>45316.624409722222</v>
      </c>
      <c r="C499" s="11" t="s">
        <v>509</v>
      </c>
      <c r="D499" s="11" t="str">
        <f>IF(ISNUMBER(SEARCH("OSBC", C499)), "GOVT", "RETAIL")</f>
        <v>RETAIL</v>
      </c>
      <c r="E499" s="12">
        <v>98145.61</v>
      </c>
      <c r="F499" s="12">
        <v>0</v>
      </c>
      <c r="G499" s="11">
        <v>372</v>
      </c>
      <c r="H499" s="11">
        <v>0</v>
      </c>
      <c r="I499" s="12">
        <v>70238.05</v>
      </c>
      <c r="J499" s="12">
        <v>24583.32</v>
      </c>
      <c r="K499" s="12">
        <v>948</v>
      </c>
      <c r="L499" s="12">
        <v>95769.37</v>
      </c>
      <c r="M499" s="13">
        <v>2376.2399999999998</v>
      </c>
      <c r="N499">
        <f>YEAR(B499)</f>
        <v>2024</v>
      </c>
      <c r="O499" s="24">
        <f>IFERROR(J499/$I499,0)</f>
        <v>0.35000003559324322</v>
      </c>
      <c r="P499" s="24">
        <f>IFERROR(K499/$I499,0)</f>
        <v>1.3496957845498272E-2</v>
      </c>
      <c r="Q499" s="24" t="str">
        <f>IF($G499&lt;&gt;0,"Beer",IF($H499&lt;&gt;0,"Liquor","-"))</f>
        <v>Beer</v>
      </c>
      <c r="R499" s="26">
        <f>IF($G499&lt;&gt;0,$G499,IF($H499&lt;&gt;0,$H499/0.75,0))</f>
        <v>372</v>
      </c>
      <c r="S499" s="32" t="b">
        <f>ISNUMBER(R499)</f>
        <v>1</v>
      </c>
      <c r="T499" s="32"/>
    </row>
    <row r="500" spans="1:20" x14ac:dyDescent="0.3">
      <c r="A500" s="9">
        <v>499</v>
      </c>
      <c r="B500" s="10">
        <v>45325.362870370373</v>
      </c>
      <c r="C500" s="11" t="s">
        <v>510</v>
      </c>
      <c r="D500" s="11" t="str">
        <f>IF(ISNUMBER(SEARCH("OSBC", C500)), "GOVT", "RETAIL")</f>
        <v>GOVT</v>
      </c>
      <c r="E500" s="12">
        <v>2376.2399999999998</v>
      </c>
      <c r="F500" s="12">
        <v>260000</v>
      </c>
      <c r="G500" s="11">
        <v>0</v>
      </c>
      <c r="H500" s="11">
        <v>0</v>
      </c>
      <c r="I500" s="12">
        <v>0</v>
      </c>
      <c r="J500" s="12">
        <v>0</v>
      </c>
      <c r="K500" s="12">
        <v>0</v>
      </c>
      <c r="L500" s="12">
        <v>0</v>
      </c>
      <c r="M500" s="13">
        <v>262376.24</v>
      </c>
      <c r="N500">
        <f>YEAR(B500)</f>
        <v>2024</v>
      </c>
      <c r="O500" s="24">
        <f>IFERROR(J500/$I500,0)</f>
        <v>0</v>
      </c>
      <c r="P500" s="24">
        <f>IFERROR(K500/$I500,0)</f>
        <v>0</v>
      </c>
      <c r="Q500" s="24" t="str">
        <f>IF($G500&lt;&gt;0,"Beer",IF($H500&lt;&gt;0,"Liquor","-"))</f>
        <v>-</v>
      </c>
      <c r="R500" s="26">
        <f>IF($G500&lt;&gt;0,$G500,IF($H500&lt;&gt;0,$H500/0.75,0))</f>
        <v>0</v>
      </c>
      <c r="S500" s="32" t="b">
        <f>ISNUMBER(R500)</f>
        <v>1</v>
      </c>
      <c r="T500" s="32"/>
    </row>
    <row r="501" spans="1:20" x14ac:dyDescent="0.3">
      <c r="A501" s="9">
        <v>500</v>
      </c>
      <c r="B501" s="10">
        <v>45325.665254629632</v>
      </c>
      <c r="C501" s="11" t="s">
        <v>511</v>
      </c>
      <c r="D501" s="11" t="str">
        <f>IF(ISNUMBER(SEARCH("OSBC", C501)), "GOVT", "RETAIL")</f>
        <v>RETAIL</v>
      </c>
      <c r="E501" s="12">
        <v>262376.24</v>
      </c>
      <c r="F501" s="12">
        <v>0</v>
      </c>
      <c r="G501" s="11">
        <v>0</v>
      </c>
      <c r="H501" s="11">
        <v>209.48</v>
      </c>
      <c r="I501" s="12">
        <v>191543</v>
      </c>
      <c r="J501" s="12">
        <v>67040.05</v>
      </c>
      <c r="K501" s="12">
        <v>2586</v>
      </c>
      <c r="L501" s="12">
        <v>261169.05</v>
      </c>
      <c r="M501" s="13">
        <v>1207.19</v>
      </c>
      <c r="N501">
        <f>YEAR(B501)</f>
        <v>2024</v>
      </c>
      <c r="O501" s="24">
        <f>IFERROR(J501/$I501,0)</f>
        <v>0.35000000000000003</v>
      </c>
      <c r="P501" s="24">
        <f>IFERROR(K501/$I501,0)</f>
        <v>1.3500884918791081E-2</v>
      </c>
      <c r="Q501" s="24" t="str">
        <f>IF($G501&lt;&gt;0,"Beer",IF($H501&lt;&gt;0,"Liquor","-"))</f>
        <v>Liquor</v>
      </c>
      <c r="R501" s="26">
        <f>IF($G501&lt;&gt;0,$G501,IF($H501&lt;&gt;0,$H501/0.75,0))</f>
        <v>279.30666666666667</v>
      </c>
      <c r="S501" s="32" t="b">
        <f>ISNUMBER(R501)</f>
        <v>1</v>
      </c>
      <c r="T501" s="32"/>
    </row>
    <row r="502" spans="1:20" x14ac:dyDescent="0.3">
      <c r="A502" s="9">
        <v>501</v>
      </c>
      <c r="B502" s="10">
        <v>45331.498298611114</v>
      </c>
      <c r="C502" s="11" t="s">
        <v>512</v>
      </c>
      <c r="D502" s="11" t="str">
        <f>IF(ISNUMBER(SEARCH("OSBC", C502)), "GOVT", "RETAIL")</f>
        <v>GOVT</v>
      </c>
      <c r="E502" s="12">
        <v>1207.19</v>
      </c>
      <c r="F502" s="12">
        <v>185000</v>
      </c>
      <c r="G502" s="11">
        <v>0</v>
      </c>
      <c r="H502" s="11">
        <v>0</v>
      </c>
      <c r="I502" s="12">
        <v>0</v>
      </c>
      <c r="J502" s="12">
        <v>0</v>
      </c>
      <c r="K502" s="12">
        <v>0</v>
      </c>
      <c r="L502" s="12">
        <v>0</v>
      </c>
      <c r="M502" s="13">
        <v>186207.19</v>
      </c>
      <c r="N502">
        <f>YEAR(B502)</f>
        <v>2024</v>
      </c>
      <c r="O502" s="24">
        <f>IFERROR(J502/$I502,0)</f>
        <v>0</v>
      </c>
      <c r="P502" s="24">
        <f>IFERROR(K502/$I502,0)</f>
        <v>0</v>
      </c>
      <c r="Q502" s="24" t="str">
        <f>IF($G502&lt;&gt;0,"Beer",IF($H502&lt;&gt;0,"Liquor","-"))</f>
        <v>-</v>
      </c>
      <c r="R502" s="26">
        <f>IF($G502&lt;&gt;0,$G502,IF($H502&lt;&gt;0,$H502/0.75,0))</f>
        <v>0</v>
      </c>
      <c r="S502" s="32" t="b">
        <f>ISNUMBER(R502)</f>
        <v>1</v>
      </c>
      <c r="T502" s="32"/>
    </row>
    <row r="503" spans="1:20" x14ac:dyDescent="0.3">
      <c r="A503" s="9">
        <v>502</v>
      </c>
      <c r="B503" s="10">
        <v>45331.695717592593</v>
      </c>
      <c r="C503" s="11" t="s">
        <v>513</v>
      </c>
      <c r="D503" s="11" t="str">
        <f>IF(ISNUMBER(SEARCH("OSBC", C503)), "GOVT", "RETAIL")</f>
        <v>RETAIL</v>
      </c>
      <c r="E503" s="12">
        <v>186207.19</v>
      </c>
      <c r="F503" s="12">
        <v>0</v>
      </c>
      <c r="G503" s="11">
        <v>441</v>
      </c>
      <c r="H503" s="11">
        <v>0</v>
      </c>
      <c r="I503" s="12">
        <v>69523.89</v>
      </c>
      <c r="J503" s="12">
        <v>24333.360000000001</v>
      </c>
      <c r="K503" s="12">
        <v>939</v>
      </c>
      <c r="L503" s="12">
        <v>94796.25</v>
      </c>
      <c r="M503" s="13">
        <v>91410.94</v>
      </c>
      <c r="N503">
        <f>YEAR(B503)</f>
        <v>2024</v>
      </c>
      <c r="O503" s="24">
        <f>IFERROR(J503/$I503,0)</f>
        <v>0.3499999784246825</v>
      </c>
      <c r="P503" s="24">
        <f>IFERROR(K503/$I503,0)</f>
        <v>1.3506148749731927E-2</v>
      </c>
      <c r="Q503" s="24" t="str">
        <f>IF($G503&lt;&gt;0,"Beer",IF($H503&lt;&gt;0,"Liquor","-"))</f>
        <v>Beer</v>
      </c>
      <c r="R503" s="26">
        <f>IF($G503&lt;&gt;0,$G503,IF($H503&lt;&gt;0,$H503/0.75,0))</f>
        <v>441</v>
      </c>
      <c r="S503" s="32" t="b">
        <f>ISNUMBER(R503)</f>
        <v>1</v>
      </c>
      <c r="T503" s="32"/>
    </row>
    <row r="504" spans="1:20" x14ac:dyDescent="0.3">
      <c r="A504" s="9">
        <v>503</v>
      </c>
      <c r="B504" s="10">
        <v>45331.696562500001</v>
      </c>
      <c r="C504" s="11" t="s">
        <v>514</v>
      </c>
      <c r="D504" s="11" t="str">
        <f>IF(ISNUMBER(SEARCH("OSBC", C504)), "GOVT", "RETAIL")</f>
        <v>RETAIL</v>
      </c>
      <c r="E504" s="12">
        <v>91410.94</v>
      </c>
      <c r="F504" s="12">
        <v>0</v>
      </c>
      <c r="G504" s="11">
        <v>0</v>
      </c>
      <c r="H504" s="11">
        <v>72.63</v>
      </c>
      <c r="I504" s="12">
        <v>66111.149999999994</v>
      </c>
      <c r="J504" s="12">
        <v>23138.9</v>
      </c>
      <c r="K504" s="12">
        <v>893</v>
      </c>
      <c r="L504" s="12">
        <v>90143.05</v>
      </c>
      <c r="M504" s="13">
        <v>1267.8900000000001</v>
      </c>
      <c r="N504">
        <f>YEAR(B504)</f>
        <v>2024</v>
      </c>
      <c r="O504" s="24">
        <f>IFERROR(J504/$I504,0)</f>
        <v>0.34999996218489626</v>
      </c>
      <c r="P504" s="24">
        <f>IFERROR(K504/$I504,0)</f>
        <v>1.3507555079589451E-2</v>
      </c>
      <c r="Q504" s="24" t="str">
        <f>IF($G504&lt;&gt;0,"Beer",IF($H504&lt;&gt;0,"Liquor","-"))</f>
        <v>Liquor</v>
      </c>
      <c r="R504" s="26">
        <f>IF($G504&lt;&gt;0,$G504,IF($H504&lt;&gt;0,$H504/0.75,0))</f>
        <v>96.839999999999989</v>
      </c>
      <c r="S504" s="32" t="b">
        <f>ISNUMBER(R504)</f>
        <v>1</v>
      </c>
      <c r="T504" s="32"/>
    </row>
    <row r="505" spans="1:20" x14ac:dyDescent="0.3">
      <c r="A505" s="9">
        <v>504</v>
      </c>
      <c r="B505" s="10">
        <v>45341.456817129627</v>
      </c>
      <c r="C505" s="11" t="s">
        <v>515</v>
      </c>
      <c r="D505" s="11" t="str">
        <f>IF(ISNUMBER(SEARCH("OSBC", C505)), "GOVT", "RETAIL")</f>
        <v>GOVT</v>
      </c>
      <c r="E505" s="12">
        <v>1267.8900000000001</v>
      </c>
      <c r="F505" s="12">
        <v>320000</v>
      </c>
      <c r="G505" s="11">
        <v>0</v>
      </c>
      <c r="H505" s="11">
        <v>0</v>
      </c>
      <c r="I505" s="12">
        <v>0</v>
      </c>
      <c r="J505" s="12">
        <v>0</v>
      </c>
      <c r="K505" s="12">
        <v>0</v>
      </c>
      <c r="L505" s="12">
        <v>0</v>
      </c>
      <c r="M505" s="13">
        <v>321267.89</v>
      </c>
      <c r="N505">
        <f>YEAR(B505)</f>
        <v>2024</v>
      </c>
      <c r="O505" s="24">
        <f>IFERROR(J505/$I505,0)</f>
        <v>0</v>
      </c>
      <c r="P505" s="24">
        <f>IFERROR(K505/$I505,0)</f>
        <v>0</v>
      </c>
      <c r="Q505" s="24" t="str">
        <f>IF($G505&lt;&gt;0,"Beer",IF($H505&lt;&gt;0,"Liquor","-"))</f>
        <v>-</v>
      </c>
      <c r="R505" s="26">
        <f>IF($G505&lt;&gt;0,$G505,IF($H505&lt;&gt;0,$H505/0.75,0))</f>
        <v>0</v>
      </c>
      <c r="S505" s="32" t="b">
        <f>ISNUMBER(R505)</f>
        <v>1</v>
      </c>
      <c r="T505" s="32"/>
    </row>
    <row r="506" spans="1:20" x14ac:dyDescent="0.3">
      <c r="A506" s="9">
        <v>505</v>
      </c>
      <c r="B506" s="10">
        <v>45341.501747685186</v>
      </c>
      <c r="C506" s="11" t="s">
        <v>516</v>
      </c>
      <c r="D506" s="11" t="str">
        <f>IF(ISNUMBER(SEARCH("OSBC", C506)), "GOVT", "RETAIL")</f>
        <v>RETAIL</v>
      </c>
      <c r="E506" s="12">
        <v>321267.89</v>
      </c>
      <c r="F506" s="12">
        <v>0</v>
      </c>
      <c r="G506" s="11">
        <v>263.39999999999998</v>
      </c>
      <c r="H506" s="11">
        <v>0</v>
      </c>
      <c r="I506" s="12">
        <v>44365.1</v>
      </c>
      <c r="J506" s="12">
        <v>15527.79</v>
      </c>
      <c r="K506" s="12">
        <v>599</v>
      </c>
      <c r="L506" s="12">
        <v>60491.89</v>
      </c>
      <c r="M506" s="13">
        <v>260776</v>
      </c>
      <c r="N506">
        <f>YEAR(B506)</f>
        <v>2024</v>
      </c>
      <c r="O506" s="24">
        <f>IFERROR(J506/$I506,0)</f>
        <v>0.35000011270119985</v>
      </c>
      <c r="P506" s="24">
        <f>IFERROR(K506/$I506,0)</f>
        <v>1.3501603738073397E-2</v>
      </c>
      <c r="Q506" s="24" t="str">
        <f>IF($G506&lt;&gt;0,"Beer",IF($H506&lt;&gt;0,"Liquor","-"))</f>
        <v>Beer</v>
      </c>
      <c r="R506" s="26">
        <f>IF($G506&lt;&gt;0,$G506,IF($H506&lt;&gt;0,$H506/0.75,0))</f>
        <v>263.39999999999998</v>
      </c>
      <c r="S506" s="32" t="b">
        <f>ISNUMBER(R506)</f>
        <v>1</v>
      </c>
      <c r="T506" s="32"/>
    </row>
    <row r="507" spans="1:20" x14ac:dyDescent="0.3">
      <c r="A507" s="9">
        <v>506</v>
      </c>
      <c r="B507" s="10">
        <v>45341.547291666669</v>
      </c>
      <c r="C507" s="11" t="s">
        <v>517</v>
      </c>
      <c r="D507" s="11" t="str">
        <f>IF(ISNUMBER(SEARCH("OSBC", C507)), "GOVT", "RETAIL")</f>
        <v>RETAIL</v>
      </c>
      <c r="E507" s="12">
        <v>260776</v>
      </c>
      <c r="F507" s="12">
        <v>0</v>
      </c>
      <c r="G507" s="11">
        <v>0</v>
      </c>
      <c r="H507" s="11">
        <v>194.31</v>
      </c>
      <c r="I507" s="12">
        <v>176993.34</v>
      </c>
      <c r="J507" s="12">
        <v>61947.67</v>
      </c>
      <c r="K507" s="12">
        <v>2389</v>
      </c>
      <c r="L507" s="12">
        <v>241330.01</v>
      </c>
      <c r="M507" s="13">
        <v>19445.990000000002</v>
      </c>
      <c r="N507">
        <f>YEAR(B507)</f>
        <v>2024</v>
      </c>
      <c r="O507" s="24">
        <f>IFERROR(J507/$I507,0)</f>
        <v>0.35000000564993011</v>
      </c>
      <c r="P507" s="24">
        <f>IFERROR(K507/$I507,0)</f>
        <v>1.3497683020163357E-2</v>
      </c>
      <c r="Q507" s="24" t="str">
        <f>IF($G507&lt;&gt;0,"Beer",IF($H507&lt;&gt;0,"Liquor","-"))</f>
        <v>Liquor</v>
      </c>
      <c r="R507" s="26">
        <f>IF($G507&lt;&gt;0,$G507,IF($H507&lt;&gt;0,$H507/0.75,0))</f>
        <v>259.08</v>
      </c>
      <c r="S507" s="32" t="b">
        <f>ISNUMBER(R507)</f>
        <v>1</v>
      </c>
      <c r="T507" s="32"/>
    </row>
    <row r="508" spans="1:20" x14ac:dyDescent="0.3">
      <c r="A508" s="9">
        <v>507</v>
      </c>
      <c r="B508" s="10">
        <v>45351.497291666667</v>
      </c>
      <c r="C508" s="11" t="s">
        <v>518</v>
      </c>
      <c r="D508" s="11" t="str">
        <f>IF(ISNUMBER(SEARCH("OSBC", C508)), "GOVT", "RETAIL")</f>
        <v>GOVT</v>
      </c>
      <c r="E508" s="12">
        <v>19445.990000000002</v>
      </c>
      <c r="F508" s="12">
        <v>100000</v>
      </c>
      <c r="G508" s="11">
        <v>0</v>
      </c>
      <c r="H508" s="11">
        <v>0</v>
      </c>
      <c r="I508" s="12">
        <v>0</v>
      </c>
      <c r="J508" s="12">
        <v>0</v>
      </c>
      <c r="K508" s="12">
        <v>0</v>
      </c>
      <c r="L508" s="12">
        <v>0</v>
      </c>
      <c r="M508" s="13">
        <v>119445.99</v>
      </c>
      <c r="N508">
        <f>YEAR(B508)</f>
        <v>2024</v>
      </c>
      <c r="O508" s="24">
        <f>IFERROR(J508/$I508,0)</f>
        <v>0</v>
      </c>
      <c r="P508" s="24">
        <f>IFERROR(K508/$I508,0)</f>
        <v>0</v>
      </c>
      <c r="Q508" s="24" t="str">
        <f>IF($G508&lt;&gt;0,"Beer",IF($H508&lt;&gt;0,"Liquor","-"))</f>
        <v>-</v>
      </c>
      <c r="R508" s="26">
        <f>IF($G508&lt;&gt;0,$G508,IF($H508&lt;&gt;0,$H508/0.75,0))</f>
        <v>0</v>
      </c>
      <c r="S508" s="32" t="b">
        <f>ISNUMBER(R508)</f>
        <v>1</v>
      </c>
      <c r="T508" s="32"/>
    </row>
    <row r="509" spans="1:20" x14ac:dyDescent="0.3">
      <c r="A509" s="9">
        <v>508</v>
      </c>
      <c r="B509" s="10">
        <v>45351.509166666663</v>
      </c>
      <c r="C509" s="11" t="s">
        <v>519</v>
      </c>
      <c r="D509" s="11" t="str">
        <f>IF(ISNUMBER(SEARCH("OSBC", C509)), "GOVT", "RETAIL")</f>
        <v>GOVT</v>
      </c>
      <c r="E509" s="12">
        <v>119445.99</v>
      </c>
      <c r="F509" s="12">
        <v>1000</v>
      </c>
      <c r="G509" s="11">
        <v>0</v>
      </c>
      <c r="H509" s="11">
        <v>0</v>
      </c>
      <c r="I509" s="12">
        <v>0</v>
      </c>
      <c r="J509" s="12">
        <v>0</v>
      </c>
      <c r="K509" s="12">
        <v>0</v>
      </c>
      <c r="L509" s="12">
        <v>0</v>
      </c>
      <c r="M509" s="13">
        <v>120445.99</v>
      </c>
      <c r="N509">
        <f>YEAR(B509)</f>
        <v>2024</v>
      </c>
      <c r="O509" s="24">
        <f>IFERROR(J509/$I509,0)</f>
        <v>0</v>
      </c>
      <c r="P509" s="24">
        <f>IFERROR(K509/$I509,0)</f>
        <v>0</v>
      </c>
      <c r="Q509" s="24" t="str">
        <f>IF($G509&lt;&gt;0,"Beer",IF($H509&lt;&gt;0,"Liquor","-"))</f>
        <v>-</v>
      </c>
      <c r="R509" s="26">
        <f>IF($G509&lt;&gt;0,$G509,IF($H509&lt;&gt;0,$H509/0.75,0))</f>
        <v>0</v>
      </c>
      <c r="S509" s="32" t="b">
        <f>ISNUMBER(R509)</f>
        <v>1</v>
      </c>
      <c r="T509" s="32"/>
    </row>
    <row r="510" spans="1:20" x14ac:dyDescent="0.3">
      <c r="A510" s="9">
        <v>509</v>
      </c>
      <c r="B510" s="10">
        <v>45351.627881944441</v>
      </c>
      <c r="C510" s="11" t="s">
        <v>520</v>
      </c>
      <c r="D510" s="11" t="str">
        <f>IF(ISNUMBER(SEARCH("OSBC", C510)), "GOVT", "RETAIL")</f>
        <v>RETAIL</v>
      </c>
      <c r="E510" s="12">
        <v>120445.99</v>
      </c>
      <c r="F510" s="12">
        <v>0</v>
      </c>
      <c r="G510" s="11">
        <v>0</v>
      </c>
      <c r="H510" s="11">
        <v>87.62</v>
      </c>
      <c r="I510" s="12">
        <v>88153.47</v>
      </c>
      <c r="J510" s="12">
        <v>30853.71</v>
      </c>
      <c r="K510" s="12">
        <v>1190</v>
      </c>
      <c r="L510" s="12">
        <v>120197.18</v>
      </c>
      <c r="M510" s="13">
        <v>248.81</v>
      </c>
      <c r="N510">
        <f>YEAR(B510)</f>
        <v>2024</v>
      </c>
      <c r="O510" s="24">
        <f>IFERROR(J510/$I510,0)</f>
        <v>0.34999994895266173</v>
      </c>
      <c r="P510" s="24">
        <f>IFERROR(K510/$I510,0)</f>
        <v>1.3499185000885388E-2</v>
      </c>
      <c r="Q510" s="24" t="str">
        <f>IF($G510&lt;&gt;0,"Beer",IF($H510&lt;&gt;0,"Liquor","-"))</f>
        <v>Liquor</v>
      </c>
      <c r="R510" s="26">
        <f>IF($G510&lt;&gt;0,$G510,IF($H510&lt;&gt;0,$H510/0.75,0))</f>
        <v>116.82666666666667</v>
      </c>
      <c r="S510" s="32" t="b">
        <f>ISNUMBER(R510)</f>
        <v>1</v>
      </c>
      <c r="T510" s="32"/>
    </row>
    <row r="511" spans="1:20" x14ac:dyDescent="0.3">
      <c r="A511" s="9">
        <v>510</v>
      </c>
      <c r="B511" s="10">
        <v>45358.482997685183</v>
      </c>
      <c r="C511" s="11" t="s">
        <v>521</v>
      </c>
      <c r="D511" s="11" t="str">
        <f>IF(ISNUMBER(SEARCH("OSBC", C511)), "GOVT", "RETAIL")</f>
        <v>GOVT</v>
      </c>
      <c r="E511" s="12">
        <v>248.81</v>
      </c>
      <c r="F511" s="12">
        <v>260000</v>
      </c>
      <c r="G511" s="11">
        <v>0</v>
      </c>
      <c r="H511" s="11">
        <v>0</v>
      </c>
      <c r="I511" s="12">
        <v>0</v>
      </c>
      <c r="J511" s="12">
        <v>0</v>
      </c>
      <c r="K511" s="12">
        <v>0</v>
      </c>
      <c r="L511" s="12">
        <v>0</v>
      </c>
      <c r="M511" s="13">
        <v>260248.81</v>
      </c>
      <c r="N511">
        <f>YEAR(B511)</f>
        <v>2024</v>
      </c>
      <c r="O511" s="24">
        <f>IFERROR(J511/$I511,0)</f>
        <v>0</v>
      </c>
      <c r="P511" s="24">
        <f>IFERROR(K511/$I511,0)</f>
        <v>0</v>
      </c>
      <c r="Q511" s="24" t="str">
        <f>IF($G511&lt;&gt;0,"Beer",IF($H511&lt;&gt;0,"Liquor","-"))</f>
        <v>-</v>
      </c>
      <c r="R511" s="26">
        <f>IF($G511&lt;&gt;0,$G511,IF($H511&lt;&gt;0,$H511/0.75,0))</f>
        <v>0</v>
      </c>
      <c r="S511" s="32" t="b">
        <f>ISNUMBER(R511)</f>
        <v>1</v>
      </c>
      <c r="T511" s="32"/>
    </row>
    <row r="512" spans="1:20" x14ac:dyDescent="0.3">
      <c r="A512" s="9">
        <v>511</v>
      </c>
      <c r="B512" s="10">
        <v>45358.695879629631</v>
      </c>
      <c r="C512" s="11" t="s">
        <v>522</v>
      </c>
      <c r="D512" s="11" t="str">
        <f>IF(ISNUMBER(SEARCH("OSBC", C512)), "GOVT", "RETAIL")</f>
        <v>RETAIL</v>
      </c>
      <c r="E512" s="12">
        <v>260248.81</v>
      </c>
      <c r="F512" s="12">
        <v>0</v>
      </c>
      <c r="G512" s="11">
        <v>0</v>
      </c>
      <c r="H512" s="11">
        <v>193.63</v>
      </c>
      <c r="I512" s="12">
        <v>190765.93</v>
      </c>
      <c r="J512" s="12">
        <v>66768.08</v>
      </c>
      <c r="K512" s="12">
        <v>2575</v>
      </c>
      <c r="L512" s="12">
        <v>260109.01</v>
      </c>
      <c r="M512" s="13">
        <v>139.80000000000001</v>
      </c>
      <c r="N512">
        <f>YEAR(B512)</f>
        <v>2024</v>
      </c>
      <c r="O512" s="24">
        <f>IFERROR(J512/$I512,0)</f>
        <v>0.35000002358911786</v>
      </c>
      <c r="P512" s="24">
        <f>IFERROR(K512/$I512,0)</f>
        <v>1.3498217422786134E-2</v>
      </c>
      <c r="Q512" s="24" t="str">
        <f>IF($G512&lt;&gt;0,"Beer",IF($H512&lt;&gt;0,"Liquor","-"))</f>
        <v>Liquor</v>
      </c>
      <c r="R512" s="26">
        <f>IF($G512&lt;&gt;0,$G512,IF($H512&lt;&gt;0,$H512/0.75,0))</f>
        <v>258.17333333333335</v>
      </c>
      <c r="S512" s="32" t="b">
        <f>ISNUMBER(R512)</f>
        <v>1</v>
      </c>
      <c r="T512" s="32"/>
    </row>
    <row r="513" spans="1:20" x14ac:dyDescent="0.3">
      <c r="A513" s="9">
        <v>512</v>
      </c>
      <c r="B513" s="10">
        <v>45361.919317129628</v>
      </c>
      <c r="C513" s="11" t="s">
        <v>523</v>
      </c>
      <c r="D513" s="11" t="str">
        <f>IF(ISNUMBER(SEARCH("OSBC", C513)), "GOVT", "RETAIL")</f>
        <v>GOVT</v>
      </c>
      <c r="E513" s="12">
        <v>139.80000000000001</v>
      </c>
      <c r="F513" s="12">
        <v>180000</v>
      </c>
      <c r="G513" s="11">
        <v>0</v>
      </c>
      <c r="H513" s="11">
        <v>0</v>
      </c>
      <c r="I513" s="12">
        <v>0</v>
      </c>
      <c r="J513" s="12">
        <v>0</v>
      </c>
      <c r="K513" s="12">
        <v>0</v>
      </c>
      <c r="L513" s="12">
        <v>0</v>
      </c>
      <c r="M513" s="13">
        <v>180139.8</v>
      </c>
      <c r="N513">
        <f>YEAR(B513)</f>
        <v>2024</v>
      </c>
      <c r="O513" s="24">
        <f>IFERROR(J513/$I513,0)</f>
        <v>0</v>
      </c>
      <c r="P513" s="24">
        <f>IFERROR(K513/$I513,0)</f>
        <v>0</v>
      </c>
      <c r="Q513" s="24" t="str">
        <f>IF($G513&lt;&gt;0,"Beer",IF($H513&lt;&gt;0,"Liquor","-"))</f>
        <v>-</v>
      </c>
      <c r="R513" s="26">
        <f>IF($G513&lt;&gt;0,$G513,IF($H513&lt;&gt;0,$H513/0.75,0))</f>
        <v>0</v>
      </c>
      <c r="S513" s="32" t="b">
        <f>ISNUMBER(R513)</f>
        <v>1</v>
      </c>
      <c r="T513" s="32"/>
    </row>
    <row r="514" spans="1:20" x14ac:dyDescent="0.3">
      <c r="A514" s="9">
        <v>513</v>
      </c>
      <c r="B514" s="10">
        <v>45362.359259259261</v>
      </c>
      <c r="C514" s="11" t="s">
        <v>524</v>
      </c>
      <c r="D514" s="11" t="str">
        <f>IF(ISNUMBER(SEARCH("OSBC", C514)), "GOVT", "RETAIL")</f>
        <v>GOVT</v>
      </c>
      <c r="E514" s="12">
        <v>180139.8</v>
      </c>
      <c r="F514" s="12">
        <v>40000</v>
      </c>
      <c r="G514" s="11">
        <v>0</v>
      </c>
      <c r="H514" s="11">
        <v>0</v>
      </c>
      <c r="I514" s="12">
        <v>0</v>
      </c>
      <c r="J514" s="12">
        <v>0</v>
      </c>
      <c r="K514" s="12">
        <v>0</v>
      </c>
      <c r="L514" s="12">
        <v>0</v>
      </c>
      <c r="M514" s="13">
        <v>220139.8</v>
      </c>
      <c r="N514">
        <f>YEAR(B514)</f>
        <v>2024</v>
      </c>
      <c r="O514" s="24">
        <f>IFERROR(J514/$I514,0)</f>
        <v>0</v>
      </c>
      <c r="P514" s="24">
        <f>IFERROR(K514/$I514,0)</f>
        <v>0</v>
      </c>
      <c r="Q514" s="24" t="str">
        <f>IF($G514&lt;&gt;0,"Beer",IF($H514&lt;&gt;0,"Liquor","-"))</f>
        <v>-</v>
      </c>
      <c r="R514" s="26">
        <f>IF($G514&lt;&gt;0,$G514,IF($H514&lt;&gt;0,$H514/0.75,0))</f>
        <v>0</v>
      </c>
      <c r="S514" s="32" t="b">
        <f>ISNUMBER(R514)</f>
        <v>1</v>
      </c>
      <c r="T514" s="32"/>
    </row>
    <row r="515" spans="1:20" x14ac:dyDescent="0.3">
      <c r="A515" s="9">
        <v>514</v>
      </c>
      <c r="B515" s="10">
        <v>45362.637708333335</v>
      </c>
      <c r="C515" s="11" t="s">
        <v>525</v>
      </c>
      <c r="D515" s="11" t="str">
        <f>IF(ISNUMBER(SEARCH("OSBC", C515)), "GOVT", "RETAIL")</f>
        <v>RETAIL</v>
      </c>
      <c r="E515" s="12">
        <v>220139.8</v>
      </c>
      <c r="F515" s="12">
        <v>0</v>
      </c>
      <c r="G515" s="11">
        <v>979.2</v>
      </c>
      <c r="H515" s="11">
        <v>0</v>
      </c>
      <c r="I515" s="12">
        <v>161031.97</v>
      </c>
      <c r="J515" s="12">
        <v>56361.19</v>
      </c>
      <c r="K515" s="12">
        <v>2174</v>
      </c>
      <c r="L515" s="12">
        <v>219567.16</v>
      </c>
      <c r="M515" s="13">
        <v>572.64</v>
      </c>
      <c r="N515">
        <f>YEAR(B515)</f>
        <v>2024</v>
      </c>
      <c r="O515" s="24">
        <f>IFERROR(J515/$I515,0)</f>
        <v>0.35000000310497353</v>
      </c>
      <c r="P515" s="24">
        <f>IFERROR(K515/$I515,0)</f>
        <v>1.3500424791424957E-2</v>
      </c>
      <c r="Q515" s="24" t="str">
        <f>IF($G515&lt;&gt;0,"Beer",IF($H515&lt;&gt;0,"Liquor","-"))</f>
        <v>Beer</v>
      </c>
      <c r="R515" s="26">
        <f>IF($G515&lt;&gt;0,$G515,IF($H515&lt;&gt;0,$H515/0.75,0))</f>
        <v>979.2</v>
      </c>
      <c r="S515" s="32" t="b">
        <f>ISNUMBER(R515)</f>
        <v>1</v>
      </c>
      <c r="T515" s="32"/>
    </row>
    <row r="516" spans="1:20" x14ac:dyDescent="0.3">
      <c r="A516" s="9">
        <v>515</v>
      </c>
      <c r="B516" s="10">
        <v>45364.502916666665</v>
      </c>
      <c r="C516" s="11" t="s">
        <v>526</v>
      </c>
      <c r="D516" s="11" t="str">
        <f>IF(ISNUMBER(SEARCH("OSBC", C516)), "GOVT", "RETAIL")</f>
        <v>GOVT</v>
      </c>
      <c r="E516" s="12">
        <v>572.64</v>
      </c>
      <c r="F516" s="12">
        <v>185000</v>
      </c>
      <c r="G516" s="11">
        <v>0</v>
      </c>
      <c r="H516" s="11">
        <v>0</v>
      </c>
      <c r="I516" s="12">
        <v>0</v>
      </c>
      <c r="J516" s="12">
        <v>0</v>
      </c>
      <c r="K516" s="12">
        <v>0</v>
      </c>
      <c r="L516" s="12">
        <v>0</v>
      </c>
      <c r="M516" s="13">
        <v>185572.64</v>
      </c>
      <c r="N516">
        <f>YEAR(B516)</f>
        <v>2024</v>
      </c>
      <c r="O516" s="24">
        <f>IFERROR(J516/$I516,0)</f>
        <v>0</v>
      </c>
      <c r="P516" s="24">
        <f>IFERROR(K516/$I516,0)</f>
        <v>0</v>
      </c>
      <c r="Q516" s="24" t="str">
        <f>IF($G516&lt;&gt;0,"Beer",IF($H516&lt;&gt;0,"Liquor","-"))</f>
        <v>-</v>
      </c>
      <c r="R516" s="26">
        <f>IF($G516&lt;&gt;0,$G516,IF($H516&lt;&gt;0,$H516/0.75,0))</f>
        <v>0</v>
      </c>
      <c r="S516" s="32" t="b">
        <f>ISNUMBER(R516)</f>
        <v>1</v>
      </c>
      <c r="T516" s="32"/>
    </row>
    <row r="517" spans="1:20" x14ac:dyDescent="0.3">
      <c r="A517" s="9">
        <v>516</v>
      </c>
      <c r="B517" s="10">
        <v>45364.723483796297</v>
      </c>
      <c r="C517" s="11" t="s">
        <v>527</v>
      </c>
      <c r="D517" s="11" t="str">
        <f>IF(ISNUMBER(SEARCH("OSBC", C517)), "GOVT", "RETAIL")</f>
        <v>RETAIL</v>
      </c>
      <c r="E517" s="12">
        <v>185572.64</v>
      </c>
      <c r="F517" s="12">
        <v>0</v>
      </c>
      <c r="G517" s="11">
        <v>0</v>
      </c>
      <c r="H517" s="11">
        <v>151.76</v>
      </c>
      <c r="I517" s="12">
        <v>135914.07</v>
      </c>
      <c r="J517" s="12">
        <v>47569.919999999998</v>
      </c>
      <c r="K517" s="12">
        <v>1835</v>
      </c>
      <c r="L517" s="12">
        <v>185318.99</v>
      </c>
      <c r="M517" s="13">
        <v>253.65</v>
      </c>
      <c r="N517">
        <f>YEAR(B517)</f>
        <v>2024</v>
      </c>
      <c r="O517" s="24">
        <f>IFERROR(J517/$I517,0)</f>
        <v>0.34999996689084506</v>
      </c>
      <c r="P517" s="24">
        <f>IFERROR(K517/$I517,0)</f>
        <v>1.350117761906475E-2</v>
      </c>
      <c r="Q517" s="24" t="str">
        <f>IF($G517&lt;&gt;0,"Beer",IF($H517&lt;&gt;0,"Liquor","-"))</f>
        <v>Liquor</v>
      </c>
      <c r="R517" s="26">
        <f>IF($G517&lt;&gt;0,$G517,IF($H517&lt;&gt;0,$H517/0.75,0))</f>
        <v>202.34666666666666</v>
      </c>
      <c r="S517" s="32" t="b">
        <f>ISNUMBER(R517)</f>
        <v>1</v>
      </c>
      <c r="T517" s="32"/>
    </row>
    <row r="518" spans="1:20" x14ac:dyDescent="0.3">
      <c r="A518" s="9">
        <v>517</v>
      </c>
      <c r="B518" s="10">
        <v>45374.357604166667</v>
      </c>
      <c r="C518" s="11" t="s">
        <v>528</v>
      </c>
      <c r="D518" s="11" t="str">
        <f>IF(ISNUMBER(SEARCH("OSBC", C518)), "GOVT", "RETAIL")</f>
        <v>GOVT</v>
      </c>
      <c r="E518" s="12">
        <v>253.65</v>
      </c>
      <c r="F518" s="12">
        <v>240000</v>
      </c>
      <c r="G518" s="11">
        <v>0</v>
      </c>
      <c r="H518" s="11">
        <v>0</v>
      </c>
      <c r="I518" s="12">
        <v>0</v>
      </c>
      <c r="J518" s="12">
        <v>0</v>
      </c>
      <c r="K518" s="12">
        <v>0</v>
      </c>
      <c r="L518" s="12">
        <v>0</v>
      </c>
      <c r="M518" s="13">
        <v>240253.65</v>
      </c>
      <c r="N518">
        <f>YEAR(B518)</f>
        <v>2024</v>
      </c>
      <c r="O518" s="24">
        <f>IFERROR(J518/$I518,0)</f>
        <v>0</v>
      </c>
      <c r="P518" s="24">
        <f>IFERROR(K518/$I518,0)</f>
        <v>0</v>
      </c>
      <c r="Q518" s="24" t="str">
        <f>IF($G518&lt;&gt;0,"Beer",IF($H518&lt;&gt;0,"Liquor","-"))</f>
        <v>-</v>
      </c>
      <c r="R518" s="26">
        <f>IF($G518&lt;&gt;0,$G518,IF($H518&lt;&gt;0,$H518/0.75,0))</f>
        <v>0</v>
      </c>
      <c r="S518" s="32" t="b">
        <f>ISNUMBER(R518)</f>
        <v>1</v>
      </c>
      <c r="T518" s="32"/>
    </row>
    <row r="519" spans="1:20" x14ac:dyDescent="0.3">
      <c r="A519" s="9">
        <v>518</v>
      </c>
      <c r="B519" s="10">
        <v>45374.609375</v>
      </c>
      <c r="C519" s="11" t="s">
        <v>529</v>
      </c>
      <c r="D519" s="11" t="str">
        <f>IF(ISNUMBER(SEARCH("OSBC", C519)), "GOVT", "RETAIL")</f>
        <v>RETAIL</v>
      </c>
      <c r="E519" s="12">
        <v>240253.65</v>
      </c>
      <c r="F519" s="12">
        <v>0</v>
      </c>
      <c r="G519" s="11">
        <v>0</v>
      </c>
      <c r="H519" s="11">
        <v>183.75</v>
      </c>
      <c r="I519" s="12">
        <v>174571.5</v>
      </c>
      <c r="J519" s="12">
        <v>61100.03</v>
      </c>
      <c r="K519" s="12">
        <v>2357</v>
      </c>
      <c r="L519" s="12">
        <v>238028.53</v>
      </c>
      <c r="M519" s="13">
        <v>2225.12</v>
      </c>
      <c r="N519">
        <f>YEAR(B519)</f>
        <v>2024</v>
      </c>
      <c r="O519" s="24">
        <f>IFERROR(J519/$I519,0)</f>
        <v>0.35000002864155949</v>
      </c>
      <c r="P519" s="24">
        <f>IFERROR(K519/$I519,0)</f>
        <v>1.3501631136812136E-2</v>
      </c>
      <c r="Q519" s="24" t="str">
        <f>IF($G519&lt;&gt;0,"Beer",IF($H519&lt;&gt;0,"Liquor","-"))</f>
        <v>Liquor</v>
      </c>
      <c r="R519" s="26">
        <f>IF($G519&lt;&gt;0,$G519,IF($H519&lt;&gt;0,$H519/0.75,0))</f>
        <v>245</v>
      </c>
      <c r="S519" s="32" t="b">
        <f>ISNUMBER(R519)</f>
        <v>1</v>
      </c>
      <c r="T519" s="32"/>
    </row>
    <row r="520" spans="1:20" x14ac:dyDescent="0.3">
      <c r="A520" s="9">
        <v>519</v>
      </c>
      <c r="B520" s="10">
        <v>45380.459097222221</v>
      </c>
      <c r="C520" s="11" t="s">
        <v>530</v>
      </c>
      <c r="D520" s="11" t="str">
        <f>IF(ISNUMBER(SEARCH("OSBC", C520)), "GOVT", "RETAIL")</f>
        <v>GOVT</v>
      </c>
      <c r="E520" s="12">
        <v>2225.12</v>
      </c>
      <c r="F520" s="12">
        <v>270000</v>
      </c>
      <c r="G520" s="11">
        <v>0</v>
      </c>
      <c r="H520" s="11">
        <v>0</v>
      </c>
      <c r="I520" s="12">
        <v>0</v>
      </c>
      <c r="J520" s="12">
        <v>0</v>
      </c>
      <c r="K520" s="12">
        <v>0</v>
      </c>
      <c r="L520" s="12">
        <v>0</v>
      </c>
      <c r="M520" s="13">
        <v>272225.12</v>
      </c>
      <c r="N520">
        <f>YEAR(B520)</f>
        <v>2024</v>
      </c>
      <c r="O520" s="24">
        <f>IFERROR(J520/$I520,0)</f>
        <v>0</v>
      </c>
      <c r="P520" s="24">
        <f>IFERROR(K520/$I520,0)</f>
        <v>0</v>
      </c>
      <c r="Q520" s="24" t="str">
        <f>IF($G520&lt;&gt;0,"Beer",IF($H520&lt;&gt;0,"Liquor","-"))</f>
        <v>-</v>
      </c>
      <c r="R520" s="26">
        <f>IF($G520&lt;&gt;0,$G520,IF($H520&lt;&gt;0,$H520/0.75,0))</f>
        <v>0</v>
      </c>
      <c r="S520" s="32" t="b">
        <f>ISNUMBER(R520)</f>
        <v>1</v>
      </c>
      <c r="T520" s="32"/>
    </row>
    <row r="521" spans="1:20" ht="15" thickBot="1" x14ac:dyDescent="0.35">
      <c r="A521" s="14">
        <v>520</v>
      </c>
      <c r="B521" s="15">
        <v>45380.712430555555</v>
      </c>
      <c r="C521" s="16" t="s">
        <v>531</v>
      </c>
      <c r="D521" s="16" t="str">
        <f>IF(ISNUMBER(SEARCH("OSBC", C521)), "GOVT", "RETAIL")</f>
        <v>RETAIL</v>
      </c>
      <c r="E521" s="17">
        <v>272225.12</v>
      </c>
      <c r="F521" s="17">
        <v>0</v>
      </c>
      <c r="G521" s="16">
        <v>0</v>
      </c>
      <c r="H521" s="16">
        <v>192.37</v>
      </c>
      <c r="I521" s="17">
        <v>199352.43</v>
      </c>
      <c r="J521" s="17">
        <v>69773.350000000006</v>
      </c>
      <c r="K521" s="17">
        <v>2691</v>
      </c>
      <c r="L521" s="17">
        <v>271816.78000000003</v>
      </c>
      <c r="M521" s="18">
        <v>408.34</v>
      </c>
      <c r="N521">
        <f>YEAR(B521)</f>
        <v>2024</v>
      </c>
      <c r="O521" s="24">
        <f>IFERROR(J521/$I521,0)</f>
        <v>0.3499999974918791</v>
      </c>
      <c r="P521" s="24">
        <f>IFERROR(K521/$I521,0)</f>
        <v>1.3498706787772791E-2</v>
      </c>
      <c r="Q521" s="24" t="str">
        <f>IF($G521&lt;&gt;0,"Beer",IF($H521&lt;&gt;0,"Liquor","-"))</f>
        <v>Liquor</v>
      </c>
      <c r="R521" s="26">
        <f>IF($G521&lt;&gt;0,$G521,IF($H521&lt;&gt;0,$H521/0.75,0))</f>
        <v>256.49333333333334</v>
      </c>
      <c r="S521" s="32" t="b">
        <f>ISNUMBER(R521)</f>
        <v>1</v>
      </c>
      <c r="T521" s="32"/>
    </row>
  </sheetData>
  <autoFilter ref="A1:S521" xr:uid="{FB835B47-B400-4C45-B006-6F92388C8BBE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D347-E0FF-495E-B68F-9EE57DC0EA52}">
  <dimension ref="A3:H4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12.109375" style="41" bestFit="1" customWidth="1"/>
    <col min="3" max="5" width="17.6640625" customWidth="1"/>
    <col min="6" max="6" width="17.6640625" style="33" bestFit="1" customWidth="1"/>
    <col min="7" max="8" width="17.6640625" style="27" bestFit="1" customWidth="1"/>
    <col min="9" max="9" width="19.44140625" bestFit="1" customWidth="1"/>
    <col min="10" max="10" width="14.109375" bestFit="1" customWidth="1"/>
    <col min="11" max="11" width="13.109375" bestFit="1" customWidth="1"/>
    <col min="12" max="12" width="17.6640625" bestFit="1" customWidth="1"/>
    <col min="13" max="13" width="24.33203125" bestFit="1" customWidth="1"/>
    <col min="14" max="14" width="16.5546875" bestFit="1" customWidth="1"/>
    <col min="15" max="15" width="16.21875" bestFit="1" customWidth="1"/>
    <col min="16" max="16" width="22.44140625" bestFit="1" customWidth="1"/>
    <col min="17" max="523" width="15.5546875" bestFit="1" customWidth="1"/>
    <col min="524" max="524" width="10.77734375" bestFit="1" customWidth="1"/>
  </cols>
  <sheetData>
    <row r="3" spans="1:8" x14ac:dyDescent="0.3">
      <c r="A3" s="28" t="s">
        <v>555</v>
      </c>
      <c r="B3" s="41" t="s">
        <v>560</v>
      </c>
      <c r="C3" s="27" t="s">
        <v>557</v>
      </c>
      <c r="G3"/>
      <c r="H3"/>
    </row>
    <row r="4" spans="1:8" x14ac:dyDescent="0.3">
      <c r="A4" s="29" t="s">
        <v>539</v>
      </c>
      <c r="C4" s="1"/>
      <c r="G4"/>
      <c r="H4"/>
    </row>
    <row r="5" spans="1:8" x14ac:dyDescent="0.3">
      <c r="A5" s="30" t="s">
        <v>543</v>
      </c>
      <c r="B5" s="41">
        <v>2172.48</v>
      </c>
      <c r="C5" s="1">
        <v>927288.4</v>
      </c>
      <c r="G5"/>
      <c r="H5"/>
    </row>
    <row r="6" spans="1:8" x14ac:dyDescent="0.3">
      <c r="A6" s="30" t="s">
        <v>544</v>
      </c>
      <c r="B6" s="41">
        <v>5733.7866666666669</v>
      </c>
      <c r="C6" s="1">
        <v>2928657.5</v>
      </c>
      <c r="G6"/>
      <c r="H6"/>
    </row>
    <row r="7" spans="1:8" x14ac:dyDescent="0.3">
      <c r="A7" s="30" t="s">
        <v>545</v>
      </c>
      <c r="B7" s="41">
        <v>2301.3066666666664</v>
      </c>
      <c r="C7" s="1">
        <v>1428753.35</v>
      </c>
      <c r="G7"/>
      <c r="H7"/>
    </row>
    <row r="8" spans="1:8" x14ac:dyDescent="0.3">
      <c r="A8" s="30" t="s">
        <v>546</v>
      </c>
      <c r="B8" s="41">
        <v>3306.3066666666668</v>
      </c>
      <c r="C8" s="1">
        <v>1913769.58</v>
      </c>
      <c r="G8"/>
      <c r="H8"/>
    </row>
    <row r="9" spans="1:8" x14ac:dyDescent="0.3">
      <c r="A9" s="30" t="s">
        <v>547</v>
      </c>
      <c r="B9" s="41">
        <v>2032.6799999999996</v>
      </c>
      <c r="C9" s="1">
        <v>1228448.47</v>
      </c>
      <c r="G9"/>
      <c r="H9"/>
    </row>
    <row r="10" spans="1:8" x14ac:dyDescent="0.3">
      <c r="A10" s="30" t="s">
        <v>548</v>
      </c>
      <c r="B10" s="41">
        <v>2126.2800000000002</v>
      </c>
      <c r="C10" s="1">
        <v>1325301.45</v>
      </c>
      <c r="G10"/>
      <c r="H10"/>
    </row>
    <row r="11" spans="1:8" x14ac:dyDescent="0.3">
      <c r="A11" s="30" t="s">
        <v>549</v>
      </c>
      <c r="B11" s="41">
        <v>4400.8533333333335</v>
      </c>
      <c r="C11" s="1">
        <v>2952288.57</v>
      </c>
      <c r="G11"/>
      <c r="H11"/>
    </row>
    <row r="12" spans="1:8" x14ac:dyDescent="0.3">
      <c r="A12" s="30" t="s">
        <v>550</v>
      </c>
      <c r="B12" s="41">
        <v>4350.3999999999996</v>
      </c>
      <c r="C12" s="1">
        <v>3084828.72</v>
      </c>
      <c r="G12"/>
      <c r="H12"/>
    </row>
    <row r="13" spans="1:8" x14ac:dyDescent="0.3">
      <c r="A13" s="30" t="s">
        <v>551</v>
      </c>
      <c r="B13" s="41">
        <v>4413.8533333333335</v>
      </c>
      <c r="C13" s="1">
        <v>3353216.61</v>
      </c>
      <c r="G13"/>
      <c r="H13"/>
    </row>
    <row r="14" spans="1:8" ht="14.4" customHeight="1" x14ac:dyDescent="0.3">
      <c r="A14" s="29" t="s">
        <v>540</v>
      </c>
      <c r="C14" s="1"/>
      <c r="G14"/>
      <c r="H14"/>
    </row>
    <row r="15" spans="1:8" x14ac:dyDescent="0.3">
      <c r="A15" s="30" t="s">
        <v>552</v>
      </c>
      <c r="B15" s="41">
        <v>1695.7333333333333</v>
      </c>
      <c r="C15" s="1">
        <v>1150615.32</v>
      </c>
      <c r="G15"/>
      <c r="H15"/>
    </row>
    <row r="16" spans="1:8" x14ac:dyDescent="0.3">
      <c r="A16" s="30" t="s">
        <v>553</v>
      </c>
      <c r="B16" s="41">
        <v>859.2</v>
      </c>
      <c r="C16" s="1">
        <v>343850.44</v>
      </c>
      <c r="G16"/>
      <c r="H16"/>
    </row>
    <row r="17" spans="1:8" x14ac:dyDescent="0.3">
      <c r="A17" s="30" t="s">
        <v>554</v>
      </c>
      <c r="B17" s="41">
        <v>1300.6666666666667</v>
      </c>
      <c r="C17" s="1">
        <v>447465.55</v>
      </c>
      <c r="G17"/>
      <c r="H17"/>
    </row>
    <row r="18" spans="1:8" x14ac:dyDescent="0.3">
      <c r="A18" s="30" t="s">
        <v>543</v>
      </c>
      <c r="B18" s="41">
        <v>1553.0266666666666</v>
      </c>
      <c r="C18" s="1">
        <v>499530.02</v>
      </c>
      <c r="G18"/>
      <c r="H18"/>
    </row>
    <row r="19" spans="1:8" x14ac:dyDescent="0.3">
      <c r="A19" s="30" t="s">
        <v>544</v>
      </c>
      <c r="B19" s="41">
        <v>4533.1866666666665</v>
      </c>
      <c r="C19" s="1">
        <v>1483930.81</v>
      </c>
      <c r="G19"/>
      <c r="H19"/>
    </row>
    <row r="20" spans="1:8" x14ac:dyDescent="0.3">
      <c r="A20" s="30" t="s">
        <v>545</v>
      </c>
      <c r="B20" s="41">
        <v>4371.4800000000005</v>
      </c>
      <c r="C20" s="1">
        <v>1161031.78</v>
      </c>
      <c r="G20"/>
      <c r="H20"/>
    </row>
    <row r="21" spans="1:8" x14ac:dyDescent="0.3">
      <c r="A21" s="30" t="s">
        <v>546</v>
      </c>
      <c r="B21" s="41">
        <v>1863</v>
      </c>
      <c r="C21" s="1">
        <v>1186011.1599999999</v>
      </c>
      <c r="G21"/>
      <c r="H21"/>
    </row>
    <row r="22" spans="1:8" x14ac:dyDescent="0.3">
      <c r="A22" s="30" t="s">
        <v>547</v>
      </c>
      <c r="B22" s="41">
        <v>2409.6799999999998</v>
      </c>
      <c r="C22" s="1">
        <v>1054210.95</v>
      </c>
      <c r="G22"/>
      <c r="H22"/>
    </row>
    <row r="23" spans="1:8" x14ac:dyDescent="0.3">
      <c r="A23" s="30" t="s">
        <v>548</v>
      </c>
      <c r="B23" s="41">
        <v>2754.4933333333333</v>
      </c>
      <c r="C23" s="1">
        <v>1378826.2</v>
      </c>
      <c r="G23"/>
      <c r="H23"/>
    </row>
    <row r="24" spans="1:8" x14ac:dyDescent="0.3">
      <c r="A24" s="30" t="s">
        <v>549</v>
      </c>
      <c r="B24" s="41">
        <v>1291.5333333333333</v>
      </c>
      <c r="C24" s="1">
        <v>856407.9</v>
      </c>
      <c r="G24"/>
      <c r="H24"/>
    </row>
    <row r="25" spans="1:8" x14ac:dyDescent="0.3">
      <c r="A25" s="30" t="s">
        <v>550</v>
      </c>
      <c r="B25" s="41">
        <v>1964.1333333333334</v>
      </c>
      <c r="C25" s="1">
        <v>1360420.81</v>
      </c>
      <c r="G25"/>
      <c r="H25"/>
    </row>
    <row r="26" spans="1:8" x14ac:dyDescent="0.3">
      <c r="A26" s="30" t="s">
        <v>551</v>
      </c>
      <c r="B26" s="41">
        <v>1910.32</v>
      </c>
      <c r="C26" s="1">
        <v>1339063.48</v>
      </c>
      <c r="G26"/>
      <c r="H26"/>
    </row>
    <row r="27" spans="1:8" ht="12.6" customHeight="1" x14ac:dyDescent="0.3">
      <c r="A27" s="29" t="s">
        <v>541</v>
      </c>
      <c r="C27" s="1"/>
      <c r="G27"/>
      <c r="H27"/>
    </row>
    <row r="28" spans="1:8" x14ac:dyDescent="0.3">
      <c r="A28" s="30" t="s">
        <v>552</v>
      </c>
      <c r="B28" s="41">
        <v>1722.1466666666665</v>
      </c>
      <c r="C28" s="1">
        <v>1137405.72</v>
      </c>
      <c r="G28"/>
      <c r="H28"/>
    </row>
    <row r="29" spans="1:8" x14ac:dyDescent="0.3">
      <c r="A29" s="30" t="s">
        <v>553</v>
      </c>
      <c r="B29" s="41">
        <v>1311.8</v>
      </c>
      <c r="C29" s="1">
        <v>841499.83</v>
      </c>
      <c r="G29"/>
      <c r="H29"/>
    </row>
    <row r="30" spans="1:8" x14ac:dyDescent="0.3">
      <c r="A30" s="30" t="s">
        <v>554</v>
      </c>
      <c r="B30" s="41">
        <v>1348</v>
      </c>
      <c r="C30" s="1">
        <v>812404.3</v>
      </c>
      <c r="G30"/>
      <c r="H30"/>
    </row>
    <row r="31" spans="1:8" x14ac:dyDescent="0.3">
      <c r="A31" s="30" t="s">
        <v>543</v>
      </c>
      <c r="B31" s="41">
        <v>2609.7200000000003</v>
      </c>
      <c r="C31" s="1">
        <v>1050595.52</v>
      </c>
      <c r="G31"/>
      <c r="H31"/>
    </row>
    <row r="32" spans="1:8" x14ac:dyDescent="0.3">
      <c r="A32" s="30" t="s">
        <v>544</v>
      </c>
      <c r="B32" s="41">
        <v>2980.8133333333335</v>
      </c>
      <c r="C32" s="1">
        <v>1148047.03</v>
      </c>
      <c r="G32"/>
      <c r="H32"/>
    </row>
    <row r="33" spans="1:8" x14ac:dyDescent="0.3">
      <c r="A33" s="30" t="s">
        <v>545</v>
      </c>
      <c r="B33" s="41">
        <v>4389.72</v>
      </c>
      <c r="C33" s="1">
        <v>1662858.51</v>
      </c>
      <c r="G33"/>
      <c r="H33"/>
    </row>
    <row r="34" spans="1:8" x14ac:dyDescent="0.3">
      <c r="A34" s="30" t="s">
        <v>546</v>
      </c>
      <c r="B34" s="41">
        <v>1838.16</v>
      </c>
      <c r="C34" s="1">
        <v>999029.58</v>
      </c>
      <c r="G34"/>
      <c r="H34"/>
    </row>
    <row r="35" spans="1:8" x14ac:dyDescent="0.3">
      <c r="A35" s="30" t="s">
        <v>547</v>
      </c>
      <c r="B35" s="41">
        <v>1506.5333333333333</v>
      </c>
      <c r="C35" s="1">
        <v>828985.61</v>
      </c>
      <c r="G35"/>
      <c r="H35"/>
    </row>
    <row r="36" spans="1:8" x14ac:dyDescent="0.3">
      <c r="A36" s="30" t="s">
        <v>548</v>
      </c>
      <c r="B36" s="41">
        <v>1795.9466666666669</v>
      </c>
      <c r="C36" s="1">
        <v>1055602.42</v>
      </c>
      <c r="G36"/>
      <c r="H36"/>
    </row>
    <row r="37" spans="1:8" x14ac:dyDescent="0.3">
      <c r="A37" s="30" t="s">
        <v>549</v>
      </c>
      <c r="B37" s="41">
        <v>1407</v>
      </c>
      <c r="C37" s="1">
        <v>721498.98</v>
      </c>
      <c r="G37"/>
      <c r="H37"/>
    </row>
    <row r="38" spans="1:8" x14ac:dyDescent="0.3">
      <c r="A38" s="30" t="s">
        <v>550</v>
      </c>
      <c r="B38" s="41">
        <v>1443.5333333333333</v>
      </c>
      <c r="C38" s="1">
        <v>900923.78</v>
      </c>
      <c r="G38"/>
      <c r="H38"/>
    </row>
    <row r="39" spans="1:8" x14ac:dyDescent="0.3">
      <c r="A39" s="30" t="s">
        <v>551</v>
      </c>
      <c r="B39" s="41">
        <v>1267.1600000000001</v>
      </c>
      <c r="C39" s="1">
        <v>832966.74</v>
      </c>
      <c r="G39"/>
      <c r="H39"/>
    </row>
    <row r="40" spans="1:8" x14ac:dyDescent="0.3">
      <c r="A40" s="29" t="s">
        <v>542</v>
      </c>
      <c r="C40" s="1"/>
      <c r="D40" s="1"/>
      <c r="E40" s="1"/>
      <c r="G40"/>
      <c r="H40"/>
    </row>
    <row r="41" spans="1:8" x14ac:dyDescent="0.3">
      <c r="A41" s="30" t="s">
        <v>552</v>
      </c>
      <c r="B41" s="41">
        <v>1354.0133333333333</v>
      </c>
      <c r="C41" s="1">
        <v>849051.21</v>
      </c>
      <c r="D41" s="1"/>
      <c r="E41" s="1"/>
      <c r="G41"/>
      <c r="H41"/>
    </row>
    <row r="42" spans="1:8" x14ac:dyDescent="0.3">
      <c r="A42" s="30" t="s">
        <v>553</v>
      </c>
      <c r="B42" s="41">
        <v>1456.4533333333331</v>
      </c>
      <c r="C42" s="1">
        <v>868127.43</v>
      </c>
      <c r="D42" s="1"/>
      <c r="E42" s="1"/>
      <c r="G42"/>
      <c r="H42"/>
    </row>
    <row r="43" spans="1:8" x14ac:dyDescent="0.3">
      <c r="A43" s="30" t="s">
        <v>554</v>
      </c>
      <c r="B43" s="41">
        <v>1941.2133333333334</v>
      </c>
      <c r="C43" s="1">
        <v>1174840.47</v>
      </c>
      <c r="D43" s="1"/>
      <c r="E43" s="1"/>
      <c r="G43"/>
      <c r="H43"/>
    </row>
    <row r="44" spans="1:8" x14ac:dyDescent="0.3">
      <c r="A44" s="29" t="s">
        <v>10</v>
      </c>
      <c r="B44" s="41">
        <v>85716.613333333327</v>
      </c>
      <c r="C44" s="1">
        <v>46287754.200000003</v>
      </c>
      <c r="D44" s="1"/>
      <c r="E44" s="1"/>
      <c r="G44"/>
      <c r="H44"/>
    </row>
    <row r="45" spans="1:8" x14ac:dyDescent="0.3">
      <c r="G45"/>
      <c r="H45"/>
    </row>
    <row r="46" spans="1:8" x14ac:dyDescent="0.3">
      <c r="G46"/>
      <c r="H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14A1-2158-4C4D-A1D7-F1ABF7F8A69E}">
  <dimension ref="A1:I38"/>
  <sheetViews>
    <sheetView workbookViewId="0">
      <selection activeCell="I12" sqref="I12"/>
    </sheetView>
  </sheetViews>
  <sheetFormatPr defaultRowHeight="14.4" x14ac:dyDescent="0.3"/>
  <cols>
    <col min="2" max="2" width="8.88671875" customWidth="1"/>
    <col min="3" max="3" width="11.44140625" style="2" hidden="1" customWidth="1"/>
    <col min="4" max="4" width="14.21875" style="27" hidden="1" customWidth="1"/>
    <col min="5" max="5" width="19" hidden="1" customWidth="1"/>
    <col min="6" max="6" width="21.6640625" bestFit="1" customWidth="1"/>
    <col min="7" max="7" width="21.88671875" bestFit="1" customWidth="1"/>
    <col min="9" max="9" width="10.33203125" bestFit="1" customWidth="1"/>
  </cols>
  <sheetData>
    <row r="1" spans="1:9" x14ac:dyDescent="0.3">
      <c r="A1" s="34" t="s">
        <v>533</v>
      </c>
      <c r="B1" s="34" t="s">
        <v>558</v>
      </c>
      <c r="C1" s="36" t="s">
        <v>1</v>
      </c>
      <c r="D1" s="34" t="s">
        <v>561</v>
      </c>
      <c r="E1" s="34" t="s">
        <v>559</v>
      </c>
      <c r="F1" s="34" t="s">
        <v>563</v>
      </c>
      <c r="G1" s="35" t="s">
        <v>562</v>
      </c>
    </row>
    <row r="2" spans="1:9" x14ac:dyDescent="0.3">
      <c r="A2">
        <v>2021</v>
      </c>
      <c r="B2" s="30" t="s">
        <v>543</v>
      </c>
      <c r="C2" s="37">
        <v>44287</v>
      </c>
      <c r="D2" s="27">
        <v>2172.48</v>
      </c>
      <c r="E2" s="1">
        <v>927288.4</v>
      </c>
      <c r="F2" s="1"/>
      <c r="G2" s="33"/>
      <c r="I2" s="2"/>
    </row>
    <row r="3" spans="1:9" x14ac:dyDescent="0.3">
      <c r="A3">
        <v>2021</v>
      </c>
      <c r="B3" s="30" t="s">
        <v>544</v>
      </c>
      <c r="C3" s="37">
        <v>44317</v>
      </c>
      <c r="D3" s="27">
        <v>5733.7866666666669</v>
      </c>
      <c r="E3" s="1">
        <v>2928657.5</v>
      </c>
      <c r="F3" s="33">
        <f t="shared" ref="F3:G37" si="0">IFERROR((D3/D2)-1,0)</f>
        <v>1.6392816811508815</v>
      </c>
      <c r="G3" s="33">
        <f t="shared" si="0"/>
        <v>2.1583027459418234</v>
      </c>
    </row>
    <row r="4" spans="1:9" x14ac:dyDescent="0.3">
      <c r="A4">
        <v>2021</v>
      </c>
      <c r="B4" s="30" t="s">
        <v>545</v>
      </c>
      <c r="C4" s="37">
        <v>44348</v>
      </c>
      <c r="D4" s="27">
        <v>2301.3066666666664</v>
      </c>
      <c r="E4" s="1">
        <v>1428753.35</v>
      </c>
      <c r="F4" s="33">
        <f t="shared" si="0"/>
        <v>-0.59864103768539234</v>
      </c>
      <c r="G4" s="33">
        <f t="shared" si="0"/>
        <v>-0.51214734054767419</v>
      </c>
    </row>
    <row r="5" spans="1:9" x14ac:dyDescent="0.3">
      <c r="A5">
        <v>2021</v>
      </c>
      <c r="B5" s="30" t="s">
        <v>546</v>
      </c>
      <c r="C5" s="37">
        <v>44378</v>
      </c>
      <c r="D5" s="27">
        <v>3306.3066666666668</v>
      </c>
      <c r="E5" s="1">
        <v>1913769.58</v>
      </c>
      <c r="F5" s="33">
        <f t="shared" si="0"/>
        <v>0.43670842072329941</v>
      </c>
      <c r="G5" s="33">
        <f t="shared" si="0"/>
        <v>0.33946813143080301</v>
      </c>
    </row>
    <row r="6" spans="1:9" x14ac:dyDescent="0.3">
      <c r="A6">
        <v>2021</v>
      </c>
      <c r="B6" s="30" t="s">
        <v>547</v>
      </c>
      <c r="C6" s="37">
        <v>44409</v>
      </c>
      <c r="D6" s="27">
        <v>2032.6799999999996</v>
      </c>
      <c r="E6" s="1">
        <v>1228448.47</v>
      </c>
      <c r="F6" s="33">
        <f t="shared" si="0"/>
        <v>-0.38521129316498182</v>
      </c>
      <c r="G6" s="33">
        <f t="shared" si="0"/>
        <v>-0.35810011673401143</v>
      </c>
    </row>
    <row r="7" spans="1:9" x14ac:dyDescent="0.3">
      <c r="A7">
        <v>2021</v>
      </c>
      <c r="B7" s="30" t="s">
        <v>548</v>
      </c>
      <c r="C7" s="37">
        <v>44440</v>
      </c>
      <c r="D7" s="27">
        <v>2126.2800000000002</v>
      </c>
      <c r="E7" s="1">
        <v>1325301.45</v>
      </c>
      <c r="F7" s="33">
        <f t="shared" si="0"/>
        <v>4.6047582501918871E-2</v>
      </c>
      <c r="G7" s="33">
        <f t="shared" si="0"/>
        <v>7.884171161041853E-2</v>
      </c>
    </row>
    <row r="8" spans="1:9" x14ac:dyDescent="0.3">
      <c r="A8">
        <v>2021</v>
      </c>
      <c r="B8" s="30" t="s">
        <v>549</v>
      </c>
      <c r="C8" s="37">
        <v>44470</v>
      </c>
      <c r="D8" s="27">
        <v>4400.8533333333335</v>
      </c>
      <c r="E8" s="1">
        <v>2952288.57</v>
      </c>
      <c r="F8" s="33">
        <f t="shared" si="0"/>
        <v>1.069743088084981</v>
      </c>
      <c r="G8" s="33">
        <f t="shared" si="0"/>
        <v>1.2276355088874307</v>
      </c>
    </row>
    <row r="9" spans="1:9" x14ac:dyDescent="0.3">
      <c r="A9">
        <v>2021</v>
      </c>
      <c r="B9" s="30" t="s">
        <v>550</v>
      </c>
      <c r="C9" s="37">
        <v>44501</v>
      </c>
      <c r="D9" s="27">
        <v>4350.3999999999996</v>
      </c>
      <c r="E9" s="1">
        <v>3084828.72</v>
      </c>
      <c r="F9" s="33">
        <f t="shared" si="0"/>
        <v>-1.1464443259489143E-2</v>
      </c>
      <c r="G9" s="33">
        <f t="shared" si="0"/>
        <v>4.489403622221122E-2</v>
      </c>
    </row>
    <row r="10" spans="1:9" x14ac:dyDescent="0.3">
      <c r="A10">
        <v>2021</v>
      </c>
      <c r="B10" s="30" t="s">
        <v>551</v>
      </c>
      <c r="C10" s="37">
        <v>44531</v>
      </c>
      <c r="D10" s="27">
        <v>4413.8533333333335</v>
      </c>
      <c r="E10" s="1">
        <v>3353216.61</v>
      </c>
      <c r="F10" s="33">
        <f t="shared" si="0"/>
        <v>1.4585631972539037E-2</v>
      </c>
      <c r="G10" s="33">
        <f>IFERROR((E10/E9)-1,0)</f>
        <v>8.7002525702626343E-2</v>
      </c>
    </row>
    <row r="11" spans="1:9" x14ac:dyDescent="0.3">
      <c r="A11">
        <v>2022</v>
      </c>
      <c r="B11" s="30" t="s">
        <v>552</v>
      </c>
      <c r="C11" s="37">
        <v>44562</v>
      </c>
      <c r="D11" s="27">
        <v>1695.7333333333333</v>
      </c>
      <c r="E11" s="1">
        <v>1150615.32</v>
      </c>
      <c r="F11" s="33">
        <f t="shared" si="0"/>
        <v>-0.61581565918215075</v>
      </c>
      <c r="G11" s="33">
        <f t="shared" si="0"/>
        <v>-0.65686221505386133</v>
      </c>
    </row>
    <row r="12" spans="1:9" x14ac:dyDescent="0.3">
      <c r="A12">
        <v>2022</v>
      </c>
      <c r="B12" s="30" t="s">
        <v>553</v>
      </c>
      <c r="C12" s="37">
        <v>44593</v>
      </c>
      <c r="D12" s="27">
        <v>859.2</v>
      </c>
      <c r="E12" s="1">
        <v>343850.44</v>
      </c>
      <c r="F12" s="33">
        <f t="shared" si="0"/>
        <v>-0.49331655920742257</v>
      </c>
      <c r="G12" s="33">
        <f t="shared" si="0"/>
        <v>-0.70115951524094089</v>
      </c>
    </row>
    <row r="13" spans="1:9" x14ac:dyDescent="0.3">
      <c r="A13">
        <v>2022</v>
      </c>
      <c r="B13" s="30" t="s">
        <v>554</v>
      </c>
      <c r="C13" s="37">
        <v>44621</v>
      </c>
      <c r="D13" s="27">
        <v>1300.6666666666667</v>
      </c>
      <c r="E13" s="1">
        <v>447465.55</v>
      </c>
      <c r="F13" s="33">
        <f t="shared" si="0"/>
        <v>0.5138112973308504</v>
      </c>
      <c r="G13" s="33">
        <f t="shared" si="0"/>
        <v>0.30133772694896077</v>
      </c>
    </row>
    <row r="14" spans="1:9" x14ac:dyDescent="0.3">
      <c r="A14">
        <v>2022</v>
      </c>
      <c r="B14" s="30" t="s">
        <v>543</v>
      </c>
      <c r="C14" s="37">
        <v>44652</v>
      </c>
      <c r="D14" s="27">
        <v>1553.0266666666666</v>
      </c>
      <c r="E14" s="1">
        <v>499530.02</v>
      </c>
      <c r="F14" s="33">
        <f t="shared" si="0"/>
        <v>0.1940235776524859</v>
      </c>
      <c r="G14" s="33">
        <f t="shared" si="0"/>
        <v>0.11635414167638158</v>
      </c>
    </row>
    <row r="15" spans="1:9" x14ac:dyDescent="0.3">
      <c r="A15">
        <v>2022</v>
      </c>
      <c r="B15" s="30" t="s">
        <v>544</v>
      </c>
      <c r="C15" s="37">
        <v>44682</v>
      </c>
      <c r="D15" s="27">
        <v>4533.1866666666665</v>
      </c>
      <c r="E15" s="1">
        <v>1483930.81</v>
      </c>
      <c r="F15" s="33">
        <f t="shared" si="0"/>
        <v>1.9189367858032056</v>
      </c>
      <c r="G15" s="33">
        <f t="shared" si="0"/>
        <v>1.9706539158547467</v>
      </c>
    </row>
    <row r="16" spans="1:9" x14ac:dyDescent="0.3">
      <c r="A16">
        <v>2022</v>
      </c>
      <c r="B16" s="30" t="s">
        <v>545</v>
      </c>
      <c r="C16" s="37">
        <v>44713</v>
      </c>
      <c r="D16" s="27">
        <v>4371.4800000000005</v>
      </c>
      <c r="E16" s="1">
        <v>1161031.78</v>
      </c>
      <c r="F16" s="33">
        <f t="shared" si="0"/>
        <v>-3.5671742321074951E-2</v>
      </c>
      <c r="G16" s="33">
        <f t="shared" si="0"/>
        <v>-0.2175970926838563</v>
      </c>
    </row>
    <row r="17" spans="1:7" x14ac:dyDescent="0.3">
      <c r="A17">
        <v>2022</v>
      </c>
      <c r="B17" s="30" t="s">
        <v>546</v>
      </c>
      <c r="C17" s="37">
        <v>44743</v>
      </c>
      <c r="D17" s="27">
        <v>1863</v>
      </c>
      <c r="E17" s="1">
        <v>1186011.1599999999</v>
      </c>
      <c r="F17" s="33">
        <f t="shared" si="0"/>
        <v>-0.57382854319360954</v>
      </c>
      <c r="G17" s="33">
        <f t="shared" si="0"/>
        <v>2.1514811592840299E-2</v>
      </c>
    </row>
    <row r="18" spans="1:7" x14ac:dyDescent="0.3">
      <c r="A18">
        <v>2022</v>
      </c>
      <c r="B18" s="30" t="s">
        <v>547</v>
      </c>
      <c r="C18" s="37">
        <v>44774</v>
      </c>
      <c r="D18" s="27">
        <v>2409.6799999999998</v>
      </c>
      <c r="E18" s="1">
        <v>1054210.95</v>
      </c>
      <c r="F18" s="33">
        <f t="shared" si="0"/>
        <v>0.29344068706387527</v>
      </c>
      <c r="G18" s="33">
        <f t="shared" si="0"/>
        <v>-0.11112897959577372</v>
      </c>
    </row>
    <row r="19" spans="1:7" x14ac:dyDescent="0.3">
      <c r="A19">
        <v>2022</v>
      </c>
      <c r="B19" s="30" t="s">
        <v>548</v>
      </c>
      <c r="C19" s="37">
        <v>44805</v>
      </c>
      <c r="D19" s="27">
        <v>2754.4933333333333</v>
      </c>
      <c r="E19" s="1">
        <v>1378826.2</v>
      </c>
      <c r="F19" s="33">
        <f t="shared" si="0"/>
        <v>0.14309507209809325</v>
      </c>
      <c r="G19" s="33">
        <f t="shared" si="0"/>
        <v>0.30792247984143972</v>
      </c>
    </row>
    <row r="20" spans="1:7" x14ac:dyDescent="0.3">
      <c r="A20">
        <v>2022</v>
      </c>
      <c r="B20" s="30" t="s">
        <v>549</v>
      </c>
      <c r="C20" s="37">
        <v>44835</v>
      </c>
      <c r="D20" s="27">
        <v>1291.5333333333333</v>
      </c>
      <c r="E20" s="1">
        <v>856407.9</v>
      </c>
      <c r="F20" s="33">
        <f t="shared" si="0"/>
        <v>-0.53111764050980947</v>
      </c>
      <c r="G20" s="33">
        <f t="shared" si="0"/>
        <v>-0.37888625847115465</v>
      </c>
    </row>
    <row r="21" spans="1:7" x14ac:dyDescent="0.3">
      <c r="A21">
        <v>2022</v>
      </c>
      <c r="B21" s="30" t="s">
        <v>550</v>
      </c>
      <c r="C21" s="37">
        <v>44866</v>
      </c>
      <c r="D21" s="27">
        <v>1964.1333333333334</v>
      </c>
      <c r="E21" s="1">
        <v>1360420.81</v>
      </c>
      <c r="F21" s="33">
        <f t="shared" si="0"/>
        <v>0.52077633820265334</v>
      </c>
      <c r="G21" s="33">
        <f t="shared" si="0"/>
        <v>0.58851968787303344</v>
      </c>
    </row>
    <row r="22" spans="1:7" x14ac:dyDescent="0.3">
      <c r="A22">
        <v>2022</v>
      </c>
      <c r="B22" s="30" t="s">
        <v>551</v>
      </c>
      <c r="C22" s="37">
        <v>44896</v>
      </c>
      <c r="D22" s="27">
        <v>1910.32</v>
      </c>
      <c r="E22" s="1">
        <v>1339063.48</v>
      </c>
      <c r="F22" s="33">
        <f t="shared" si="0"/>
        <v>-2.7398004208811444E-2</v>
      </c>
      <c r="G22" s="33">
        <f t="shared" si="0"/>
        <v>-1.5699061527881253E-2</v>
      </c>
    </row>
    <row r="23" spans="1:7" x14ac:dyDescent="0.3">
      <c r="A23">
        <v>2023</v>
      </c>
      <c r="B23" s="30" t="s">
        <v>552</v>
      </c>
      <c r="C23" s="37">
        <v>44927</v>
      </c>
      <c r="D23" s="27">
        <v>1722.1466666666665</v>
      </c>
      <c r="E23" s="1">
        <v>1137405.72</v>
      </c>
      <c r="F23" s="33">
        <f t="shared" si="0"/>
        <v>-9.8503566592682557E-2</v>
      </c>
      <c r="G23" s="33">
        <f t="shared" si="0"/>
        <v>-0.1505961166232388</v>
      </c>
    </row>
    <row r="24" spans="1:7" x14ac:dyDescent="0.3">
      <c r="A24">
        <v>2023</v>
      </c>
      <c r="B24" s="30" t="s">
        <v>553</v>
      </c>
      <c r="C24" s="37">
        <v>44958</v>
      </c>
      <c r="D24" s="27">
        <v>1311.8</v>
      </c>
      <c r="E24" s="1">
        <v>841499.83</v>
      </c>
      <c r="F24" s="33">
        <f t="shared" si="0"/>
        <v>-0.23827625986172296</v>
      </c>
      <c r="G24" s="33">
        <f t="shared" si="0"/>
        <v>-0.26015860901420473</v>
      </c>
    </row>
    <row r="25" spans="1:7" x14ac:dyDescent="0.3">
      <c r="A25">
        <v>2023</v>
      </c>
      <c r="B25" s="30" t="s">
        <v>554</v>
      </c>
      <c r="C25" s="37">
        <v>44986</v>
      </c>
      <c r="D25" s="27">
        <v>1348</v>
      </c>
      <c r="E25" s="1">
        <v>812404.3</v>
      </c>
      <c r="F25" s="33">
        <f t="shared" si="0"/>
        <v>2.7595670071657308E-2</v>
      </c>
      <c r="G25" s="33">
        <f t="shared" si="0"/>
        <v>-3.4575800211391505E-2</v>
      </c>
    </row>
    <row r="26" spans="1:7" x14ac:dyDescent="0.3">
      <c r="A26">
        <v>2023</v>
      </c>
      <c r="B26" s="30" t="s">
        <v>543</v>
      </c>
      <c r="C26" s="37">
        <v>45017</v>
      </c>
      <c r="D26" s="27">
        <v>2609.7200000000003</v>
      </c>
      <c r="E26" s="1">
        <v>1050595.52</v>
      </c>
      <c r="F26" s="33">
        <f t="shared" si="0"/>
        <v>0.93599406528189921</v>
      </c>
      <c r="G26" s="33">
        <f t="shared" si="0"/>
        <v>0.29319295823520375</v>
      </c>
    </row>
    <row r="27" spans="1:7" x14ac:dyDescent="0.3">
      <c r="A27">
        <v>2023</v>
      </c>
      <c r="B27" s="30" t="s">
        <v>544</v>
      </c>
      <c r="C27" s="37">
        <v>45047</v>
      </c>
      <c r="D27" s="27">
        <v>2980.8133333333335</v>
      </c>
      <c r="E27" s="1">
        <v>1148047.03</v>
      </c>
      <c r="F27" s="33">
        <f t="shared" si="0"/>
        <v>0.14219660857614347</v>
      </c>
      <c r="G27" s="33">
        <f t="shared" si="0"/>
        <v>9.2758352900648156E-2</v>
      </c>
    </row>
    <row r="28" spans="1:7" x14ac:dyDescent="0.3">
      <c r="A28">
        <v>2023</v>
      </c>
      <c r="B28" s="30" t="s">
        <v>545</v>
      </c>
      <c r="C28" s="37">
        <v>45078</v>
      </c>
      <c r="D28" s="27">
        <v>4389.72</v>
      </c>
      <c r="E28" s="1">
        <v>1662858.51</v>
      </c>
      <c r="F28" s="33">
        <f t="shared" si="0"/>
        <v>0.47265846905318898</v>
      </c>
      <c r="G28" s="33">
        <f t="shared" si="0"/>
        <v>0.44842368522132747</v>
      </c>
    </row>
    <row r="29" spans="1:7" x14ac:dyDescent="0.3">
      <c r="A29">
        <v>2023</v>
      </c>
      <c r="B29" s="30" t="s">
        <v>546</v>
      </c>
      <c r="C29" s="37">
        <v>45108</v>
      </c>
      <c r="D29" s="27">
        <v>1838.16</v>
      </c>
      <c r="E29" s="1">
        <v>999029.58</v>
      </c>
      <c r="F29" s="33">
        <f t="shared" si="0"/>
        <v>-0.58125803012492827</v>
      </c>
      <c r="G29" s="33">
        <f t="shared" si="0"/>
        <v>-0.39920950941280031</v>
      </c>
    </row>
    <row r="30" spans="1:7" x14ac:dyDescent="0.3">
      <c r="A30">
        <v>2023</v>
      </c>
      <c r="B30" s="30" t="s">
        <v>547</v>
      </c>
      <c r="C30" s="37">
        <v>45139</v>
      </c>
      <c r="D30" s="27">
        <v>1506.5333333333333</v>
      </c>
      <c r="E30" s="1">
        <v>828985.61</v>
      </c>
      <c r="F30" s="33">
        <f t="shared" si="0"/>
        <v>-0.18041229635432543</v>
      </c>
      <c r="G30" s="33">
        <f t="shared" si="0"/>
        <v>-0.17020914435786771</v>
      </c>
    </row>
    <row r="31" spans="1:7" x14ac:dyDescent="0.3">
      <c r="A31">
        <v>2023</v>
      </c>
      <c r="B31" s="30" t="s">
        <v>548</v>
      </c>
      <c r="C31" s="37">
        <v>45170</v>
      </c>
      <c r="D31" s="27">
        <v>1795.9466666666669</v>
      </c>
      <c r="E31" s="1">
        <v>1055602.42</v>
      </c>
      <c r="F31" s="33">
        <f t="shared" si="0"/>
        <v>0.19210549606159866</v>
      </c>
      <c r="G31" s="33">
        <f t="shared" si="0"/>
        <v>0.27336639775930482</v>
      </c>
    </row>
    <row r="32" spans="1:7" x14ac:dyDescent="0.3">
      <c r="A32">
        <v>2023</v>
      </c>
      <c r="B32" s="30" t="s">
        <v>549</v>
      </c>
      <c r="C32" s="37">
        <v>45200</v>
      </c>
      <c r="D32" s="27">
        <v>1407</v>
      </c>
      <c r="E32" s="1">
        <v>721498.98</v>
      </c>
      <c r="F32" s="33">
        <f t="shared" si="0"/>
        <v>-0.21656916315258079</v>
      </c>
      <c r="G32" s="33">
        <f t="shared" si="0"/>
        <v>-0.31650499626554474</v>
      </c>
    </row>
    <row r="33" spans="1:7" x14ac:dyDescent="0.3">
      <c r="A33">
        <v>2023</v>
      </c>
      <c r="B33" s="30" t="s">
        <v>550</v>
      </c>
      <c r="C33" s="37">
        <v>45231</v>
      </c>
      <c r="D33" s="27">
        <v>1443.5333333333333</v>
      </c>
      <c r="E33" s="1">
        <v>900923.78</v>
      </c>
      <c r="F33" s="33">
        <f t="shared" si="0"/>
        <v>2.59654110400378E-2</v>
      </c>
      <c r="G33" s="33">
        <f t="shared" si="0"/>
        <v>0.24868337305203125</v>
      </c>
    </row>
    <row r="34" spans="1:7" x14ac:dyDescent="0.3">
      <c r="A34">
        <v>2023</v>
      </c>
      <c r="B34" s="30" t="s">
        <v>551</v>
      </c>
      <c r="C34" s="37">
        <v>45261</v>
      </c>
      <c r="D34" s="27">
        <v>1267.1600000000001</v>
      </c>
      <c r="E34" s="1">
        <v>832966.74</v>
      </c>
      <c r="F34" s="33">
        <f t="shared" si="0"/>
        <v>-0.12218168383133965</v>
      </c>
      <c r="G34" s="33">
        <f t="shared" si="0"/>
        <v>-7.5430398784678609E-2</v>
      </c>
    </row>
    <row r="35" spans="1:7" x14ac:dyDescent="0.3">
      <c r="A35">
        <v>2024</v>
      </c>
      <c r="B35" s="30" t="s">
        <v>552</v>
      </c>
      <c r="C35" s="37">
        <v>45292</v>
      </c>
      <c r="D35" s="27">
        <v>1354.0133333333333</v>
      </c>
      <c r="E35" s="1">
        <v>849051.21</v>
      </c>
      <c r="F35" s="33">
        <f t="shared" si="0"/>
        <v>6.8541725854140978E-2</v>
      </c>
      <c r="G35" s="33">
        <f t="shared" si="0"/>
        <v>1.9309858638533406E-2</v>
      </c>
    </row>
    <row r="36" spans="1:7" x14ac:dyDescent="0.3">
      <c r="A36">
        <v>2024</v>
      </c>
      <c r="B36" s="30" t="s">
        <v>553</v>
      </c>
      <c r="C36" s="37">
        <v>45323</v>
      </c>
      <c r="D36" s="27">
        <v>1456.4533333333331</v>
      </c>
      <c r="E36" s="1">
        <v>868127.43</v>
      </c>
      <c r="F36" s="33">
        <f t="shared" si="0"/>
        <v>7.565656665123921E-2</v>
      </c>
      <c r="G36" s="33">
        <f t="shared" si="0"/>
        <v>2.2467690729750078E-2</v>
      </c>
    </row>
    <row r="37" spans="1:7" x14ac:dyDescent="0.3">
      <c r="A37">
        <v>2024</v>
      </c>
      <c r="B37" s="30" t="s">
        <v>554</v>
      </c>
      <c r="C37" s="37">
        <v>45352</v>
      </c>
      <c r="D37" s="27">
        <v>1941.2133333333334</v>
      </c>
      <c r="E37" s="1">
        <v>1174840.47</v>
      </c>
      <c r="F37" s="33">
        <f t="shared" si="0"/>
        <v>0.33283593020488156</v>
      </c>
      <c r="G37" s="33">
        <f t="shared" si="0"/>
        <v>0.35330416872094439</v>
      </c>
    </row>
    <row r="38" spans="1:7" x14ac:dyDescent="0.3">
      <c r="G38" s="33"/>
    </row>
  </sheetData>
  <phoneticPr fontId="6" type="noConversion"/>
  <conditionalFormatting sqref="F3:G3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{06603D76-92BC-41EF-ABE2-A59B5B3227FB}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603D76-92BC-41EF-ABE2-A59B5B322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F3:G37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51FD-0610-469B-B27D-72B95F14A8B2}">
  <dimension ref="B2:AK39"/>
  <sheetViews>
    <sheetView showGridLines="0" topLeftCell="C1" zoomScale="85" zoomScaleNormal="85" workbookViewId="0">
      <selection activeCell="AA33" sqref="AA33"/>
    </sheetView>
  </sheetViews>
  <sheetFormatPr defaultRowHeight="14.4" x14ac:dyDescent="0.3"/>
  <cols>
    <col min="1" max="1" width="2.21875" style="39" customWidth="1"/>
    <col min="2" max="36" width="8.88671875" style="39"/>
    <col min="37" max="37" width="3.77734375" style="39" customWidth="1"/>
    <col min="38" max="16384" width="8.88671875" style="39"/>
  </cols>
  <sheetData>
    <row r="2" spans="2:37" x14ac:dyDescent="0.3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</row>
    <row r="3" spans="2:37" x14ac:dyDescent="0.3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</row>
    <row r="4" spans="2:37" x14ac:dyDescent="0.3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</row>
    <row r="5" spans="2:37" x14ac:dyDescent="0.3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</row>
    <row r="6" spans="2:37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</row>
    <row r="7" spans="2:37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</row>
    <row r="8" spans="2:37" x14ac:dyDescent="0.3"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spans="2:37" x14ac:dyDescent="0.3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</row>
    <row r="10" spans="2:37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</row>
    <row r="11" spans="2:37" x14ac:dyDescent="0.3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</row>
    <row r="12" spans="2:37" x14ac:dyDescent="0.3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2:37" x14ac:dyDescent="0.3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</row>
    <row r="14" spans="2:37" x14ac:dyDescent="0.3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</row>
    <row r="15" spans="2:37" x14ac:dyDescent="0.3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2:37" x14ac:dyDescent="0.3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2:37" x14ac:dyDescent="0.3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2:37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</row>
    <row r="19" spans="2:37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  <row r="20" spans="2:37" x14ac:dyDescent="0.3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1" spans="2:37" x14ac:dyDescent="0.3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</row>
    <row r="22" spans="2:37" x14ac:dyDescent="0.3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</row>
    <row r="23" spans="2:37" x14ac:dyDescent="0.3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</row>
    <row r="24" spans="2:37" x14ac:dyDescent="0.3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</row>
    <row r="25" spans="2:37" x14ac:dyDescent="0.3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</row>
    <row r="26" spans="2:37" x14ac:dyDescent="0.3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</row>
    <row r="27" spans="2:37" x14ac:dyDescent="0.3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</row>
    <row r="28" spans="2:37" x14ac:dyDescent="0.3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</row>
    <row r="29" spans="2:37" x14ac:dyDescent="0.3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spans="2:37" x14ac:dyDescent="0.3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</row>
    <row r="31" spans="2:37" x14ac:dyDescent="0.3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</row>
    <row r="32" spans="2:37" x14ac:dyDescent="0.3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</row>
    <row r="33" spans="2:37" x14ac:dyDescent="0.3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</row>
    <row r="34" spans="2:37" x14ac:dyDescent="0.3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</row>
    <row r="35" spans="2:37" x14ac:dyDescent="0.3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</row>
    <row r="36" spans="2:37" x14ac:dyDescent="0.3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spans="2:37" x14ac:dyDescent="0.3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</row>
    <row r="38" spans="2:37" x14ac:dyDescent="0.3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</row>
    <row r="39" spans="2:37" ht="9" customHeight="1" x14ac:dyDescent="0.3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597491-4544-4E12-ABBE-EB8D1FF4FF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 23-24</vt:lpstr>
      <vt:lpstr>BAR 22-23</vt:lpstr>
      <vt:lpstr>BAR 21-22</vt:lpstr>
      <vt:lpstr>BAR 21-24</vt:lpstr>
      <vt:lpstr>PivotTable</vt:lpstr>
      <vt:lpstr>MoM</vt:lpstr>
      <vt:lpstr>PivotChart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Das</dc:creator>
  <cp:lastModifiedBy>Prayag Das</cp:lastModifiedBy>
  <dcterms:created xsi:type="dcterms:W3CDTF">2025-06-30T18:45:13Z</dcterms:created>
  <dcterms:modified xsi:type="dcterms:W3CDTF">2025-07-20T19:58:07Z</dcterms:modified>
</cp:coreProperties>
</file>