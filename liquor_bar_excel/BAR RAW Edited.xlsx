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iquor Shop Data\BAR\"/>
    </mc:Choice>
  </mc:AlternateContent>
  <xr:revisionPtr revIDLastSave="0" documentId="13_ncr:1_{DC144254-E905-429E-A7A2-534D5E27E3F6}" xr6:coauthVersionLast="47" xr6:coauthVersionMax="47" xr10:uidLastSave="{00000000-0000-0000-0000-000000000000}"/>
  <bookViews>
    <workbookView xWindow="-108" yWindow="-108" windowWidth="23256" windowHeight="12456" xr2:uid="{8C1AF871-5307-49F6-8C32-51F215210BC6}"/>
  </bookViews>
  <sheets>
    <sheet name="BAR 21-24" sheetId="1" r:id="rId1"/>
    <sheet name="Pivot Chart" sheetId="2" r:id="rId2"/>
  </sheets>
  <externalReferences>
    <externalReference r:id="rId3"/>
  </externalReferences>
  <definedNames>
    <definedName name="_xlcn.WorksheetConnection_CombinedA1R5211" hidden="1">'[1]BAR 21-24'!$A$1:$R$521</definedName>
    <definedName name="_xlcn.WorksheetConnection_CombinedA1S5211" hidden="1">'[1]BAR 21-24'!$A$1:$S$521</definedName>
  </definedNames>
  <calcPr calcId="191029"/>
  <extLst>
    <ext xmlns:x15="http://schemas.microsoft.com/office/spreadsheetml/2010/11/main" uri="{841E416B-1EF1-43b6-AB56-02D37102CBD5}">
      <x15:pivotCaches>
        <pivotCache cacheId="52" r:id="rId4"/>
        <pivotCache cacheId="55" r:id="rId5"/>
      </x15:pivotCaches>
    </ext>
    <ext xmlns:x15="http://schemas.microsoft.com/office/spreadsheetml/2010/11/main" uri="{983426D0-5260-488c-9760-48F4B6AC55F4}">
      <x15:pivotTableReferences>
        <x15:pivotTableReference r:id="rId6"/>
        <x15:pivotTableReference r:id="rId7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-07d5eff1-ae22-4ffb-a097-66061f94724d" name="Range 1" connection="WorksheetConnection_Combined!$A$1:$S$521"/>
          <x15:modelTable id="Range-5100d864-00f3-452d-ba00-2ef2460ce6ba" name="Range" connection="WorksheetConnection_Combined!$A$1:$R$5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2" i="1"/>
  <c r="L2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PRAYAG</author>
  </authors>
  <commentList>
    <comment ref="B1" authorId="0" shapeId="0" xr:uid="{3EFDE712-694C-45D9-AB7F-287A53E39148}">
      <text>
        <r>
          <rPr>
            <b/>
            <sz val="9"/>
            <color indexed="81"/>
            <rFont val="Tahoma"/>
            <charset val="1"/>
          </rPr>
          <t>PRAYAG:</t>
        </r>
        <r>
          <rPr>
            <sz val="9"/>
            <color indexed="81"/>
            <rFont val="Tahoma"/>
            <charset val="1"/>
          </rPr>
          <t xml:space="preserve">
=IF(ISNUMBER(SEARCH("OSBC", B2)), "GOVT", "RETAIL")</t>
        </r>
      </text>
    </comment>
    <comment ref="D1" authorId="0" shapeId="0" xr:uid="{DD01F239-0F39-4238-8F9E-7D3E283F81D6}">
      <text>
        <r>
          <rPr>
            <b/>
            <sz val="9"/>
            <color indexed="81"/>
            <rFont val="Tahoma"/>
            <charset val="1"/>
          </rPr>
          <t>PRAYAG:</t>
        </r>
        <r>
          <rPr>
            <sz val="9"/>
            <color indexed="81"/>
            <rFont val="Tahoma"/>
            <charset val="1"/>
          </rPr>
          <t xml:space="preserve">
Credited to Govt account
</t>
        </r>
      </text>
    </comment>
    <comment ref="B2" authorId="0" shapeId="0" xr:uid="{E3BEBCC7-DA65-4D52-9F3A-BB8AC009E3B9}">
      <text>
        <r>
          <rPr>
            <b/>
            <sz val="9"/>
            <color indexed="81"/>
            <rFont val="Tahoma"/>
            <charset val="1"/>
          </rPr>
          <t>PRAYAG:</t>
        </r>
        <r>
          <rPr>
            <sz val="9"/>
            <color indexed="81"/>
            <rFont val="Tahoma"/>
            <charset val="1"/>
          </rPr>
          <t xml:space="preserve">
OSBC: Invoice for Govt</t>
        </r>
      </text>
    </comment>
    <comment ref="B3" authorId="0" shapeId="0" xr:uid="{A81D5DD9-9173-4CE0-905B-4368D7299CBE}">
      <text>
        <r>
          <rPr>
            <b/>
            <sz val="9"/>
            <color indexed="81"/>
            <rFont val="Tahoma"/>
            <charset val="1"/>
          </rPr>
          <t>PRAYAG:</t>
        </r>
        <r>
          <rPr>
            <sz val="9"/>
            <color indexed="81"/>
            <rFont val="Tahoma"/>
            <charset val="1"/>
          </rPr>
          <t xml:space="preserve">
INV(BAL): Invoice for retailer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D26E17-5578-4C27-82D3-E0B5AC9FE7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A906529-FFF3-48F2-A29C-3F8EF8DE6A2B}" name="WorksheetConnection_Combined!$A$1:$R$521" type="102" refreshedVersion="8" minRefreshableVersion="5">
    <extLst>
      <ext xmlns:x15="http://schemas.microsoft.com/office/spreadsheetml/2010/11/main" uri="{DE250136-89BD-433C-8126-D09CA5730AF9}">
        <x15:connection id="Range-5100d864-00f3-452d-ba00-2ef2460ce6ba" autoDelete="1">
          <x15:rangePr sourceName="_xlcn.WorksheetConnection_CombinedA1R5211"/>
        </x15:connection>
      </ext>
    </extLst>
  </connection>
  <connection id="3" xr16:uid="{AC956C5D-EE7D-4D86-BAE1-119CB30C059B}" name="WorksheetConnection_Combined!$A$1:$S$521" type="102" refreshedVersion="8" minRefreshableVersion="5">
    <extLst>
      <ext xmlns:x15="http://schemas.microsoft.com/office/spreadsheetml/2010/11/main" uri="{DE250136-89BD-433C-8126-D09CA5730AF9}">
        <x15:connection id="Range 1-07d5eff1-ae22-4ffb-a097-66061f94724d" autoDelete="1">
          <x15:rangePr sourceName="_xlcn.WorksheetConnection_CombinedA1S5211"/>
        </x15:connection>
      </ext>
    </extLst>
  </connection>
</connections>
</file>

<file path=xl/sharedStrings.xml><?xml version="1.0" encoding="utf-8"?>
<sst xmlns="http://schemas.openxmlformats.org/spreadsheetml/2006/main" count="535" uniqueCount="17">
  <si>
    <t>Date</t>
  </si>
  <si>
    <t>Invoice Type</t>
  </si>
  <si>
    <t>GOVT</t>
  </si>
  <si>
    <t>RETAIL</t>
  </si>
  <si>
    <t>Oppening Balance</t>
  </si>
  <si>
    <t>Credit Amount</t>
  </si>
  <si>
    <t>BL</t>
  </si>
  <si>
    <t>LPL</t>
  </si>
  <si>
    <t>Sale Amount</t>
  </si>
  <si>
    <t>VAT</t>
  </si>
  <si>
    <t>TCS</t>
  </si>
  <si>
    <t>Grand Total</t>
  </si>
  <si>
    <t>Closing Balance</t>
  </si>
  <si>
    <t>VAT %</t>
  </si>
  <si>
    <t>TCS %</t>
  </si>
  <si>
    <t>Volume(Liters)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</si>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</sst>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-0.2499465926084170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ashDot">
        <color rgb="FF00B0F0"/>
      </left>
      <right/>
      <top style="medium">
        <color rgb="FF00B0F0"/>
      </top>
      <bottom/>
      <diagonal/>
    </border>
    <border>
      <left style="dashDot">
        <color rgb="FF00B0F0"/>
      </left>
      <right style="dashDot">
        <color rgb="FF00B0F0"/>
      </right>
      <top style="dashDot">
        <color rgb="FF00B0F0"/>
      </top>
      <bottom style="dashDot">
        <color rgb="FF00B0F0"/>
      </bottom>
      <diagonal/>
    </border>
    <border>
      <left style="dashDot">
        <color rgb="FF00B0F0"/>
      </left>
      <right/>
      <top style="dashDot">
        <color rgb="FF00B0F0"/>
      </top>
      <bottom/>
      <diagonal/>
    </border>
    <border>
      <left style="dashDot">
        <color rgb="FF00B0F0"/>
      </left>
      <right/>
      <top style="dashDot">
        <color rgb="FF00B0F0"/>
      </top>
      <bottom style="medium">
        <color rgb="FF00B0F0"/>
      </bottom>
      <diagonal/>
    </border>
    <border>
      <left style="dashDot">
        <color rgb="FF00B0F0"/>
      </left>
      <right style="medium">
        <color rgb="FF00B0F0"/>
      </right>
      <top style="medium">
        <color rgb="FF00B0F0"/>
      </top>
      <bottom/>
      <diagonal/>
    </border>
    <border>
      <left style="dashDot">
        <color rgb="FF00B0F0"/>
      </left>
      <right style="medium">
        <color rgb="FF00B0F0"/>
      </right>
      <top style="dashDot">
        <color rgb="FF00B0F0"/>
      </top>
      <bottom/>
      <diagonal/>
    </border>
    <border>
      <left style="dashDot">
        <color rgb="FF00B0F0"/>
      </left>
      <right style="medium">
        <color rgb="FF00B0F0"/>
      </right>
      <top style="dashDot">
        <color rgb="FF00B0F0"/>
      </top>
      <bottom style="medium">
        <color rgb="FF00B0F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2" fillId="2" borderId="1" xfId="0" applyNumberFormat="1" applyFont="1" applyFill="1" applyBorder="1"/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  <xf numFmtId="164" fontId="2" fillId="2" borderId="1" xfId="0" applyNumberFormat="1" applyFont="1" applyFill="1" applyBorder="1"/>
    <xf numFmtId="164" fontId="0" fillId="0" borderId="3" xfId="0" applyNumberFormat="1" applyBorder="1"/>
    <xf numFmtId="164" fontId="0" fillId="0" borderId="4" xfId="0" applyNumberFormat="1" applyBorder="1"/>
    <xf numFmtId="164" fontId="2" fillId="2" borderId="5" xfId="0" applyNumberFormat="1" applyFont="1" applyFill="1" applyBorder="1"/>
    <xf numFmtId="164" fontId="0" fillId="0" borderId="6" xfId="0" applyNumberFormat="1" applyBorder="1"/>
    <xf numFmtId="9" fontId="0" fillId="0" borderId="0" xfId="1" applyFont="1"/>
    <xf numFmtId="164" fontId="0" fillId="0" borderId="7" xfId="0" applyNumberFormat="1" applyBorder="1"/>
    <xf numFmtId="9" fontId="0" fillId="0" borderId="0" xfId="1" applyFont="1" applyBorder="1"/>
    <xf numFmtId="2" fontId="0" fillId="0" borderId="0" xfId="1" applyNumberFormat="1" applyFont="1" applyBorder="1"/>
    <xf numFmtId="164" fontId="2" fillId="3" borderId="0" xfId="0" applyNumberFormat="1" applyFont="1" applyFill="1"/>
    <xf numFmtId="2" fontId="2" fillId="3" borderId="0" xfId="0" applyNumberFormat="1" applyFont="1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pivotTable" Target="pivotTables/pivotTable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Table" Target="pivotTables/pivotTabl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Comparison between the volume of beer and liquor </a:t>
            </a:r>
            <a:r>
              <a:rPr lang="en-IN" b="1" baseline="0"/>
              <a:t>Liters</a:t>
            </a:r>
            <a:r>
              <a:rPr lang="en-IN" baseline="0"/>
              <a:t>,</a:t>
            </a:r>
            <a:r>
              <a:rPr lang="en-IN" b="1" baseline="0"/>
              <a:t> Beer </a:t>
            </a:r>
            <a:r>
              <a:rPr lang="en-IN" baseline="0"/>
              <a:t>has much more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Beer</c:v>
          </c:tx>
          <c:spPr>
            <a:ln w="28575" cap="rnd">
              <a:solidFill>
                <a:srgbClr val="4A9782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1372.1999999999998</c:v>
              </c:pt>
              <c:pt idx="1">
                <c:v>2992.2</c:v>
              </c:pt>
              <c:pt idx="2">
                <c:v>808.2</c:v>
              </c:pt>
              <c:pt idx="3">
                <c:v>1393.8</c:v>
              </c:pt>
              <c:pt idx="4">
                <c:v>744.6</c:v>
              </c:pt>
              <c:pt idx="5">
                <c:v>719.4</c:v>
              </c:pt>
              <c:pt idx="6">
                <c:v>1528.2</c:v>
              </c:pt>
              <c:pt idx="7">
                <c:v>1114.8000000000002</c:v>
              </c:pt>
              <c:pt idx="8">
                <c:v>861.6</c:v>
              </c:pt>
              <c:pt idx="9">
                <c:v>510</c:v>
              </c:pt>
              <c:pt idx="10">
                <c:v>634.20000000000005</c:v>
              </c:pt>
              <c:pt idx="11">
                <c:v>1050</c:v>
              </c:pt>
              <c:pt idx="12">
                <c:v>1320.72</c:v>
              </c:pt>
              <c:pt idx="13">
                <c:v>3777.7200000000003</c:v>
              </c:pt>
              <c:pt idx="14">
                <c:v>4026.9600000000005</c:v>
              </c:pt>
              <c:pt idx="15">
                <c:v>736.2</c:v>
              </c:pt>
              <c:pt idx="16">
                <c:v>1690.92</c:v>
              </c:pt>
              <c:pt idx="17">
                <c:v>1621.56</c:v>
              </c:pt>
              <c:pt idx="18">
                <c:v>444.72</c:v>
              </c:pt>
              <c:pt idx="19">
                <c:v>582</c:v>
              </c:pt>
              <c:pt idx="20">
                <c:v>621</c:v>
              </c:pt>
              <c:pt idx="21">
                <c:v>606</c:v>
              </c:pt>
              <c:pt idx="22">
                <c:v>532.20000000000005</c:v>
              </c:pt>
              <c:pt idx="23">
                <c:v>600.6</c:v>
              </c:pt>
              <c:pt idx="24">
                <c:v>2014.2</c:v>
              </c:pt>
              <c:pt idx="25">
                <c:v>2413.8000000000002</c:v>
              </c:pt>
              <c:pt idx="26">
                <c:v>3464.4</c:v>
              </c:pt>
              <c:pt idx="27">
                <c:v>1023</c:v>
              </c:pt>
              <c:pt idx="28">
                <c:v>818.4</c:v>
              </c:pt>
              <c:pt idx="29">
                <c:v>922.8</c:v>
              </c:pt>
              <c:pt idx="30">
                <c:v>850.2</c:v>
              </c:pt>
              <c:pt idx="31">
                <c:v>697.8</c:v>
              </c:pt>
              <c:pt idx="32">
                <c:v>582</c:v>
              </c:pt>
              <c:pt idx="33">
                <c:v>621.6</c:v>
              </c:pt>
              <c:pt idx="34">
                <c:v>704.4</c:v>
              </c:pt>
              <c:pt idx="35">
                <c:v>979.2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63-4A9F-B45E-CB084AEEAA75}"/>
            </c:ext>
          </c:extLst>
        </c:ser>
        <c:ser>
          <c:idx val="1"/>
          <c:order val="1"/>
          <c:tx>
            <c:v>Liquor</c:v>
          </c:tx>
          <c:spPr>
            <a:ln w="28575" cap="rnd">
              <a:solidFill>
                <a:srgbClr val="004030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800.27999999999986</c:v>
              </c:pt>
              <c:pt idx="1">
                <c:v>2741.5866666666666</c:v>
              </c:pt>
              <c:pt idx="2">
                <c:v>1493.1066666666666</c:v>
              </c:pt>
              <c:pt idx="3">
                <c:v>1912.5066666666667</c:v>
              </c:pt>
              <c:pt idx="4">
                <c:v>1288.08</c:v>
              </c:pt>
              <c:pt idx="5">
                <c:v>1406.8799999999999</c:v>
              </c:pt>
              <c:pt idx="6">
                <c:v>2872.6533333333336</c:v>
              </c:pt>
              <c:pt idx="7">
                <c:v>3235.5999999999995</c:v>
              </c:pt>
              <c:pt idx="8">
                <c:v>3552.2533333333336</c:v>
              </c:pt>
              <c:pt idx="9">
                <c:v>1185.7333333333336</c:v>
              </c:pt>
              <c:pt idx="10">
                <c:v>225</c:v>
              </c:pt>
              <c:pt idx="11">
                <c:v>250.66666666666666</c:v>
              </c:pt>
              <c:pt idx="12">
                <c:v>232.30666666666664</c:v>
              </c:pt>
              <c:pt idx="13">
                <c:v>755.4666666666667</c:v>
              </c:pt>
              <c:pt idx="14">
                <c:v>344.52</c:v>
              </c:pt>
              <c:pt idx="15">
                <c:v>1126.8</c:v>
              </c:pt>
              <c:pt idx="16">
                <c:v>718.76</c:v>
              </c:pt>
              <c:pt idx="17">
                <c:v>1132.9333333333334</c:v>
              </c:pt>
              <c:pt idx="18">
                <c:v>846.81333333333339</c:v>
              </c:pt>
              <c:pt idx="19">
                <c:v>1382.1333333333334</c:v>
              </c:pt>
              <c:pt idx="20">
                <c:v>1289.32</c:v>
              </c:pt>
              <c:pt idx="21">
                <c:v>1116.1466666666665</c:v>
              </c:pt>
              <c:pt idx="22">
                <c:v>779.59999999999991</c:v>
              </c:pt>
              <c:pt idx="23">
                <c:v>747.4</c:v>
              </c:pt>
              <c:pt idx="24">
                <c:v>595.52</c:v>
              </c:pt>
              <c:pt idx="25">
                <c:v>567.01333333333332</c:v>
              </c:pt>
              <c:pt idx="26">
                <c:v>925.31999999999994</c:v>
              </c:pt>
              <c:pt idx="27">
                <c:v>815.16000000000008</c:v>
              </c:pt>
              <c:pt idx="28">
                <c:v>688.13333333333333</c:v>
              </c:pt>
              <c:pt idx="29">
                <c:v>873.14666666666665</c:v>
              </c:pt>
              <c:pt idx="30">
                <c:v>556.80000000000007</c:v>
              </c:pt>
              <c:pt idx="31">
                <c:v>745.73333333333335</c:v>
              </c:pt>
              <c:pt idx="32">
                <c:v>685.16</c:v>
              </c:pt>
              <c:pt idx="33">
                <c:v>732.41333333333341</c:v>
              </c:pt>
              <c:pt idx="34">
                <c:v>752.0533333333334</c:v>
              </c:pt>
              <c:pt idx="35">
                <c:v>962.01333333333332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763-4A9F-B45E-CB084AEEA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538719"/>
        <c:axId val="832538239"/>
      </c:lineChart>
      <c:catAx>
        <c:axId val="8325387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823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325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Liters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871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[BAR RAW Edited.xlsx]PivotChartTable1</c15:name>
        <c15:fmtId val="22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of the </a:t>
            </a:r>
            <a:r>
              <a:rPr lang="en-IN" b="1" baseline="0"/>
              <a:t>Amount Paid</a:t>
            </a:r>
            <a:r>
              <a:rPr lang="en-IN" baseline="0"/>
              <a:t> for beer and liquor, Even if Beer has more volume, price of </a:t>
            </a:r>
            <a:r>
              <a:rPr lang="en-IN" b="1" baseline="0"/>
              <a:t>Liquor is more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Beer</c:v>
          </c:tx>
          <c:spPr>
            <a:ln w="28575" cap="rnd">
              <a:solidFill>
                <a:srgbClr val="4A9782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203571.25</c:v>
              </c:pt>
              <c:pt idx="1">
                <c:v>466507.54</c:v>
              </c:pt>
              <c:pt idx="2">
                <c:v>121349.09</c:v>
              </c:pt>
              <c:pt idx="3">
                <c:v>214047.56</c:v>
              </c:pt>
              <c:pt idx="4">
                <c:v>115714.21</c:v>
              </c:pt>
              <c:pt idx="5">
                <c:v>112857.09</c:v>
              </c:pt>
              <c:pt idx="6">
                <c:v>248174.6</c:v>
              </c:pt>
              <c:pt idx="7">
                <c:v>178333.33</c:v>
              </c:pt>
              <c:pt idx="8">
                <c:v>140793.57999999999</c:v>
              </c:pt>
              <c:pt idx="9">
                <c:v>81904.72</c:v>
              </c:pt>
              <c:pt idx="10">
                <c:v>99999.98</c:v>
              </c:pt>
              <c:pt idx="11">
                <c:v>174761.83</c:v>
              </c:pt>
              <c:pt idx="12">
                <c:v>206507.93</c:v>
              </c:pt>
              <c:pt idx="13">
                <c:v>598412.6</c:v>
              </c:pt>
              <c:pt idx="14">
                <c:v>632381.4</c:v>
              </c:pt>
              <c:pt idx="15">
                <c:v>121349.39</c:v>
              </c:pt>
              <c:pt idx="16">
                <c:v>284841.55</c:v>
              </c:pt>
              <c:pt idx="17">
                <c:v>268492.40999999997</c:v>
              </c:pt>
              <c:pt idx="18">
                <c:v>74047.7</c:v>
              </c:pt>
              <c:pt idx="19">
                <c:v>99841.34</c:v>
              </c:pt>
              <c:pt idx="20">
                <c:v>102619.13</c:v>
              </c:pt>
              <c:pt idx="21">
                <c:v>100476.24</c:v>
              </c:pt>
              <c:pt idx="22">
                <c:v>87222.36</c:v>
              </c:pt>
              <c:pt idx="23">
                <c:v>98333.48</c:v>
              </c:pt>
              <c:pt idx="24">
                <c:v>332778.21999999997</c:v>
              </c:pt>
              <c:pt idx="25">
                <c:v>401746.27</c:v>
              </c:pt>
              <c:pt idx="26">
                <c:v>562222.98</c:v>
              </c:pt>
              <c:pt idx="27">
                <c:v>173809.61</c:v>
              </c:pt>
              <c:pt idx="28">
                <c:v>129444.57</c:v>
              </c:pt>
              <c:pt idx="29">
                <c:v>161507.91</c:v>
              </c:pt>
              <c:pt idx="30">
                <c:v>151904.82</c:v>
              </c:pt>
              <c:pt idx="31">
                <c:v>122380.97</c:v>
              </c:pt>
              <c:pt idx="32">
                <c:v>104047.67999999999</c:v>
              </c:pt>
              <c:pt idx="33">
                <c:v>113333.32</c:v>
              </c:pt>
              <c:pt idx="34">
                <c:v>113888.99</c:v>
              </c:pt>
              <c:pt idx="35">
                <c:v>161031.97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628-4F12-899D-D687A8A33D1A}"/>
            </c:ext>
          </c:extLst>
        </c:ser>
        <c:ser>
          <c:idx val="1"/>
          <c:order val="1"/>
          <c:tx>
            <c:v>Liquor</c:v>
          </c:tx>
          <c:spPr>
            <a:ln w="28575" cap="rnd">
              <a:solidFill>
                <a:srgbClr val="004030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476507.92</c:v>
              </c:pt>
              <c:pt idx="1">
                <c:v>1681389.12</c:v>
              </c:pt>
              <c:pt idx="2">
                <c:v>926508.09</c:v>
              </c:pt>
              <c:pt idx="3">
                <c:v>1189524</c:v>
              </c:pt>
              <c:pt idx="4">
                <c:v>785238.15</c:v>
              </c:pt>
              <c:pt idx="5">
                <c:v>859126.95</c:v>
              </c:pt>
              <c:pt idx="6">
                <c:v>1917052.48</c:v>
              </c:pt>
              <c:pt idx="7">
                <c:v>2084099.71</c:v>
              </c:pt>
              <c:pt idx="8">
                <c:v>2318479.4</c:v>
              </c:pt>
              <c:pt idx="9">
                <c:v>761964.38</c:v>
              </c:pt>
              <c:pt idx="10">
                <c:v>152182.57</c:v>
              </c:pt>
              <c:pt idx="11">
                <c:v>153412.71</c:v>
              </c:pt>
              <c:pt idx="12">
                <c:v>159850.54</c:v>
              </c:pt>
              <c:pt idx="13">
                <c:v>489910.97</c:v>
              </c:pt>
              <c:pt idx="14">
                <c:v>219127.04000000001</c:v>
              </c:pt>
              <c:pt idx="15">
                <c:v>748479.61</c:v>
              </c:pt>
              <c:pt idx="16">
                <c:v>488323.6</c:v>
              </c:pt>
              <c:pt idx="17">
                <c:v>742747.72</c:v>
              </c:pt>
              <c:pt idx="18">
                <c:v>554047.78</c:v>
              </c:pt>
              <c:pt idx="19">
                <c:v>897899.26</c:v>
              </c:pt>
              <c:pt idx="20">
                <c:v>879458.27</c:v>
              </c:pt>
              <c:pt idx="21">
                <c:v>733705.1</c:v>
              </c:pt>
              <c:pt idx="22">
                <c:v>529938.96</c:v>
              </c:pt>
              <c:pt idx="23">
                <c:v>497488.97</c:v>
              </c:pt>
              <c:pt idx="24">
                <c:v>437734.65</c:v>
              </c:pt>
              <c:pt idx="25">
                <c:v>440238.82</c:v>
              </c:pt>
              <c:pt idx="26">
                <c:v>657328.26</c:v>
              </c:pt>
              <c:pt idx="27">
                <c:v>558885.68999999994</c:v>
              </c:pt>
              <c:pt idx="28">
                <c:v>478538.91</c:v>
              </c:pt>
              <c:pt idx="29">
                <c:v>612677.59</c:v>
              </c:pt>
              <c:pt idx="30">
                <c:v>377247.01</c:v>
              </c:pt>
              <c:pt idx="31">
                <c:v>538363.31000000006</c:v>
              </c:pt>
              <c:pt idx="32">
                <c:v>506856.63</c:v>
              </c:pt>
              <c:pt idx="33">
                <c:v>509366.1</c:v>
              </c:pt>
              <c:pt idx="34">
                <c:v>522800.96</c:v>
              </c:pt>
              <c:pt idx="35">
                <c:v>700603.93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628-4F12-899D-D687A8A33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304943"/>
        <c:axId val="223456223"/>
      </c:lineChart>
      <c:catAx>
        <c:axId val="4723049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562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34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Rupees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494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[BAR RAW Edited.xlsx]PivotChartTable2</c15:name>
        <c15:fmtId val="5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</xdr:row>
      <xdr:rowOff>38100</xdr:rowOff>
    </xdr:from>
    <xdr:to>
      <xdr:col>16</xdr:col>
      <xdr:colOff>525780</xdr:colOff>
      <xdr:row>19</xdr:row>
      <xdr:rowOff>135508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015C3-6811-4B55-84C3-D83C8B54F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60960</xdr:colOff>
      <xdr:row>19</xdr:row>
      <xdr:rowOff>175260</xdr:rowOff>
    </xdr:from>
    <xdr:to>
      <xdr:col>16</xdr:col>
      <xdr:colOff>525780</xdr:colOff>
      <xdr:row>37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ADD4F-FFCD-4824-9D53-94FEA46ED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Liquor%20Shop%20Data\BAR%20DATA%20MODEL.xlsx" TargetMode="External"/><Relationship Id="rId1" Type="http://schemas.openxmlformats.org/officeDocument/2006/relationships/externalLinkPath" Target="/PROJECTS/Liquor%20Shop%20Data/BAR%20DATA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 23-24"/>
      <sheetName val="BAR 22-23"/>
      <sheetName val="BAR 21-22"/>
      <sheetName val="BAR 21-24"/>
      <sheetName val="PivotTable"/>
      <sheetName val="MoM"/>
      <sheetName val="PivotChart"/>
    </sheetNames>
    <sheetDataSet>
      <sheetData sheetId="0"/>
      <sheetData sheetId="1"/>
      <sheetData sheetId="2"/>
      <sheetData sheetId="3">
        <row r="1">
          <cell r="A1" t="str">
            <v>Sl No.</v>
          </cell>
          <cell r="B1" t="str">
            <v>Date</v>
          </cell>
          <cell r="C1" t="str">
            <v>Invoice/ MR No.</v>
          </cell>
          <cell r="D1" t="str">
            <v>Invoice Type</v>
          </cell>
          <cell r="E1" t="str">
            <v>Oppening Balance</v>
          </cell>
          <cell r="F1" t="str">
            <v>Credit Amount</v>
          </cell>
          <cell r="G1" t="str">
            <v>BL</v>
          </cell>
          <cell r="H1" t="str">
            <v>LPL</v>
          </cell>
          <cell r="I1" t="str">
            <v>Sale Amount</v>
          </cell>
          <cell r="J1" t="str">
            <v>VAT</v>
          </cell>
          <cell r="K1" t="str">
            <v>TCS</v>
          </cell>
          <cell r="L1" t="str">
            <v>Grand Total</v>
          </cell>
          <cell r="M1" t="str">
            <v>Closing Balance</v>
          </cell>
          <cell r="N1" t="str">
            <v>Year</v>
          </cell>
          <cell r="O1" t="str">
            <v>VAT %</v>
          </cell>
          <cell r="P1" t="str">
            <v>TCS %</v>
          </cell>
          <cell r="Q1" t="str">
            <v>Item</v>
          </cell>
          <cell r="R1" t="str">
            <v>Liters</v>
          </cell>
          <cell r="S1" t="str">
            <v>CHECK</v>
          </cell>
        </row>
        <row r="2">
          <cell r="A2">
            <v>1</v>
          </cell>
          <cell r="B2">
            <v>44302.395162037035</v>
          </cell>
          <cell r="C2" t="str">
            <v>OSBC/BAL/MR/1045/2021-2022</v>
          </cell>
          <cell r="D2" t="str">
            <v>GOVT</v>
          </cell>
          <cell r="E2">
            <v>1204.54</v>
          </cell>
          <cell r="F2">
            <v>40000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41204.54</v>
          </cell>
          <cell r="N2">
            <v>2021</v>
          </cell>
          <cell r="O2">
            <v>0</v>
          </cell>
          <cell r="P2">
            <v>0</v>
          </cell>
          <cell r="Q2" t="str">
            <v>-</v>
          </cell>
          <cell r="R2">
            <v>0</v>
          </cell>
          <cell r="S2" t="b">
            <v>1</v>
          </cell>
        </row>
        <row r="3">
          <cell r="A3">
            <v>2</v>
          </cell>
          <cell r="B3">
            <v>44302.476805555554</v>
          </cell>
          <cell r="C3" t="str">
            <v>INV(BAL) / 2021-2022 / 1054</v>
          </cell>
          <cell r="D3" t="str">
            <v>RETAIL</v>
          </cell>
          <cell r="E3">
            <v>41204.54</v>
          </cell>
          <cell r="F3">
            <v>0</v>
          </cell>
          <cell r="G3">
            <v>0</v>
          </cell>
          <cell r="H3">
            <v>39.69</v>
          </cell>
          <cell r="I3">
            <v>29047.599999999999</v>
          </cell>
          <cell r="J3">
            <v>10166.66</v>
          </cell>
          <cell r="K3">
            <v>392.14</v>
          </cell>
          <cell r="L3">
            <v>39606.400000000001</v>
          </cell>
          <cell r="M3">
            <v>1598.14</v>
          </cell>
          <cell r="N3">
            <v>2021</v>
          </cell>
          <cell r="O3">
            <v>0.35000000000000003</v>
          </cell>
          <cell r="P3">
            <v>1.3499910491744585E-2</v>
          </cell>
          <cell r="Q3" t="str">
            <v>Liquor</v>
          </cell>
          <cell r="R3">
            <v>52.919999999999995</v>
          </cell>
          <cell r="S3" t="b">
            <v>1</v>
          </cell>
        </row>
        <row r="4">
          <cell r="A4">
            <v>3</v>
          </cell>
          <cell r="B4">
            <v>44303.429375</v>
          </cell>
          <cell r="C4" t="str">
            <v>OSBC/BAL/MR/1168/2021-2022</v>
          </cell>
          <cell r="D4" t="str">
            <v>GOVT</v>
          </cell>
          <cell r="E4">
            <v>1598.14</v>
          </cell>
          <cell r="F4">
            <v>40000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41598.14</v>
          </cell>
          <cell r="N4">
            <v>2021</v>
          </cell>
          <cell r="O4">
            <v>0</v>
          </cell>
          <cell r="P4">
            <v>0</v>
          </cell>
          <cell r="Q4" t="str">
            <v>-</v>
          </cell>
          <cell r="R4">
            <v>0</v>
          </cell>
          <cell r="S4" t="b">
            <v>1</v>
          </cell>
        </row>
        <row r="5">
          <cell r="A5">
            <v>4</v>
          </cell>
          <cell r="B5">
            <v>44303.526828703703</v>
          </cell>
          <cell r="C5" t="str">
            <v>INV(BAL) / 2021-2022 / 1214</v>
          </cell>
          <cell r="D5" t="str">
            <v>RETAIL</v>
          </cell>
          <cell r="E5">
            <v>41598.14</v>
          </cell>
          <cell r="F5">
            <v>0</v>
          </cell>
          <cell r="G5">
            <v>0</v>
          </cell>
          <cell r="H5">
            <v>39.15</v>
          </cell>
          <cell r="I5">
            <v>29920.62</v>
          </cell>
          <cell r="J5">
            <v>10472.219999999999</v>
          </cell>
          <cell r="K5">
            <v>403.93</v>
          </cell>
          <cell r="L5">
            <v>40796.769999999997</v>
          </cell>
          <cell r="M5">
            <v>801.37</v>
          </cell>
          <cell r="N5">
            <v>2021</v>
          </cell>
          <cell r="O5">
            <v>0.35000010026530198</v>
          </cell>
          <cell r="P5">
            <v>1.3500054477480749E-2</v>
          </cell>
          <cell r="Q5" t="str">
            <v>Liquor</v>
          </cell>
          <cell r="R5">
            <v>52.199999999999996</v>
          </cell>
          <cell r="S5" t="b">
            <v>1</v>
          </cell>
        </row>
        <row r="6">
          <cell r="A6">
            <v>5</v>
          </cell>
          <cell r="B6">
            <v>44305.457245370373</v>
          </cell>
          <cell r="C6" t="str">
            <v>OSBC/BAL/MR/1383/2021-2022</v>
          </cell>
          <cell r="D6" t="str">
            <v>GOVT</v>
          </cell>
          <cell r="E6">
            <v>801.37</v>
          </cell>
          <cell r="F6">
            <v>40000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40801.370000000003</v>
          </cell>
          <cell r="N6">
            <v>2021</v>
          </cell>
          <cell r="O6">
            <v>0</v>
          </cell>
          <cell r="P6">
            <v>0</v>
          </cell>
          <cell r="Q6" t="str">
            <v>-</v>
          </cell>
          <cell r="R6">
            <v>0</v>
          </cell>
          <cell r="S6" t="b">
            <v>1</v>
          </cell>
        </row>
        <row r="7">
          <cell r="A7">
            <v>6</v>
          </cell>
          <cell r="B7">
            <v>44305.546840277777</v>
          </cell>
          <cell r="C7" t="str">
            <v>INV(BAL) / 2021-2022 / 1390</v>
          </cell>
          <cell r="D7" t="str">
            <v>RETAIL</v>
          </cell>
          <cell r="E7">
            <v>40801.370000000003</v>
          </cell>
          <cell r="F7">
            <v>0</v>
          </cell>
          <cell r="G7">
            <v>0</v>
          </cell>
          <cell r="H7">
            <v>38.880000000000003</v>
          </cell>
          <cell r="I7">
            <v>29841.26</v>
          </cell>
          <cell r="J7">
            <v>10444.459999999999</v>
          </cell>
          <cell r="K7">
            <v>403</v>
          </cell>
          <cell r="L7">
            <v>40688.720000000001</v>
          </cell>
          <cell r="M7">
            <v>112.65</v>
          </cell>
          <cell r="N7">
            <v>2021</v>
          </cell>
          <cell r="O7">
            <v>0.35000063670233761</v>
          </cell>
          <cell r="P7">
            <v>1.3504791687750451E-2</v>
          </cell>
          <cell r="Q7" t="str">
            <v>Liquor</v>
          </cell>
          <cell r="R7">
            <v>51.84</v>
          </cell>
          <cell r="S7" t="b">
            <v>1</v>
          </cell>
        </row>
        <row r="8">
          <cell r="A8">
            <v>7</v>
          </cell>
          <cell r="B8">
            <v>44306.462858796294</v>
          </cell>
          <cell r="C8" t="str">
            <v>OSBC/BAL/MR/1539/2021-2022</v>
          </cell>
          <cell r="D8" t="str">
            <v>GOVT</v>
          </cell>
          <cell r="E8">
            <v>112.65</v>
          </cell>
          <cell r="F8">
            <v>40000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40112.65</v>
          </cell>
          <cell r="N8">
            <v>2021</v>
          </cell>
          <cell r="O8">
            <v>0</v>
          </cell>
          <cell r="P8">
            <v>0</v>
          </cell>
          <cell r="Q8" t="str">
            <v>-</v>
          </cell>
          <cell r="R8">
            <v>0</v>
          </cell>
          <cell r="S8" t="b">
            <v>1</v>
          </cell>
        </row>
        <row r="9">
          <cell r="A9">
            <v>8</v>
          </cell>
          <cell r="B9">
            <v>44306.626493055555</v>
          </cell>
          <cell r="C9" t="str">
            <v>INV(BAL) / 2021-2022 / 1611</v>
          </cell>
          <cell r="D9" t="str">
            <v>RETAIL</v>
          </cell>
          <cell r="E9">
            <v>40112.65</v>
          </cell>
          <cell r="F9">
            <v>0</v>
          </cell>
          <cell r="G9">
            <v>0</v>
          </cell>
          <cell r="H9">
            <v>38.880000000000003</v>
          </cell>
          <cell r="I9">
            <v>29206.33</v>
          </cell>
          <cell r="J9">
            <v>10222.24</v>
          </cell>
          <cell r="K9">
            <v>394</v>
          </cell>
          <cell r="L9">
            <v>39822.57</v>
          </cell>
          <cell r="M9">
            <v>290.08</v>
          </cell>
          <cell r="N9">
            <v>2021</v>
          </cell>
          <cell r="O9">
            <v>0.35000083885924727</v>
          </cell>
          <cell r="P9">
            <v>1.3490226262594444E-2</v>
          </cell>
          <cell r="Q9" t="str">
            <v>Liquor</v>
          </cell>
          <cell r="R9">
            <v>51.84</v>
          </cell>
          <cell r="S9" t="b">
            <v>1</v>
          </cell>
        </row>
        <row r="10">
          <cell r="A10">
            <v>9</v>
          </cell>
          <cell r="B10">
            <v>44308.442696759259</v>
          </cell>
          <cell r="C10" t="str">
            <v>OSBC/BAL/MR/1685/2021-2022</v>
          </cell>
          <cell r="D10" t="str">
            <v>GOVT</v>
          </cell>
          <cell r="E10">
            <v>290.08</v>
          </cell>
          <cell r="F10">
            <v>18800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19090.080000000002</v>
          </cell>
          <cell r="N10">
            <v>2021</v>
          </cell>
          <cell r="O10">
            <v>0</v>
          </cell>
          <cell r="P10">
            <v>0</v>
          </cell>
          <cell r="Q10" t="str">
            <v>-</v>
          </cell>
          <cell r="R10">
            <v>0</v>
          </cell>
          <cell r="S10" t="b">
            <v>1</v>
          </cell>
        </row>
        <row r="11">
          <cell r="A11">
            <v>10</v>
          </cell>
          <cell r="B11">
            <v>44308.739016203705</v>
          </cell>
          <cell r="C11" t="str">
            <v>INV(BAL) / 2021-2022 / 1831</v>
          </cell>
          <cell r="D11" t="str">
            <v>RETAIL</v>
          </cell>
          <cell r="E11">
            <v>19090.080000000002</v>
          </cell>
          <cell r="F11">
            <v>0</v>
          </cell>
          <cell r="G11">
            <v>94.2</v>
          </cell>
          <cell r="H11">
            <v>0</v>
          </cell>
          <cell r="I11">
            <v>13809.51</v>
          </cell>
          <cell r="J11">
            <v>4833.3500000000004</v>
          </cell>
          <cell r="K11">
            <v>186</v>
          </cell>
          <cell r="L11">
            <v>18828.86</v>
          </cell>
          <cell r="M11">
            <v>261.22000000000003</v>
          </cell>
          <cell r="N11">
            <v>2021</v>
          </cell>
          <cell r="O11">
            <v>0.35000155689810863</v>
          </cell>
          <cell r="P11">
            <v>1.3468978986220365E-2</v>
          </cell>
          <cell r="Q11" t="str">
            <v>Beer</v>
          </cell>
          <cell r="R11">
            <v>94.2</v>
          </cell>
          <cell r="S11" t="b">
            <v>1</v>
          </cell>
        </row>
        <row r="12">
          <cell r="A12">
            <v>11</v>
          </cell>
          <cell r="B12">
            <v>44309.498356481483</v>
          </cell>
          <cell r="C12" t="str">
            <v>OSBC/BAL/MR/1910/2021-2022</v>
          </cell>
          <cell r="D12" t="str">
            <v>GOVT</v>
          </cell>
          <cell r="E12">
            <v>261.22000000000003</v>
          </cell>
          <cell r="F12">
            <v>19500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19761.22</v>
          </cell>
          <cell r="N12">
            <v>2021</v>
          </cell>
          <cell r="O12">
            <v>0</v>
          </cell>
          <cell r="P12">
            <v>0</v>
          </cell>
          <cell r="Q12" t="str">
            <v>-</v>
          </cell>
          <cell r="R12">
            <v>0</v>
          </cell>
          <cell r="S12" t="b">
            <v>1</v>
          </cell>
        </row>
        <row r="13">
          <cell r="A13">
            <v>12</v>
          </cell>
          <cell r="B13">
            <v>44309.647627314815</v>
          </cell>
          <cell r="C13" t="str">
            <v>INV(BAL) / 2021-2022 / 1968</v>
          </cell>
          <cell r="D13" t="str">
            <v>RETAIL</v>
          </cell>
          <cell r="E13">
            <v>19761.22</v>
          </cell>
          <cell r="F13">
            <v>0</v>
          </cell>
          <cell r="G13">
            <v>97.8</v>
          </cell>
          <cell r="H13">
            <v>0</v>
          </cell>
          <cell r="I13">
            <v>14126.97</v>
          </cell>
          <cell r="J13">
            <v>4944.46</v>
          </cell>
          <cell r="K13">
            <v>191</v>
          </cell>
          <cell r="L13">
            <v>19262.43</v>
          </cell>
          <cell r="M13">
            <v>498.79</v>
          </cell>
          <cell r="N13">
            <v>2021</v>
          </cell>
          <cell r="O13">
            <v>0.35000145112504666</v>
          </cell>
          <cell r="P13">
            <v>1.3520238239339363E-2</v>
          </cell>
          <cell r="Q13" t="str">
            <v>Beer</v>
          </cell>
          <cell r="R13">
            <v>97.8</v>
          </cell>
          <cell r="S13" t="b">
            <v>1</v>
          </cell>
        </row>
        <row r="14">
          <cell r="A14">
            <v>13</v>
          </cell>
          <cell r="B14">
            <v>44311.861180555556</v>
          </cell>
          <cell r="C14" t="str">
            <v>OSBC/BAL/MR/1995/2021-2022</v>
          </cell>
          <cell r="D14" t="str">
            <v>GOVT</v>
          </cell>
          <cell r="E14">
            <v>498.79</v>
          </cell>
          <cell r="F14">
            <v>200000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200498.79</v>
          </cell>
          <cell r="N14">
            <v>2021</v>
          </cell>
          <cell r="O14">
            <v>0</v>
          </cell>
          <cell r="P14">
            <v>0</v>
          </cell>
          <cell r="Q14" t="str">
            <v>-</v>
          </cell>
          <cell r="R14">
            <v>0</v>
          </cell>
          <cell r="S14" t="b">
            <v>1</v>
          </cell>
        </row>
        <row r="15">
          <cell r="A15">
            <v>14</v>
          </cell>
          <cell r="B15">
            <v>44311.862638888888</v>
          </cell>
          <cell r="C15" t="str">
            <v>OSBC/BAL/MR/1996/2021-2022</v>
          </cell>
          <cell r="D15" t="str">
            <v>GOVT</v>
          </cell>
          <cell r="E15">
            <v>200498.79</v>
          </cell>
          <cell r="F15">
            <v>209000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409498.79</v>
          </cell>
          <cell r="N15">
            <v>2021</v>
          </cell>
          <cell r="O15">
            <v>0</v>
          </cell>
          <cell r="P15">
            <v>0</v>
          </cell>
          <cell r="Q15" t="str">
            <v>-</v>
          </cell>
          <cell r="R15">
            <v>0</v>
          </cell>
          <cell r="S15" t="b">
            <v>1</v>
          </cell>
        </row>
        <row r="16">
          <cell r="A16">
            <v>15</v>
          </cell>
          <cell r="B16">
            <v>44312.463078703702</v>
          </cell>
          <cell r="C16" t="str">
            <v>INV(BAL) / 2021-2022 / 2081</v>
          </cell>
          <cell r="D16" t="str">
            <v>RETAIL</v>
          </cell>
          <cell r="E16">
            <v>409498.79</v>
          </cell>
          <cell r="F16">
            <v>0</v>
          </cell>
          <cell r="G16">
            <v>549</v>
          </cell>
          <cell r="H16">
            <v>0</v>
          </cell>
          <cell r="I16">
            <v>82936.45</v>
          </cell>
          <cell r="J16">
            <v>29027.85</v>
          </cell>
          <cell r="K16">
            <v>1120</v>
          </cell>
          <cell r="L16">
            <v>113084.3</v>
          </cell>
          <cell r="M16">
            <v>296414.49</v>
          </cell>
          <cell r="N16">
            <v>2021</v>
          </cell>
          <cell r="O16">
            <v>0.35000111531178391</v>
          </cell>
          <cell r="P16">
            <v>1.3504315653732467E-2</v>
          </cell>
          <cell r="Q16" t="str">
            <v>Beer</v>
          </cell>
          <cell r="R16">
            <v>549</v>
          </cell>
          <cell r="S16" t="b">
            <v>1</v>
          </cell>
        </row>
        <row r="17">
          <cell r="A17">
            <v>16</v>
          </cell>
          <cell r="B17">
            <v>44312.49046296296</v>
          </cell>
          <cell r="C17" t="str">
            <v>INV(BAL) / 2021-2022 / 2105</v>
          </cell>
          <cell r="D17" t="str">
            <v>RETAIL</v>
          </cell>
          <cell r="E17">
            <v>296414.49</v>
          </cell>
          <cell r="F17">
            <v>0</v>
          </cell>
          <cell r="G17">
            <v>0</v>
          </cell>
          <cell r="H17">
            <v>267.02999999999997</v>
          </cell>
          <cell r="I17">
            <v>216587.35</v>
          </cell>
          <cell r="J17">
            <v>75805.62</v>
          </cell>
          <cell r="K17">
            <v>2924</v>
          </cell>
          <cell r="L17">
            <v>295316.96999999997</v>
          </cell>
          <cell r="M17">
            <v>1097.52</v>
          </cell>
          <cell r="N17">
            <v>2021</v>
          </cell>
          <cell r="O17">
            <v>0.35000021931105391</v>
          </cell>
          <cell r="P17">
            <v>1.350032677347038E-2</v>
          </cell>
          <cell r="Q17" t="str">
            <v>Liquor</v>
          </cell>
          <cell r="R17">
            <v>356.03999999999996</v>
          </cell>
          <cell r="S17" t="b">
            <v>1</v>
          </cell>
        </row>
        <row r="18">
          <cell r="A18">
            <v>17</v>
          </cell>
          <cell r="B18">
            <v>44313.447638888887</v>
          </cell>
          <cell r="C18" t="str">
            <v>OSBC/BAL/MR/2216/2021-2022</v>
          </cell>
          <cell r="D18" t="str">
            <v>GOVT</v>
          </cell>
          <cell r="E18">
            <v>1097.52</v>
          </cell>
          <cell r="F18">
            <v>143000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144097.51999999999</v>
          </cell>
          <cell r="N18">
            <v>2021</v>
          </cell>
          <cell r="O18">
            <v>0</v>
          </cell>
          <cell r="P18">
            <v>0</v>
          </cell>
          <cell r="Q18" t="str">
            <v>-</v>
          </cell>
          <cell r="R18">
            <v>0</v>
          </cell>
          <cell r="S18" t="b">
            <v>1</v>
          </cell>
        </row>
        <row r="19">
          <cell r="A19">
            <v>18</v>
          </cell>
          <cell r="B19">
            <v>44313.674166666664</v>
          </cell>
          <cell r="C19" t="str">
            <v>INV(BAL) / 2021-2022 / 2328</v>
          </cell>
          <cell r="D19" t="str">
            <v>RETAIL</v>
          </cell>
          <cell r="E19">
            <v>144097.51999999999</v>
          </cell>
          <cell r="F19">
            <v>0</v>
          </cell>
          <cell r="G19">
            <v>0</v>
          </cell>
          <cell r="H19">
            <v>97.74</v>
          </cell>
          <cell r="I19">
            <v>79523.81</v>
          </cell>
          <cell r="J19">
            <v>27833.360000000001</v>
          </cell>
          <cell r="K19">
            <v>1074</v>
          </cell>
          <cell r="L19">
            <v>108431.17</v>
          </cell>
          <cell r="M19">
            <v>35666.35</v>
          </cell>
          <cell r="N19">
            <v>2021</v>
          </cell>
          <cell r="O19">
            <v>0.35000033323353097</v>
          </cell>
          <cell r="P19">
            <v>1.3505389140686294E-2</v>
          </cell>
          <cell r="Q19" t="str">
            <v>Liquor</v>
          </cell>
          <cell r="R19">
            <v>130.32</v>
          </cell>
          <cell r="S19" t="b">
            <v>1</v>
          </cell>
        </row>
        <row r="20">
          <cell r="A20">
            <v>19</v>
          </cell>
          <cell r="B20">
            <v>44313.674583333333</v>
          </cell>
          <cell r="C20" t="str">
            <v>INV(BAL) / 2021-2022 / 2329</v>
          </cell>
          <cell r="D20" t="str">
            <v>RETAIL</v>
          </cell>
          <cell r="E20">
            <v>35666.35</v>
          </cell>
          <cell r="F20">
            <v>0</v>
          </cell>
          <cell r="G20">
            <v>173.4</v>
          </cell>
          <cell r="H20">
            <v>0</v>
          </cell>
          <cell r="I20">
            <v>25872.99</v>
          </cell>
          <cell r="J20">
            <v>9055.59</v>
          </cell>
          <cell r="K20">
            <v>349</v>
          </cell>
          <cell r="L20">
            <v>35277.58</v>
          </cell>
          <cell r="M20">
            <v>388.77</v>
          </cell>
          <cell r="N20">
            <v>2021</v>
          </cell>
          <cell r="O20">
            <v>0.35000168129002485</v>
          </cell>
          <cell r="P20">
            <v>1.3488970544185267E-2</v>
          </cell>
          <cell r="Q20" t="str">
            <v>Beer</v>
          </cell>
          <cell r="R20">
            <v>173.4</v>
          </cell>
          <cell r="S20" t="b">
            <v>1</v>
          </cell>
        </row>
        <row r="21">
          <cell r="A21">
            <v>20</v>
          </cell>
          <cell r="B21">
            <v>44314.531064814815</v>
          </cell>
          <cell r="C21" t="str">
            <v>OSBC/BAL/MR/2374/2021-2022</v>
          </cell>
          <cell r="D21" t="str">
            <v>GOVT</v>
          </cell>
          <cell r="E21">
            <v>388.77</v>
          </cell>
          <cell r="F21">
            <v>100000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100388.77</v>
          </cell>
          <cell r="N21">
            <v>2021</v>
          </cell>
          <cell r="O21">
            <v>0</v>
          </cell>
          <cell r="P21">
            <v>0</v>
          </cell>
          <cell r="Q21" t="str">
            <v>-</v>
          </cell>
          <cell r="R21">
            <v>0</v>
          </cell>
          <cell r="S21" t="b">
            <v>1</v>
          </cell>
        </row>
        <row r="22">
          <cell r="A22">
            <v>21</v>
          </cell>
          <cell r="B22">
            <v>44314.627430555556</v>
          </cell>
          <cell r="C22" t="str">
            <v>INV(BAL) / 2021-2022 / 2445</v>
          </cell>
          <cell r="D22" t="str">
            <v>RETAIL</v>
          </cell>
          <cell r="E22">
            <v>100388.77</v>
          </cell>
          <cell r="F22">
            <v>0</v>
          </cell>
          <cell r="G22">
            <v>0</v>
          </cell>
          <cell r="H22">
            <v>78.84</v>
          </cell>
          <cell r="I22">
            <v>62380.95</v>
          </cell>
          <cell r="J22">
            <v>21833.35</v>
          </cell>
          <cell r="K22">
            <v>842</v>
          </cell>
          <cell r="L22">
            <v>85056.3</v>
          </cell>
          <cell r="M22">
            <v>15332.47</v>
          </cell>
          <cell r="N22">
            <v>2021</v>
          </cell>
          <cell r="O22">
            <v>0.35000028053436183</v>
          </cell>
          <cell r="P22">
            <v>1.349771043884391E-2</v>
          </cell>
          <cell r="Q22" t="str">
            <v>Liquor</v>
          </cell>
          <cell r="R22">
            <v>105.12</v>
          </cell>
          <cell r="S22" t="b">
            <v>1</v>
          </cell>
        </row>
        <row r="23">
          <cell r="A23">
            <v>22</v>
          </cell>
          <cell r="B23">
            <v>44314.627870370372</v>
          </cell>
          <cell r="C23" t="str">
            <v>INV(BAL) / 2021-2022 / 2446</v>
          </cell>
          <cell r="D23" t="str">
            <v>RETAIL</v>
          </cell>
          <cell r="E23">
            <v>15332.47</v>
          </cell>
          <cell r="F23">
            <v>0</v>
          </cell>
          <cell r="G23">
            <v>78</v>
          </cell>
          <cell r="H23">
            <v>0</v>
          </cell>
          <cell r="I23">
            <v>11111.1</v>
          </cell>
          <cell r="J23">
            <v>3888.89</v>
          </cell>
          <cell r="K23">
            <v>150</v>
          </cell>
          <cell r="L23">
            <v>15149.98</v>
          </cell>
          <cell r="M23">
            <v>182.49</v>
          </cell>
          <cell r="N23">
            <v>2021</v>
          </cell>
          <cell r="O23">
            <v>0.35000045000044999</v>
          </cell>
          <cell r="P23">
            <v>1.3500013500013499E-2</v>
          </cell>
          <cell r="Q23" t="str">
            <v>Beer</v>
          </cell>
          <cell r="R23">
            <v>78</v>
          </cell>
          <cell r="S23" t="b">
            <v>1</v>
          </cell>
        </row>
        <row r="24">
          <cell r="A24">
            <v>23</v>
          </cell>
          <cell r="B24">
            <v>44315.477025462962</v>
          </cell>
          <cell r="C24" t="str">
            <v>OSBC/BAL/MR/2430/2021-2022</v>
          </cell>
          <cell r="D24" t="str">
            <v>GOVT</v>
          </cell>
          <cell r="E24">
            <v>182.49</v>
          </cell>
          <cell r="F24">
            <v>20000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20182.490000000002</v>
          </cell>
          <cell r="N24">
            <v>2021</v>
          </cell>
          <cell r="O24">
            <v>0</v>
          </cell>
          <cell r="P24">
            <v>0</v>
          </cell>
          <cell r="Q24" t="str">
            <v>-</v>
          </cell>
          <cell r="R24">
            <v>0</v>
          </cell>
          <cell r="S24" t="b">
            <v>1</v>
          </cell>
        </row>
        <row r="25">
          <cell r="A25">
            <v>24</v>
          </cell>
          <cell r="B25">
            <v>44315.681631944448</v>
          </cell>
          <cell r="C25" t="str">
            <v>INV(BAL) / 2021-2022 / 2538</v>
          </cell>
          <cell r="D25" t="str">
            <v>RETAIL</v>
          </cell>
          <cell r="E25">
            <v>20182.490000000002</v>
          </cell>
          <cell r="F25">
            <v>0</v>
          </cell>
          <cell r="G25">
            <v>91.2</v>
          </cell>
          <cell r="H25">
            <v>0</v>
          </cell>
          <cell r="I25">
            <v>14603.16</v>
          </cell>
          <cell r="J25">
            <v>5111.1099999999997</v>
          </cell>
          <cell r="K25">
            <v>197.14</v>
          </cell>
          <cell r="L25">
            <v>19911.41</v>
          </cell>
          <cell r="M25">
            <v>271.08</v>
          </cell>
          <cell r="N25">
            <v>2021</v>
          </cell>
          <cell r="O25">
            <v>0.35000027391331739</v>
          </cell>
          <cell r="P25">
            <v>1.3499817847643933E-2</v>
          </cell>
          <cell r="Q25" t="str">
            <v>Beer</v>
          </cell>
          <cell r="R25">
            <v>91.2</v>
          </cell>
          <cell r="S25" t="b">
            <v>1</v>
          </cell>
        </row>
        <row r="26">
          <cell r="A26">
            <v>25</v>
          </cell>
          <cell r="B26">
            <v>44316.448101851849</v>
          </cell>
          <cell r="C26" t="str">
            <v>OSBC/BAL/MR/2531/2021-2022</v>
          </cell>
          <cell r="D26" t="str">
            <v>GOVT</v>
          </cell>
          <cell r="E26">
            <v>271.08</v>
          </cell>
          <cell r="F26">
            <v>56000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56271.08</v>
          </cell>
          <cell r="N26">
            <v>2021</v>
          </cell>
          <cell r="O26">
            <v>0</v>
          </cell>
          <cell r="P26">
            <v>0</v>
          </cell>
          <cell r="Q26" t="str">
            <v>-</v>
          </cell>
          <cell r="R26">
            <v>0</v>
          </cell>
          <cell r="S26" t="b">
            <v>1</v>
          </cell>
        </row>
        <row r="27">
          <cell r="A27">
            <v>26</v>
          </cell>
          <cell r="B27">
            <v>44316.501539351855</v>
          </cell>
          <cell r="C27" t="str">
            <v>INV(BAL) / 2021-2022 / 2610</v>
          </cell>
          <cell r="D27" t="str">
            <v>RETAIL</v>
          </cell>
          <cell r="E27">
            <v>56271.08</v>
          </cell>
          <cell r="F27">
            <v>0</v>
          </cell>
          <cell r="G27">
            <v>288.60000000000002</v>
          </cell>
          <cell r="H27">
            <v>0</v>
          </cell>
          <cell r="I27">
            <v>41111.07</v>
          </cell>
          <cell r="J27">
            <v>14388.87</v>
          </cell>
          <cell r="K27">
            <v>555</v>
          </cell>
          <cell r="L27">
            <v>56054.94</v>
          </cell>
          <cell r="M27">
            <v>216.14</v>
          </cell>
          <cell r="N27">
            <v>2021</v>
          </cell>
          <cell r="O27">
            <v>0.34999989054043112</v>
          </cell>
          <cell r="P27">
            <v>1.3500013500013499E-2</v>
          </cell>
          <cell r="Q27" t="str">
            <v>Beer</v>
          </cell>
          <cell r="R27">
            <v>288.60000000000002</v>
          </cell>
          <cell r="S27" t="b">
            <v>1</v>
          </cell>
        </row>
        <row r="28">
          <cell r="A28">
            <v>27</v>
          </cell>
          <cell r="B28">
            <v>44317.845706018517</v>
          </cell>
          <cell r="C28" t="str">
            <v>OSBC/BAL/MR/2632/2021-2022</v>
          </cell>
          <cell r="D28" t="str">
            <v>GOVT</v>
          </cell>
          <cell r="E28">
            <v>216.14</v>
          </cell>
          <cell r="F28">
            <v>500000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500216.14</v>
          </cell>
          <cell r="N28">
            <v>2021</v>
          </cell>
          <cell r="O28">
            <v>0</v>
          </cell>
          <cell r="P28">
            <v>0</v>
          </cell>
          <cell r="Q28" t="str">
            <v>-</v>
          </cell>
          <cell r="R28">
            <v>0</v>
          </cell>
          <cell r="S28" t="b">
            <v>1</v>
          </cell>
        </row>
        <row r="29">
          <cell r="A29">
            <v>28</v>
          </cell>
          <cell r="B29">
            <v>44318.865983796299</v>
          </cell>
          <cell r="C29" t="str">
            <v>OSBC/BAL/MR/2715/2021-2022</v>
          </cell>
          <cell r="D29" t="str">
            <v>GOVT</v>
          </cell>
          <cell r="E29">
            <v>500216.14</v>
          </cell>
          <cell r="F29">
            <v>200000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700216.14</v>
          </cell>
          <cell r="N29">
            <v>2021</v>
          </cell>
          <cell r="O29">
            <v>0</v>
          </cell>
          <cell r="P29">
            <v>0</v>
          </cell>
          <cell r="Q29" t="str">
            <v>-</v>
          </cell>
          <cell r="R29">
            <v>0</v>
          </cell>
          <cell r="S29" t="b">
            <v>1</v>
          </cell>
        </row>
        <row r="30">
          <cell r="A30">
            <v>29</v>
          </cell>
          <cell r="B30">
            <v>44319.507210648146</v>
          </cell>
          <cell r="C30" t="str">
            <v>INV(BAL) / 2021-2022 / 2706</v>
          </cell>
          <cell r="D30" t="str">
            <v>RETAIL</v>
          </cell>
          <cell r="E30">
            <v>700216.14</v>
          </cell>
          <cell r="F30">
            <v>0</v>
          </cell>
          <cell r="G30">
            <v>0</v>
          </cell>
          <cell r="H30">
            <v>421.61</v>
          </cell>
          <cell r="I30">
            <v>355912.76</v>
          </cell>
          <cell r="J30">
            <v>124569.47</v>
          </cell>
          <cell r="K30">
            <v>4804.82</v>
          </cell>
          <cell r="L30">
            <v>485287.04</v>
          </cell>
          <cell r="M30">
            <v>214929.1</v>
          </cell>
          <cell r="N30">
            <v>2021</v>
          </cell>
          <cell r="O30">
            <v>0.35000001123870916</v>
          </cell>
          <cell r="P30">
            <v>1.3499993650129317E-2</v>
          </cell>
          <cell r="Q30" t="str">
            <v>Liquor</v>
          </cell>
          <cell r="R30">
            <v>562.14666666666665</v>
          </cell>
          <cell r="S30" t="b">
            <v>1</v>
          </cell>
        </row>
        <row r="31">
          <cell r="A31">
            <v>30</v>
          </cell>
          <cell r="B31">
            <v>44319.507638888892</v>
          </cell>
          <cell r="C31" t="str">
            <v>INV(BAL) / 2021-2022 / 2707</v>
          </cell>
          <cell r="D31" t="str">
            <v>RETAIL</v>
          </cell>
          <cell r="E31">
            <v>214929.1</v>
          </cell>
          <cell r="F31">
            <v>0</v>
          </cell>
          <cell r="G31">
            <v>1012.2</v>
          </cell>
          <cell r="H31">
            <v>0</v>
          </cell>
          <cell r="I31">
            <v>157301.5</v>
          </cell>
          <cell r="J31">
            <v>55055.53</v>
          </cell>
          <cell r="K31">
            <v>2123.5700000000002</v>
          </cell>
          <cell r="L31">
            <v>214480.6</v>
          </cell>
          <cell r="M31">
            <v>448.5</v>
          </cell>
          <cell r="N31">
            <v>2021</v>
          </cell>
          <cell r="O31">
            <v>0.35000003178609229</v>
          </cell>
          <cell r="P31">
            <v>1.3499998410695385E-2</v>
          </cell>
          <cell r="Q31" t="str">
            <v>Beer</v>
          </cell>
          <cell r="R31">
            <v>1012.2</v>
          </cell>
          <cell r="S31" t="b">
            <v>1</v>
          </cell>
        </row>
        <row r="32">
          <cell r="A32">
            <v>31</v>
          </cell>
          <cell r="B32">
            <v>44319.923854166664</v>
          </cell>
          <cell r="C32" t="str">
            <v>OSBC/BAL/MR/3032/2021-2022</v>
          </cell>
          <cell r="D32" t="str">
            <v>GOVT</v>
          </cell>
          <cell r="E32">
            <v>448.5</v>
          </cell>
          <cell r="F32">
            <v>450000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450448.5</v>
          </cell>
          <cell r="N32">
            <v>2021</v>
          </cell>
          <cell r="O32">
            <v>0</v>
          </cell>
          <cell r="P32">
            <v>0</v>
          </cell>
          <cell r="Q32" t="str">
            <v>-</v>
          </cell>
          <cell r="R32">
            <v>0</v>
          </cell>
          <cell r="S32" t="b">
            <v>1</v>
          </cell>
        </row>
        <row r="33">
          <cell r="A33">
            <v>32</v>
          </cell>
          <cell r="B33">
            <v>44319.975972222222</v>
          </cell>
          <cell r="C33" t="str">
            <v>OSBC/BAL/MR/3039/2021-2022</v>
          </cell>
          <cell r="D33" t="str">
            <v>GOVT</v>
          </cell>
          <cell r="E33">
            <v>450448.5</v>
          </cell>
          <cell r="F33">
            <v>314000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764448.5</v>
          </cell>
          <cell r="N33">
            <v>2021</v>
          </cell>
          <cell r="O33">
            <v>0</v>
          </cell>
          <cell r="P33">
            <v>0</v>
          </cell>
          <cell r="Q33" t="str">
            <v>-</v>
          </cell>
          <cell r="R33">
            <v>0</v>
          </cell>
          <cell r="S33" t="b">
            <v>1</v>
          </cell>
        </row>
        <row r="34">
          <cell r="A34">
            <v>33</v>
          </cell>
          <cell r="B34">
            <v>44320.040682870371</v>
          </cell>
          <cell r="C34" t="str">
            <v>OSBC/BAL/MR/3055/2021-2022</v>
          </cell>
          <cell r="D34" t="str">
            <v>GOVT</v>
          </cell>
          <cell r="E34">
            <v>764448.5</v>
          </cell>
          <cell r="F34">
            <v>389000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1153448.5</v>
          </cell>
          <cell r="N34">
            <v>2021</v>
          </cell>
          <cell r="O34">
            <v>0</v>
          </cell>
          <cell r="P34">
            <v>0</v>
          </cell>
          <cell r="Q34" t="str">
            <v>-</v>
          </cell>
          <cell r="R34">
            <v>0</v>
          </cell>
          <cell r="S34" t="b">
            <v>1</v>
          </cell>
        </row>
        <row r="35">
          <cell r="A35">
            <v>34</v>
          </cell>
          <cell r="B35">
            <v>44320.372337962966</v>
          </cell>
          <cell r="C35" t="str">
            <v>OSBC/BAL/MR/3085/2021-2022</v>
          </cell>
          <cell r="D35" t="str">
            <v>GOVT</v>
          </cell>
          <cell r="E35">
            <v>1153448.5</v>
          </cell>
          <cell r="F35">
            <v>300000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1453448.5</v>
          </cell>
          <cell r="N35">
            <v>2021</v>
          </cell>
          <cell r="O35">
            <v>0</v>
          </cell>
          <cell r="P35">
            <v>0</v>
          </cell>
          <cell r="Q35" t="str">
            <v>-</v>
          </cell>
          <cell r="R35">
            <v>0</v>
          </cell>
          <cell r="S35" t="b">
            <v>1</v>
          </cell>
        </row>
        <row r="36">
          <cell r="A36">
            <v>35</v>
          </cell>
          <cell r="B36">
            <v>44320.624351851853</v>
          </cell>
          <cell r="C36" t="str">
            <v>INV(BAL) / 2021-2022 / 2942</v>
          </cell>
          <cell r="D36" t="str">
            <v>RETAIL</v>
          </cell>
          <cell r="E36">
            <v>1453448.5</v>
          </cell>
          <cell r="F36">
            <v>0</v>
          </cell>
          <cell r="G36">
            <v>1392</v>
          </cell>
          <cell r="H36">
            <v>0</v>
          </cell>
          <cell r="I36">
            <v>220952.16</v>
          </cell>
          <cell r="J36">
            <v>77333.259999999995</v>
          </cell>
          <cell r="K36">
            <v>2982.85</v>
          </cell>
          <cell r="L36">
            <v>301268.27</v>
          </cell>
          <cell r="M36">
            <v>1152180.23</v>
          </cell>
          <cell r="N36">
            <v>2021</v>
          </cell>
          <cell r="O36">
            <v>0.35000001810346637</v>
          </cell>
          <cell r="P36">
            <v>1.3499981172394964E-2</v>
          </cell>
          <cell r="Q36" t="str">
            <v>Beer</v>
          </cell>
          <cell r="R36">
            <v>1392</v>
          </cell>
          <cell r="S36" t="b">
            <v>1</v>
          </cell>
        </row>
        <row r="37">
          <cell r="A37">
            <v>36</v>
          </cell>
          <cell r="B37">
            <v>44320.639803240738</v>
          </cell>
          <cell r="C37" t="str">
            <v>INV(BAL) / 2021-2022 / 2960</v>
          </cell>
          <cell r="D37" t="str">
            <v>RETAIL</v>
          </cell>
          <cell r="E37">
            <v>1152180.23</v>
          </cell>
          <cell r="F37">
            <v>0</v>
          </cell>
          <cell r="G37">
            <v>0</v>
          </cell>
          <cell r="H37">
            <v>1037.8800000000001</v>
          </cell>
          <cell r="I37">
            <v>844682.62</v>
          </cell>
          <cell r="J37">
            <v>295638.92</v>
          </cell>
          <cell r="K37">
            <v>11403.22</v>
          </cell>
          <cell r="L37">
            <v>1151724.75</v>
          </cell>
          <cell r="M37">
            <v>455.48</v>
          </cell>
          <cell r="N37">
            <v>2021</v>
          </cell>
          <cell r="O37">
            <v>0.3500000035516298</v>
          </cell>
          <cell r="P37">
            <v>1.3500005481348722E-2</v>
          </cell>
          <cell r="Q37" t="str">
            <v>Liquor</v>
          </cell>
          <cell r="R37">
            <v>1383.8400000000001</v>
          </cell>
          <cell r="S37" t="b">
            <v>1</v>
          </cell>
        </row>
        <row r="38">
          <cell r="A38">
            <v>37</v>
          </cell>
          <cell r="B38">
            <v>44324.691967592589</v>
          </cell>
          <cell r="C38" t="str">
            <v>OSBC/BAL/MR/3323/2021-2022</v>
          </cell>
          <cell r="D38" t="str">
            <v>GOVT</v>
          </cell>
          <cell r="E38">
            <v>455.48</v>
          </cell>
          <cell r="F38">
            <v>500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955.48</v>
          </cell>
          <cell r="N38">
            <v>2021</v>
          </cell>
          <cell r="O38">
            <v>0</v>
          </cell>
          <cell r="P38">
            <v>0</v>
          </cell>
          <cell r="Q38" t="str">
            <v>-</v>
          </cell>
          <cell r="R38">
            <v>0</v>
          </cell>
          <cell r="S38" t="b">
            <v>1</v>
          </cell>
        </row>
        <row r="39">
          <cell r="A39">
            <v>38</v>
          </cell>
          <cell r="B39">
            <v>44334.299618055556</v>
          </cell>
          <cell r="C39" t="str">
            <v>OSBC/BAL/MR/3737/2021-2022</v>
          </cell>
          <cell r="D39" t="str">
            <v>GOVT</v>
          </cell>
          <cell r="E39">
            <v>955.48</v>
          </cell>
          <cell r="F39">
            <v>145000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145955.48000000001</v>
          </cell>
          <cell r="N39">
            <v>2021</v>
          </cell>
          <cell r="O39">
            <v>0</v>
          </cell>
          <cell r="P39">
            <v>0</v>
          </cell>
          <cell r="Q39" t="str">
            <v>-</v>
          </cell>
          <cell r="R39">
            <v>0</v>
          </cell>
          <cell r="S39" t="b">
            <v>1</v>
          </cell>
        </row>
        <row r="40">
          <cell r="A40">
            <v>39</v>
          </cell>
          <cell r="B40">
            <v>44334.317384259259</v>
          </cell>
          <cell r="C40" t="str">
            <v>OSBC/BAL/MR/3742/2021-2022</v>
          </cell>
          <cell r="D40" t="str">
            <v>GOVT</v>
          </cell>
          <cell r="E40">
            <v>145955.48000000001</v>
          </cell>
          <cell r="F40">
            <v>16000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161955.48000000001</v>
          </cell>
          <cell r="N40">
            <v>2021</v>
          </cell>
          <cell r="O40">
            <v>0</v>
          </cell>
          <cell r="P40">
            <v>0</v>
          </cell>
          <cell r="Q40" t="str">
            <v>-</v>
          </cell>
          <cell r="R40">
            <v>0</v>
          </cell>
          <cell r="S40" t="b">
            <v>1</v>
          </cell>
        </row>
        <row r="41">
          <cell r="A41">
            <v>40</v>
          </cell>
          <cell r="B41">
            <v>44334.494606481479</v>
          </cell>
          <cell r="C41" t="str">
            <v>INV(BAL) / 2021-2022 / 3423</v>
          </cell>
          <cell r="D41" t="str">
            <v>RETAIL</v>
          </cell>
          <cell r="E41">
            <v>161955.48000000001</v>
          </cell>
          <cell r="F41">
            <v>0</v>
          </cell>
          <cell r="G41">
            <v>138</v>
          </cell>
          <cell r="H41">
            <v>0</v>
          </cell>
          <cell r="I41">
            <v>20634.900000000001</v>
          </cell>
          <cell r="J41">
            <v>7222.22</v>
          </cell>
          <cell r="K41">
            <v>278.57</v>
          </cell>
          <cell r="L41">
            <v>28135.69</v>
          </cell>
          <cell r="M41">
            <v>133819.79</v>
          </cell>
          <cell r="N41">
            <v>2021</v>
          </cell>
          <cell r="O41">
            <v>0.35000024230793458</v>
          </cell>
          <cell r="P41">
            <v>1.3499944269175036E-2</v>
          </cell>
          <cell r="Q41" t="str">
            <v>Beer</v>
          </cell>
          <cell r="R41">
            <v>138</v>
          </cell>
          <cell r="S41" t="b">
            <v>1</v>
          </cell>
        </row>
        <row r="42">
          <cell r="A42">
            <v>41</v>
          </cell>
          <cell r="B42">
            <v>44334.49523148148</v>
          </cell>
          <cell r="C42" t="str">
            <v>INV(BAL) / 2021-2022 / 3424</v>
          </cell>
          <cell r="D42" t="str">
            <v>RETAIL</v>
          </cell>
          <cell r="E42">
            <v>133819.79</v>
          </cell>
          <cell r="F42">
            <v>0</v>
          </cell>
          <cell r="G42">
            <v>0</v>
          </cell>
          <cell r="H42">
            <v>113.13</v>
          </cell>
          <cell r="I42">
            <v>93968.29</v>
          </cell>
          <cell r="J42">
            <v>32888.870000000003</v>
          </cell>
          <cell r="K42">
            <v>1269</v>
          </cell>
          <cell r="L42">
            <v>128126.16</v>
          </cell>
          <cell r="M42">
            <v>5693.63</v>
          </cell>
          <cell r="N42">
            <v>2021</v>
          </cell>
          <cell r="O42">
            <v>0.34999966478053401</v>
          </cell>
          <cell r="P42">
            <v>1.3504555632543703E-2</v>
          </cell>
          <cell r="Q42" t="str">
            <v>Liquor</v>
          </cell>
          <cell r="R42">
            <v>150.84</v>
          </cell>
          <cell r="S42" t="b">
            <v>1</v>
          </cell>
        </row>
        <row r="43">
          <cell r="A43">
            <v>42</v>
          </cell>
          <cell r="B43">
            <v>44335.912673611114</v>
          </cell>
          <cell r="C43" t="str">
            <v>OSBC/BAL/MR/3924/2021-2022</v>
          </cell>
          <cell r="D43" t="str">
            <v>GOVT</v>
          </cell>
          <cell r="E43">
            <v>5693.63</v>
          </cell>
          <cell r="F43">
            <v>115000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120693.63</v>
          </cell>
          <cell r="N43">
            <v>2021</v>
          </cell>
          <cell r="O43">
            <v>0</v>
          </cell>
          <cell r="P43">
            <v>0</v>
          </cell>
          <cell r="Q43" t="str">
            <v>-</v>
          </cell>
          <cell r="R43">
            <v>0</v>
          </cell>
          <cell r="S43" t="b">
            <v>1</v>
          </cell>
        </row>
        <row r="44">
          <cell r="A44">
            <v>43</v>
          </cell>
          <cell r="B44">
            <v>44336.009155092594</v>
          </cell>
          <cell r="C44" t="str">
            <v>OSBC/BAL/MR/3957/2021-2022</v>
          </cell>
          <cell r="D44" t="str">
            <v>GOVT</v>
          </cell>
          <cell r="E44">
            <v>120693.63</v>
          </cell>
          <cell r="F44">
            <v>100000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220693.63</v>
          </cell>
          <cell r="N44">
            <v>2021</v>
          </cell>
          <cell r="O44">
            <v>0</v>
          </cell>
          <cell r="P44">
            <v>0</v>
          </cell>
          <cell r="Q44" t="str">
            <v>-</v>
          </cell>
          <cell r="R44">
            <v>0</v>
          </cell>
          <cell r="S44" t="b">
            <v>1</v>
          </cell>
        </row>
        <row r="45">
          <cell r="A45">
            <v>44</v>
          </cell>
          <cell r="B45">
            <v>44336.4215625</v>
          </cell>
          <cell r="C45" t="str">
            <v>INV(BAL) / 2021-2022 / 3639</v>
          </cell>
          <cell r="D45" t="str">
            <v>RETAIL</v>
          </cell>
          <cell r="E45">
            <v>220693.63</v>
          </cell>
          <cell r="F45">
            <v>0</v>
          </cell>
          <cell r="G45">
            <v>177</v>
          </cell>
          <cell r="H45">
            <v>0</v>
          </cell>
          <cell r="I45">
            <v>26190.45</v>
          </cell>
          <cell r="J45">
            <v>9166.66</v>
          </cell>
          <cell r="K45">
            <v>353.57</v>
          </cell>
          <cell r="L45">
            <v>35710.68</v>
          </cell>
          <cell r="M45">
            <v>184982.95</v>
          </cell>
          <cell r="N45">
            <v>2021</v>
          </cell>
          <cell r="O45">
            <v>0.35000009545464089</v>
          </cell>
          <cell r="P45">
            <v>1.3499958954504409E-2</v>
          </cell>
          <cell r="Q45" t="str">
            <v>Beer</v>
          </cell>
          <cell r="R45">
            <v>177</v>
          </cell>
          <cell r="S45" t="b">
            <v>1</v>
          </cell>
        </row>
        <row r="46">
          <cell r="A46">
            <v>45</v>
          </cell>
          <cell r="B46">
            <v>44336.423090277778</v>
          </cell>
          <cell r="C46" t="str">
            <v>INV(BAL) / 2021-2022 / 3640</v>
          </cell>
          <cell r="D46" t="str">
            <v>RETAIL</v>
          </cell>
          <cell r="E46">
            <v>184982.95</v>
          </cell>
          <cell r="F46">
            <v>0</v>
          </cell>
          <cell r="G46">
            <v>0</v>
          </cell>
          <cell r="H46">
            <v>170.91</v>
          </cell>
          <cell r="I46">
            <v>134841.26999999999</v>
          </cell>
          <cell r="J46">
            <v>47194.49</v>
          </cell>
          <cell r="K46">
            <v>1820</v>
          </cell>
          <cell r="L46">
            <v>183855.76</v>
          </cell>
          <cell r="M46">
            <v>1127.19</v>
          </cell>
          <cell r="N46">
            <v>2021</v>
          </cell>
          <cell r="O46">
            <v>0.35000033743378417</v>
          </cell>
          <cell r="P46">
            <v>1.3497351367277987E-2</v>
          </cell>
          <cell r="Q46" t="str">
            <v>Liquor</v>
          </cell>
          <cell r="R46">
            <v>227.88</v>
          </cell>
          <cell r="S46" t="b">
            <v>1</v>
          </cell>
        </row>
        <row r="47">
          <cell r="A47">
            <v>46</v>
          </cell>
          <cell r="B47">
            <v>44339.730787037035</v>
          </cell>
          <cell r="C47" t="str">
            <v>OSBC/BAL/MR/4154/2021-2022</v>
          </cell>
          <cell r="D47" t="str">
            <v>GOVT</v>
          </cell>
          <cell r="E47">
            <v>1127.19</v>
          </cell>
          <cell r="F47">
            <v>121000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122127.19</v>
          </cell>
          <cell r="N47">
            <v>2021</v>
          </cell>
          <cell r="O47">
            <v>0</v>
          </cell>
          <cell r="P47">
            <v>0</v>
          </cell>
          <cell r="Q47" t="str">
            <v>-</v>
          </cell>
          <cell r="R47">
            <v>0</v>
          </cell>
          <cell r="S47" t="b">
            <v>1</v>
          </cell>
        </row>
        <row r="48">
          <cell r="A48">
            <v>47</v>
          </cell>
          <cell r="B48">
            <v>44339.973090277781</v>
          </cell>
          <cell r="C48" t="str">
            <v>OSBC/BAL/MR/4185/2021-2022</v>
          </cell>
          <cell r="D48" t="str">
            <v>GOVT</v>
          </cell>
          <cell r="E48">
            <v>122127.19</v>
          </cell>
          <cell r="F48">
            <v>80000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202127.19</v>
          </cell>
          <cell r="N48">
            <v>2021</v>
          </cell>
          <cell r="O48">
            <v>0</v>
          </cell>
          <cell r="P48">
            <v>0</v>
          </cell>
          <cell r="Q48" t="str">
            <v>-</v>
          </cell>
          <cell r="R48">
            <v>0</v>
          </cell>
          <cell r="S48" t="b">
            <v>1</v>
          </cell>
        </row>
        <row r="49">
          <cell r="A49">
            <v>48</v>
          </cell>
          <cell r="B49">
            <v>44340.385717592595</v>
          </cell>
          <cell r="C49" t="str">
            <v>INV(BAL) / 2021-2022 / 3903</v>
          </cell>
          <cell r="D49" t="str">
            <v>RETAIL</v>
          </cell>
          <cell r="E49">
            <v>202127.19</v>
          </cell>
          <cell r="F49">
            <v>0</v>
          </cell>
          <cell r="G49">
            <v>99</v>
          </cell>
          <cell r="H49">
            <v>0</v>
          </cell>
          <cell r="I49">
            <v>15079.35</v>
          </cell>
          <cell r="J49">
            <v>5277.77</v>
          </cell>
          <cell r="K49">
            <v>203.57</v>
          </cell>
          <cell r="L49">
            <v>20560.689999999999</v>
          </cell>
          <cell r="M49">
            <v>181566.5</v>
          </cell>
          <cell r="N49">
            <v>2021</v>
          </cell>
          <cell r="O49">
            <v>0.34999983421036057</v>
          </cell>
          <cell r="P49">
            <v>1.3499918763076657E-2</v>
          </cell>
          <cell r="Q49" t="str">
            <v>Beer</v>
          </cell>
          <cell r="R49">
            <v>99</v>
          </cell>
          <cell r="S49" t="b">
            <v>1</v>
          </cell>
        </row>
        <row r="50">
          <cell r="A50">
            <v>49</v>
          </cell>
          <cell r="B50">
            <v>44340.386331018519</v>
          </cell>
          <cell r="C50" t="str">
            <v>INV(BAL) / 2021-2022 / 3904</v>
          </cell>
          <cell r="D50" t="str">
            <v>RETAIL</v>
          </cell>
          <cell r="E50">
            <v>181566.5</v>
          </cell>
          <cell r="F50">
            <v>0</v>
          </cell>
          <cell r="G50">
            <v>0</v>
          </cell>
          <cell r="H50">
            <v>162.54</v>
          </cell>
          <cell r="I50">
            <v>131904.78</v>
          </cell>
          <cell r="J50">
            <v>46166.71</v>
          </cell>
          <cell r="K50">
            <v>1781</v>
          </cell>
          <cell r="L50">
            <v>179852.49</v>
          </cell>
          <cell r="M50">
            <v>1714.01</v>
          </cell>
          <cell r="N50">
            <v>2021</v>
          </cell>
          <cell r="O50">
            <v>0.35000028050537668</v>
          </cell>
          <cell r="P50">
            <v>1.3502164212699494E-2</v>
          </cell>
          <cell r="Q50" t="str">
            <v>Liquor</v>
          </cell>
          <cell r="R50">
            <v>216.72</v>
          </cell>
          <cell r="S50" t="b">
            <v>1</v>
          </cell>
        </row>
        <row r="51">
          <cell r="A51">
            <v>50</v>
          </cell>
          <cell r="B51">
            <v>44343.865983796299</v>
          </cell>
          <cell r="C51" t="str">
            <v>OSBC/BAL/MR/4432/2021-2022</v>
          </cell>
          <cell r="D51" t="str">
            <v>GOVT</v>
          </cell>
          <cell r="E51">
            <v>1714.01</v>
          </cell>
          <cell r="F51">
            <v>232000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233714.01</v>
          </cell>
          <cell r="N51">
            <v>2021</v>
          </cell>
          <cell r="O51">
            <v>0</v>
          </cell>
          <cell r="P51">
            <v>0</v>
          </cell>
          <cell r="Q51" t="str">
            <v>-</v>
          </cell>
          <cell r="R51">
            <v>0</v>
          </cell>
          <cell r="S51" t="b">
            <v>1</v>
          </cell>
        </row>
        <row r="52">
          <cell r="A52">
            <v>51</v>
          </cell>
          <cell r="B52">
            <v>44344.354710648149</v>
          </cell>
          <cell r="C52" t="str">
            <v>INV(BAL) / 2021-2022 / 4032</v>
          </cell>
          <cell r="D52" t="str">
            <v>RETAIL</v>
          </cell>
          <cell r="E52">
            <v>233714.01</v>
          </cell>
          <cell r="F52">
            <v>0</v>
          </cell>
          <cell r="G52">
            <v>0</v>
          </cell>
          <cell r="H52">
            <v>150.12</v>
          </cell>
          <cell r="I52">
            <v>120079.4</v>
          </cell>
          <cell r="J52">
            <v>42027.79</v>
          </cell>
          <cell r="K52">
            <v>1621.07</v>
          </cell>
          <cell r="L52">
            <v>163728.26</v>
          </cell>
          <cell r="M52">
            <v>69985.75</v>
          </cell>
          <cell r="N52">
            <v>2021</v>
          </cell>
          <cell r="O52">
            <v>0.35000000000000003</v>
          </cell>
          <cell r="P52">
            <v>1.3499984177136128E-2</v>
          </cell>
          <cell r="Q52" t="str">
            <v>Liquor</v>
          </cell>
          <cell r="R52">
            <v>200.16</v>
          </cell>
          <cell r="S52" t="b">
            <v>1</v>
          </cell>
        </row>
        <row r="53">
          <cell r="A53">
            <v>52</v>
          </cell>
          <cell r="B53">
            <v>44344.355162037034</v>
          </cell>
          <cell r="C53" t="str">
            <v>INV(BAL) / 2021-2022 / 4033</v>
          </cell>
          <cell r="D53" t="str">
            <v>RETAIL</v>
          </cell>
          <cell r="E53">
            <v>69985.75</v>
          </cell>
          <cell r="F53">
            <v>0</v>
          </cell>
          <cell r="G53">
            <v>174</v>
          </cell>
          <cell r="H53">
            <v>0</v>
          </cell>
          <cell r="I53">
            <v>26349.18</v>
          </cell>
          <cell r="J53">
            <v>9222.2099999999991</v>
          </cell>
          <cell r="K53">
            <v>355.71</v>
          </cell>
          <cell r="L53">
            <v>35927.11</v>
          </cell>
          <cell r="M53">
            <v>34058.639999999999</v>
          </cell>
          <cell r="N53">
            <v>2021</v>
          </cell>
          <cell r="O53">
            <v>0.34999988614446442</v>
          </cell>
          <cell r="P53">
            <v>1.3499850849248438E-2</v>
          </cell>
          <cell r="Q53" t="str">
            <v>Beer</v>
          </cell>
          <cell r="R53">
            <v>174</v>
          </cell>
          <cell r="S53" t="b">
            <v>1</v>
          </cell>
        </row>
        <row r="54">
          <cell r="A54">
            <v>53</v>
          </cell>
          <cell r="B54">
            <v>44347.004212962966</v>
          </cell>
          <cell r="C54" t="str">
            <v>OSBC/BAL/MR/4598/2021-2022</v>
          </cell>
          <cell r="D54" t="str">
            <v>GOVT</v>
          </cell>
          <cell r="E54">
            <v>34058.639999999999</v>
          </cell>
          <cell r="F54">
            <v>74500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108558.64</v>
          </cell>
          <cell r="N54">
            <v>2021</v>
          </cell>
          <cell r="O54">
            <v>0</v>
          </cell>
          <cell r="P54">
            <v>0</v>
          </cell>
          <cell r="Q54" t="str">
            <v>-</v>
          </cell>
          <cell r="R54">
            <v>0</v>
          </cell>
          <cell r="S54" t="b">
            <v>1</v>
          </cell>
        </row>
        <row r="55">
          <cell r="A55">
            <v>54</v>
          </cell>
          <cell r="B55">
            <v>44347.992349537039</v>
          </cell>
          <cell r="C55" t="str">
            <v>OSBC/BAL/MR/4719/2021-2022</v>
          </cell>
          <cell r="D55" t="str">
            <v>GOVT</v>
          </cell>
          <cell r="E55">
            <v>108558.64</v>
          </cell>
          <cell r="F55">
            <v>132000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240558.64</v>
          </cell>
          <cell r="N55">
            <v>2021</v>
          </cell>
          <cell r="O55">
            <v>0</v>
          </cell>
          <cell r="P55">
            <v>0</v>
          </cell>
          <cell r="Q55" t="str">
            <v>-</v>
          </cell>
          <cell r="R55">
            <v>0</v>
          </cell>
          <cell r="S55" t="b">
            <v>1</v>
          </cell>
        </row>
        <row r="56">
          <cell r="A56">
            <v>55</v>
          </cell>
          <cell r="B56">
            <v>44350.398564814815</v>
          </cell>
          <cell r="C56" t="str">
            <v>INV(BAL) / 2021-2022 / 4583</v>
          </cell>
          <cell r="D56" t="str">
            <v>RETAIL</v>
          </cell>
          <cell r="E56">
            <v>240558.64</v>
          </cell>
          <cell r="F56">
            <v>0</v>
          </cell>
          <cell r="G56">
            <v>0</v>
          </cell>
          <cell r="H56">
            <v>155.25</v>
          </cell>
          <cell r="I56">
            <v>119999.96</v>
          </cell>
          <cell r="J56">
            <v>42000</v>
          </cell>
          <cell r="K56">
            <v>1620</v>
          </cell>
          <cell r="L56">
            <v>163619.96</v>
          </cell>
          <cell r="M56">
            <v>76938.679999999993</v>
          </cell>
          <cell r="N56">
            <v>2021</v>
          </cell>
          <cell r="O56">
            <v>0.35000011666670555</v>
          </cell>
          <cell r="P56">
            <v>1.35000045000015E-2</v>
          </cell>
          <cell r="Q56" t="str">
            <v>Liquor</v>
          </cell>
          <cell r="R56">
            <v>207</v>
          </cell>
          <cell r="S56" t="b">
            <v>1</v>
          </cell>
        </row>
        <row r="57">
          <cell r="A57">
            <v>56</v>
          </cell>
          <cell r="B57">
            <v>44350.398993055554</v>
          </cell>
          <cell r="C57" t="str">
            <v>INV(BAL) / 2021-2022 / 4584</v>
          </cell>
          <cell r="D57" t="str">
            <v>RETAIL</v>
          </cell>
          <cell r="E57">
            <v>76938.679999999993</v>
          </cell>
          <cell r="F57">
            <v>0</v>
          </cell>
          <cell r="G57">
            <v>138</v>
          </cell>
          <cell r="H57">
            <v>0</v>
          </cell>
          <cell r="I57">
            <v>20634.900000000001</v>
          </cell>
          <cell r="J57">
            <v>7222.22</v>
          </cell>
          <cell r="K57">
            <v>278.57</v>
          </cell>
          <cell r="L57">
            <v>28135.69</v>
          </cell>
          <cell r="M57">
            <v>48802.99</v>
          </cell>
          <cell r="N57">
            <v>2021</v>
          </cell>
          <cell r="O57">
            <v>0.35000024230793458</v>
          </cell>
          <cell r="P57">
            <v>1.3499944269175036E-2</v>
          </cell>
          <cell r="Q57" t="str">
            <v>Beer</v>
          </cell>
          <cell r="R57">
            <v>138</v>
          </cell>
          <cell r="S57" t="b">
            <v>1</v>
          </cell>
        </row>
        <row r="58">
          <cell r="A58">
            <v>57</v>
          </cell>
          <cell r="B58">
            <v>44353.978703703702</v>
          </cell>
          <cell r="C58" t="str">
            <v>OSBC/BAL/MR/5186/2021-2022</v>
          </cell>
          <cell r="D58" t="str">
            <v>GOVT</v>
          </cell>
          <cell r="E58">
            <v>48802.99</v>
          </cell>
          <cell r="F58">
            <v>70000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118802.99</v>
          </cell>
          <cell r="N58">
            <v>2021</v>
          </cell>
          <cell r="O58">
            <v>0</v>
          </cell>
          <cell r="P58">
            <v>0</v>
          </cell>
          <cell r="Q58" t="str">
            <v>-</v>
          </cell>
          <cell r="R58">
            <v>0</v>
          </cell>
          <cell r="S58" t="b">
            <v>1</v>
          </cell>
        </row>
        <row r="59">
          <cell r="A59">
            <v>58</v>
          </cell>
          <cell r="B59">
            <v>44356.379907407405</v>
          </cell>
          <cell r="C59" t="str">
            <v>INV(BAL) / 2021-2022 / 5124</v>
          </cell>
          <cell r="D59" t="str">
            <v>RETAIL</v>
          </cell>
          <cell r="E59">
            <v>118802.99</v>
          </cell>
          <cell r="F59">
            <v>0</v>
          </cell>
          <cell r="G59">
            <v>0</v>
          </cell>
          <cell r="H59">
            <v>33.75</v>
          </cell>
          <cell r="I59">
            <v>33492.06</v>
          </cell>
          <cell r="J59">
            <v>11722.22</v>
          </cell>
          <cell r="K59">
            <v>452.14</v>
          </cell>
          <cell r="L59">
            <v>45666.42</v>
          </cell>
          <cell r="M59">
            <v>73136.570000000007</v>
          </cell>
          <cell r="N59">
            <v>2021</v>
          </cell>
          <cell r="O59">
            <v>0.34999997014217699</v>
          </cell>
          <cell r="P59">
            <v>1.3499916099517319E-2</v>
          </cell>
          <cell r="Q59" t="str">
            <v>Liquor</v>
          </cell>
          <cell r="R59">
            <v>45</v>
          </cell>
          <cell r="S59" t="b">
            <v>1</v>
          </cell>
        </row>
        <row r="60">
          <cell r="A60">
            <v>59</v>
          </cell>
          <cell r="B60">
            <v>44360.781388888892</v>
          </cell>
          <cell r="C60" t="str">
            <v>OSBC/BAL/MR/5745/2021-2022</v>
          </cell>
          <cell r="D60" t="str">
            <v>GOVT</v>
          </cell>
          <cell r="E60">
            <v>73136.570000000007</v>
          </cell>
          <cell r="F60">
            <v>56000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129136.57</v>
          </cell>
          <cell r="N60">
            <v>2021</v>
          </cell>
          <cell r="O60">
            <v>0</v>
          </cell>
          <cell r="P60">
            <v>0</v>
          </cell>
          <cell r="Q60" t="str">
            <v>-</v>
          </cell>
          <cell r="R60">
            <v>0</v>
          </cell>
          <cell r="S60" t="b">
            <v>1</v>
          </cell>
        </row>
        <row r="61">
          <cell r="A61">
            <v>60</v>
          </cell>
          <cell r="B61">
            <v>44361.391481481478</v>
          </cell>
          <cell r="C61" t="str">
            <v>INV(BAL) / 2021-2022 / 5382</v>
          </cell>
          <cell r="D61" t="str">
            <v>RETAIL</v>
          </cell>
          <cell r="E61">
            <v>129136.57</v>
          </cell>
          <cell r="F61">
            <v>0</v>
          </cell>
          <cell r="G61">
            <v>0</v>
          </cell>
          <cell r="H61">
            <v>104.22</v>
          </cell>
          <cell r="I61">
            <v>83095.25</v>
          </cell>
          <cell r="J61">
            <v>29083.34</v>
          </cell>
          <cell r="K61">
            <v>1121.79</v>
          </cell>
          <cell r="L61">
            <v>113300.37</v>
          </cell>
          <cell r="M61">
            <v>15836.2</v>
          </cell>
          <cell r="N61">
            <v>2021</v>
          </cell>
          <cell r="O61">
            <v>0.35000003008595559</v>
          </cell>
          <cell r="P61">
            <v>1.3500049641826698E-2</v>
          </cell>
          <cell r="Q61" t="str">
            <v>Liquor</v>
          </cell>
          <cell r="R61">
            <v>138.96</v>
          </cell>
          <cell r="S61" t="b">
            <v>1</v>
          </cell>
        </row>
        <row r="62">
          <cell r="A62">
            <v>61</v>
          </cell>
          <cell r="B62">
            <v>44361.391817129632</v>
          </cell>
          <cell r="C62" t="str">
            <v>INV(BAL) / 2021-2022 / 5383</v>
          </cell>
          <cell r="D62" t="str">
            <v>RETAIL</v>
          </cell>
          <cell r="E62">
            <v>15836.2</v>
          </cell>
          <cell r="F62">
            <v>0</v>
          </cell>
          <cell r="G62">
            <v>78.599999999999994</v>
          </cell>
          <cell r="H62">
            <v>0</v>
          </cell>
          <cell r="I62">
            <v>11587.29</v>
          </cell>
          <cell r="J62">
            <v>4055.55</v>
          </cell>
          <cell r="K62">
            <v>156.43</v>
          </cell>
          <cell r="L62">
            <v>15799.27</v>
          </cell>
          <cell r="M62">
            <v>36.93</v>
          </cell>
          <cell r="N62">
            <v>2021</v>
          </cell>
          <cell r="O62">
            <v>0.34999987054781573</v>
          </cell>
          <cell r="P62">
            <v>1.350013678780802E-2</v>
          </cell>
          <cell r="Q62" t="str">
            <v>Beer</v>
          </cell>
          <cell r="R62">
            <v>78.599999999999994</v>
          </cell>
          <cell r="S62" t="b">
            <v>1</v>
          </cell>
        </row>
        <row r="63">
          <cell r="A63">
            <v>62</v>
          </cell>
          <cell r="B63">
            <v>44364.007881944446</v>
          </cell>
          <cell r="C63" t="str">
            <v>OSBC/BAL/MR/6153/2021-2022</v>
          </cell>
          <cell r="D63" t="str">
            <v>GOVT</v>
          </cell>
          <cell r="E63">
            <v>36.93</v>
          </cell>
          <cell r="F63">
            <v>124000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124036.93</v>
          </cell>
          <cell r="N63">
            <v>2021</v>
          </cell>
          <cell r="O63">
            <v>0</v>
          </cell>
          <cell r="P63">
            <v>0</v>
          </cell>
          <cell r="Q63" t="str">
            <v>-</v>
          </cell>
          <cell r="R63">
            <v>0</v>
          </cell>
          <cell r="S63" t="b">
            <v>1</v>
          </cell>
        </row>
        <row r="64">
          <cell r="A64">
            <v>63</v>
          </cell>
          <cell r="B64">
            <v>44364.28496527778</v>
          </cell>
          <cell r="C64" t="str">
            <v>OSBC/BAL/MR/6166/2021-2022</v>
          </cell>
          <cell r="D64" t="str">
            <v>GOVT</v>
          </cell>
          <cell r="E64">
            <v>124036.93</v>
          </cell>
          <cell r="F64">
            <v>159000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283036.93</v>
          </cell>
          <cell r="N64">
            <v>2021</v>
          </cell>
          <cell r="O64">
            <v>0</v>
          </cell>
          <cell r="P64">
            <v>0</v>
          </cell>
          <cell r="Q64" t="str">
            <v>-</v>
          </cell>
          <cell r="R64">
            <v>0</v>
          </cell>
          <cell r="S64" t="b">
            <v>1</v>
          </cell>
        </row>
        <row r="65">
          <cell r="A65">
            <v>64</v>
          </cell>
          <cell r="B65">
            <v>44364.439039351855</v>
          </cell>
          <cell r="C65" t="str">
            <v>INV(BAL) / 2021-2022 / 5695</v>
          </cell>
          <cell r="D65" t="str">
            <v>RETAIL</v>
          </cell>
          <cell r="E65">
            <v>283036.93</v>
          </cell>
          <cell r="F65">
            <v>0</v>
          </cell>
          <cell r="G65">
            <v>0</v>
          </cell>
          <cell r="H65">
            <v>202.5</v>
          </cell>
          <cell r="I65">
            <v>171031.77</v>
          </cell>
          <cell r="J65">
            <v>59861.120000000003</v>
          </cell>
          <cell r="K65">
            <v>2308.9299999999998</v>
          </cell>
          <cell r="L65">
            <v>233201.82</v>
          </cell>
          <cell r="M65">
            <v>49835.11</v>
          </cell>
          <cell r="N65">
            <v>2021</v>
          </cell>
          <cell r="O65">
            <v>0.35000000292343353</v>
          </cell>
          <cell r="P65">
            <v>1.3500006460787958E-2</v>
          </cell>
          <cell r="Q65" t="str">
            <v>Liquor</v>
          </cell>
          <cell r="R65">
            <v>270</v>
          </cell>
          <cell r="S65" t="b">
            <v>1</v>
          </cell>
        </row>
        <row r="66">
          <cell r="A66">
            <v>65</v>
          </cell>
          <cell r="B66">
            <v>44364.439444444448</v>
          </cell>
          <cell r="C66" t="str">
            <v>INV(BAL) / 2021-2022 / 5696</v>
          </cell>
          <cell r="D66" t="str">
            <v>RETAIL</v>
          </cell>
          <cell r="E66">
            <v>49835.11</v>
          </cell>
          <cell r="F66">
            <v>0</v>
          </cell>
          <cell r="G66">
            <v>237</v>
          </cell>
          <cell r="H66">
            <v>0</v>
          </cell>
          <cell r="I66">
            <v>35714.25</v>
          </cell>
          <cell r="J66">
            <v>12499.99</v>
          </cell>
          <cell r="K66">
            <v>482.14</v>
          </cell>
          <cell r="L66">
            <v>48696.38</v>
          </cell>
          <cell r="M66">
            <v>1138.73</v>
          </cell>
          <cell r="N66">
            <v>2021</v>
          </cell>
          <cell r="O66">
            <v>0.35000007000007</v>
          </cell>
          <cell r="P66">
            <v>1.34999334999335E-2</v>
          </cell>
          <cell r="Q66" t="str">
            <v>Beer</v>
          </cell>
          <cell r="R66">
            <v>237</v>
          </cell>
          <cell r="S66" t="b">
            <v>1</v>
          </cell>
        </row>
        <row r="67">
          <cell r="A67">
            <v>66</v>
          </cell>
          <cell r="B67">
            <v>44367.979884259257</v>
          </cell>
          <cell r="C67" t="str">
            <v>OSBC/BAL/MR/6444/2021-2022</v>
          </cell>
          <cell r="D67" t="str">
            <v>GOVT</v>
          </cell>
          <cell r="E67">
            <v>1138.73</v>
          </cell>
          <cell r="F67">
            <v>239000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240138.73</v>
          </cell>
          <cell r="N67">
            <v>2021</v>
          </cell>
          <cell r="O67">
            <v>0</v>
          </cell>
          <cell r="P67">
            <v>0</v>
          </cell>
          <cell r="Q67" t="str">
            <v>-</v>
          </cell>
          <cell r="R67">
            <v>0</v>
          </cell>
          <cell r="S67" t="b">
            <v>1</v>
          </cell>
        </row>
        <row r="68">
          <cell r="A68">
            <v>67</v>
          </cell>
          <cell r="B68">
            <v>44368.407083333332</v>
          </cell>
          <cell r="C68" t="str">
            <v>INV(BAL) / 2021-2022 / 5971</v>
          </cell>
          <cell r="D68" t="str">
            <v>RETAIL</v>
          </cell>
          <cell r="E68">
            <v>240138.73</v>
          </cell>
          <cell r="F68">
            <v>0</v>
          </cell>
          <cell r="G68">
            <v>0</v>
          </cell>
          <cell r="H68">
            <v>182.52</v>
          </cell>
          <cell r="I68">
            <v>148174.64000000001</v>
          </cell>
          <cell r="J68">
            <v>51861.16</v>
          </cell>
          <cell r="K68">
            <v>2000</v>
          </cell>
          <cell r="L68">
            <v>202035.8</v>
          </cell>
          <cell r="M68">
            <v>38102.93</v>
          </cell>
          <cell r="N68">
            <v>2021</v>
          </cell>
          <cell r="O68">
            <v>0.35000024295655452</v>
          </cell>
          <cell r="P68">
            <v>1.3497586361606816E-2</v>
          </cell>
          <cell r="Q68" t="str">
            <v>Liquor</v>
          </cell>
          <cell r="R68">
            <v>243.36</v>
          </cell>
          <cell r="S68" t="b">
            <v>1</v>
          </cell>
        </row>
        <row r="69">
          <cell r="A69">
            <v>68</v>
          </cell>
          <cell r="B69">
            <v>44368.414085648146</v>
          </cell>
          <cell r="C69" t="str">
            <v>INV(BAL) / 2021-2022 / 5974</v>
          </cell>
          <cell r="D69" t="str">
            <v>RETAIL</v>
          </cell>
          <cell r="E69">
            <v>38102.93</v>
          </cell>
          <cell r="F69">
            <v>0</v>
          </cell>
          <cell r="G69">
            <v>184.8</v>
          </cell>
          <cell r="H69">
            <v>0</v>
          </cell>
          <cell r="I69">
            <v>27857.119999999999</v>
          </cell>
          <cell r="J69">
            <v>9749.99</v>
          </cell>
          <cell r="K69">
            <v>376.07</v>
          </cell>
          <cell r="L69">
            <v>37983.18</v>
          </cell>
          <cell r="M69">
            <v>119.75</v>
          </cell>
          <cell r="N69">
            <v>2021</v>
          </cell>
          <cell r="O69">
            <v>0.34999992820506931</v>
          </cell>
          <cell r="P69">
            <v>1.3499959794838806E-2</v>
          </cell>
          <cell r="Q69" t="str">
            <v>Beer</v>
          </cell>
          <cell r="R69">
            <v>184.8</v>
          </cell>
          <cell r="S69" t="b">
            <v>1</v>
          </cell>
        </row>
        <row r="70">
          <cell r="A70">
            <v>69</v>
          </cell>
          <cell r="B70">
            <v>44370.382326388892</v>
          </cell>
          <cell r="C70" t="str">
            <v>OSBC/BAL/MR/6729/2021-2022</v>
          </cell>
          <cell r="D70" t="str">
            <v>GOVT</v>
          </cell>
          <cell r="E70">
            <v>119.75</v>
          </cell>
          <cell r="F70">
            <v>114000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114119.75</v>
          </cell>
          <cell r="N70">
            <v>2021</v>
          </cell>
          <cell r="O70">
            <v>0</v>
          </cell>
          <cell r="P70">
            <v>0</v>
          </cell>
          <cell r="Q70" t="str">
            <v>-</v>
          </cell>
          <cell r="R70">
            <v>0</v>
          </cell>
          <cell r="S70" t="b">
            <v>1</v>
          </cell>
        </row>
        <row r="71">
          <cell r="A71">
            <v>70</v>
          </cell>
          <cell r="B71">
            <v>44370.431273148148</v>
          </cell>
          <cell r="C71" t="str">
            <v>OSBC/BAL/MR/6741/2021-2022</v>
          </cell>
          <cell r="D71" t="str">
            <v>GOVT</v>
          </cell>
          <cell r="E71">
            <v>114119.75</v>
          </cell>
          <cell r="F71">
            <v>40000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154119.75</v>
          </cell>
          <cell r="N71">
            <v>2021</v>
          </cell>
          <cell r="O71">
            <v>0</v>
          </cell>
          <cell r="P71">
            <v>0</v>
          </cell>
          <cell r="Q71" t="str">
            <v>-</v>
          </cell>
          <cell r="R71">
            <v>0</v>
          </cell>
          <cell r="S71" t="b">
            <v>1</v>
          </cell>
        </row>
        <row r="72">
          <cell r="A72">
            <v>71</v>
          </cell>
          <cell r="B72">
            <v>44370.483136574076</v>
          </cell>
          <cell r="C72" t="str">
            <v>INV(BAL) / 2021-2022 / 6294</v>
          </cell>
          <cell r="D72" t="str">
            <v>RETAIL</v>
          </cell>
          <cell r="E72">
            <v>154119.75</v>
          </cell>
          <cell r="F72">
            <v>0</v>
          </cell>
          <cell r="G72">
            <v>0</v>
          </cell>
          <cell r="H72">
            <v>128.38999999999999</v>
          </cell>
          <cell r="I72">
            <v>109841.3</v>
          </cell>
          <cell r="J72">
            <v>38444.46</v>
          </cell>
          <cell r="K72">
            <v>1483</v>
          </cell>
          <cell r="L72">
            <v>149768.76</v>
          </cell>
          <cell r="M72">
            <v>4350.99</v>
          </cell>
          <cell r="N72">
            <v>2021</v>
          </cell>
          <cell r="O72">
            <v>0.35000004552021868</v>
          </cell>
          <cell r="P72">
            <v>1.3501296871031205E-2</v>
          </cell>
          <cell r="Q72" t="str">
            <v>Liquor</v>
          </cell>
          <cell r="R72">
            <v>171.18666666666664</v>
          </cell>
          <cell r="S72" t="b">
            <v>1</v>
          </cell>
        </row>
        <row r="73">
          <cell r="A73">
            <v>72</v>
          </cell>
          <cell r="B73">
            <v>44372.374050925922</v>
          </cell>
          <cell r="C73" t="str">
            <v>OSBC/BAL/MR/6920/2021-2022</v>
          </cell>
          <cell r="D73" t="str">
            <v>GOVT</v>
          </cell>
          <cell r="E73">
            <v>4350.99</v>
          </cell>
          <cell r="F73">
            <v>160000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164350.99</v>
          </cell>
          <cell r="N73">
            <v>2021</v>
          </cell>
          <cell r="O73">
            <v>0</v>
          </cell>
          <cell r="P73">
            <v>0</v>
          </cell>
          <cell r="Q73" t="str">
            <v>-</v>
          </cell>
          <cell r="R73">
            <v>0</v>
          </cell>
          <cell r="S73" t="b">
            <v>1</v>
          </cell>
        </row>
        <row r="74">
          <cell r="A74">
            <v>73</v>
          </cell>
          <cell r="B74">
            <v>44372.409907407404</v>
          </cell>
          <cell r="C74" t="str">
            <v>INV(BAL) / 2021-2022 / 6424</v>
          </cell>
          <cell r="D74" t="str">
            <v>RETAIL</v>
          </cell>
          <cell r="E74">
            <v>164350.99</v>
          </cell>
          <cell r="F74">
            <v>0</v>
          </cell>
          <cell r="G74">
            <v>169.8</v>
          </cell>
          <cell r="H74">
            <v>0</v>
          </cell>
          <cell r="I74">
            <v>25555.53</v>
          </cell>
          <cell r="J74">
            <v>8944.44</v>
          </cell>
          <cell r="K74">
            <v>345</v>
          </cell>
          <cell r="L74">
            <v>34844.97</v>
          </cell>
          <cell r="M74">
            <v>129506.02</v>
          </cell>
          <cell r="N74">
            <v>2021</v>
          </cell>
          <cell r="O74">
            <v>0.35000017608713263</v>
          </cell>
          <cell r="P74">
            <v>1.3500013500013501E-2</v>
          </cell>
          <cell r="Q74" t="str">
            <v>Beer</v>
          </cell>
          <cell r="R74">
            <v>169.8</v>
          </cell>
          <cell r="S74" t="b">
            <v>1</v>
          </cell>
        </row>
        <row r="75">
          <cell r="A75">
            <v>74</v>
          </cell>
          <cell r="B75">
            <v>44372.42931712963</v>
          </cell>
          <cell r="C75" t="str">
            <v>INV(BAL) / 2021-2022 / 6434</v>
          </cell>
          <cell r="D75" t="str">
            <v>RETAIL</v>
          </cell>
          <cell r="E75">
            <v>129506.02</v>
          </cell>
          <cell r="F75">
            <v>0</v>
          </cell>
          <cell r="G75">
            <v>0</v>
          </cell>
          <cell r="H75">
            <v>117.45</v>
          </cell>
          <cell r="I75">
            <v>94523.839999999997</v>
          </cell>
          <cell r="J75">
            <v>33083.360000000001</v>
          </cell>
          <cell r="K75">
            <v>1276</v>
          </cell>
          <cell r="L75">
            <v>128883.2</v>
          </cell>
          <cell r="M75">
            <v>622.82000000000005</v>
          </cell>
          <cell r="N75">
            <v>2021</v>
          </cell>
          <cell r="O75">
            <v>0.35000016926946687</v>
          </cell>
          <cell r="P75">
            <v>1.3499239980093912E-2</v>
          </cell>
          <cell r="Q75" t="str">
            <v>Liquor</v>
          </cell>
          <cell r="R75">
            <v>156.6</v>
          </cell>
          <cell r="S75" t="b">
            <v>1</v>
          </cell>
        </row>
        <row r="76">
          <cell r="A76">
            <v>75</v>
          </cell>
          <cell r="B76">
            <v>44376.313750000001</v>
          </cell>
          <cell r="C76" t="str">
            <v>OSBC/BAL/MR/7192/2021-2022</v>
          </cell>
          <cell r="D76" t="str">
            <v>GOVT</v>
          </cell>
          <cell r="E76">
            <v>622.82000000000005</v>
          </cell>
          <cell r="F76">
            <v>105500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106122.82</v>
          </cell>
          <cell r="N76">
            <v>2021</v>
          </cell>
          <cell r="O76">
            <v>0</v>
          </cell>
          <cell r="P76">
            <v>0</v>
          </cell>
          <cell r="Q76" t="str">
            <v>-</v>
          </cell>
          <cell r="R76">
            <v>0</v>
          </cell>
          <cell r="S76" t="b">
            <v>1</v>
          </cell>
        </row>
        <row r="77">
          <cell r="A77">
            <v>76</v>
          </cell>
          <cell r="B77">
            <v>44376.379652777781</v>
          </cell>
          <cell r="C77" t="str">
            <v>OSBC/BAL/MR/7221/2021-2022</v>
          </cell>
          <cell r="D77" t="str">
            <v>GOVT</v>
          </cell>
          <cell r="E77">
            <v>106122.82</v>
          </cell>
          <cell r="F77">
            <v>75000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181122.82</v>
          </cell>
          <cell r="N77">
            <v>2021</v>
          </cell>
          <cell r="O77">
            <v>0</v>
          </cell>
          <cell r="P77">
            <v>0</v>
          </cell>
          <cell r="Q77" t="str">
            <v>-</v>
          </cell>
          <cell r="R77">
            <v>0</v>
          </cell>
          <cell r="S77" t="b">
            <v>1</v>
          </cell>
        </row>
        <row r="78">
          <cell r="A78">
            <v>77</v>
          </cell>
          <cell r="B78">
            <v>44376.396689814814</v>
          </cell>
          <cell r="C78" t="str">
            <v>OSBC/BAL/MR/7225/2021-2022</v>
          </cell>
          <cell r="D78" t="str">
            <v>GOVT</v>
          </cell>
          <cell r="E78">
            <v>181122.82</v>
          </cell>
          <cell r="F78">
            <v>15000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196122.82</v>
          </cell>
          <cell r="N78">
            <v>2021</v>
          </cell>
          <cell r="O78">
            <v>0</v>
          </cell>
          <cell r="P78">
            <v>0</v>
          </cell>
          <cell r="Q78" t="str">
            <v>-</v>
          </cell>
          <cell r="R78">
            <v>0</v>
          </cell>
          <cell r="S78" t="b">
            <v>1</v>
          </cell>
        </row>
        <row r="79">
          <cell r="A79">
            <v>78</v>
          </cell>
          <cell r="B79">
            <v>44376.406956018516</v>
          </cell>
          <cell r="C79" t="str">
            <v>OSBC/BAL/MR/7230/2021-2022</v>
          </cell>
          <cell r="D79" t="str">
            <v>GOVT</v>
          </cell>
          <cell r="E79">
            <v>196122.82</v>
          </cell>
          <cell r="F79">
            <v>34000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230122.82</v>
          </cell>
          <cell r="N79">
            <v>2021</v>
          </cell>
          <cell r="O79">
            <v>0</v>
          </cell>
          <cell r="P79">
            <v>0</v>
          </cell>
          <cell r="Q79" t="str">
            <v>-</v>
          </cell>
          <cell r="R79">
            <v>0</v>
          </cell>
          <cell r="S79" t="b">
            <v>1</v>
          </cell>
        </row>
        <row r="80">
          <cell r="A80">
            <v>79</v>
          </cell>
          <cell r="B80">
            <v>44376.484733796293</v>
          </cell>
          <cell r="C80" t="str">
            <v>INV(BAL) / 2021-2022 / 6646</v>
          </cell>
          <cell r="D80" t="str">
            <v>RETAIL</v>
          </cell>
          <cell r="E80">
            <v>230122.82</v>
          </cell>
          <cell r="F80">
            <v>0</v>
          </cell>
          <cell r="G80">
            <v>0</v>
          </cell>
          <cell r="H80">
            <v>195.75</v>
          </cell>
          <cell r="I80">
            <v>166349.26999999999</v>
          </cell>
          <cell r="J80">
            <v>58222.26</v>
          </cell>
          <cell r="K80">
            <v>2246</v>
          </cell>
          <cell r="L80">
            <v>226817.53</v>
          </cell>
          <cell r="M80">
            <v>3305.29</v>
          </cell>
          <cell r="N80">
            <v>2021</v>
          </cell>
          <cell r="O80">
            <v>0.35000009317744529</v>
          </cell>
          <cell r="P80">
            <v>1.3501712391043256E-2</v>
          </cell>
          <cell r="Q80" t="str">
            <v>Liquor</v>
          </cell>
          <cell r="R80">
            <v>261</v>
          </cell>
          <cell r="S80" t="b">
            <v>1</v>
          </cell>
        </row>
        <row r="81">
          <cell r="A81">
            <v>80</v>
          </cell>
          <cell r="B81">
            <v>44378.364861111113</v>
          </cell>
          <cell r="C81" t="str">
            <v>OSBC/BAL/MR/7442/2021-2022</v>
          </cell>
          <cell r="D81" t="str">
            <v>GOVT</v>
          </cell>
          <cell r="E81">
            <v>3305.29</v>
          </cell>
          <cell r="F81">
            <v>200000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203305.29</v>
          </cell>
          <cell r="N81">
            <v>2021</v>
          </cell>
          <cell r="O81">
            <v>0</v>
          </cell>
          <cell r="P81">
            <v>0</v>
          </cell>
          <cell r="Q81" t="str">
            <v>-</v>
          </cell>
          <cell r="R81">
            <v>0</v>
          </cell>
          <cell r="S81" t="b">
            <v>1</v>
          </cell>
        </row>
        <row r="82">
          <cell r="A82">
            <v>81</v>
          </cell>
          <cell r="B82">
            <v>44378.419548611113</v>
          </cell>
          <cell r="C82" t="str">
            <v>INV(BAL) / 2021-2022 / 6950</v>
          </cell>
          <cell r="D82" t="str">
            <v>RETAIL</v>
          </cell>
          <cell r="E82">
            <v>203305.29</v>
          </cell>
          <cell r="F82">
            <v>0</v>
          </cell>
          <cell r="G82">
            <v>0</v>
          </cell>
          <cell r="H82">
            <v>151.19999999999999</v>
          </cell>
          <cell r="I82">
            <v>127936.55</v>
          </cell>
          <cell r="J82">
            <v>44777.79</v>
          </cell>
          <cell r="K82">
            <v>1727.14</v>
          </cell>
          <cell r="L82">
            <v>174441.49</v>
          </cell>
          <cell r="M82">
            <v>28863.8</v>
          </cell>
          <cell r="N82">
            <v>2021</v>
          </cell>
          <cell r="O82">
            <v>0.3499999804590635</v>
          </cell>
          <cell r="P82">
            <v>1.3499973228916991E-2</v>
          </cell>
          <cell r="Q82" t="str">
            <v>Liquor</v>
          </cell>
          <cell r="R82">
            <v>201.6</v>
          </cell>
          <cell r="S82" t="b">
            <v>1</v>
          </cell>
        </row>
        <row r="83">
          <cell r="A83">
            <v>82</v>
          </cell>
          <cell r="B83">
            <v>44378.419872685183</v>
          </cell>
          <cell r="C83" t="str">
            <v>INV(BAL) / 2021-2022 / 6951</v>
          </cell>
          <cell r="D83" t="str">
            <v>RETAIL</v>
          </cell>
          <cell r="E83">
            <v>28863.8</v>
          </cell>
          <cell r="F83">
            <v>0</v>
          </cell>
          <cell r="G83">
            <v>138</v>
          </cell>
          <cell r="H83">
            <v>0</v>
          </cell>
          <cell r="I83">
            <v>20634.900000000001</v>
          </cell>
          <cell r="J83">
            <v>7222.22</v>
          </cell>
          <cell r="K83">
            <v>278.57</v>
          </cell>
          <cell r="L83">
            <v>28135.69</v>
          </cell>
          <cell r="M83">
            <v>728.11</v>
          </cell>
          <cell r="N83">
            <v>2021</v>
          </cell>
          <cell r="O83">
            <v>0.35000024230793458</v>
          </cell>
          <cell r="P83">
            <v>1.3499944269175036E-2</v>
          </cell>
          <cell r="Q83" t="str">
            <v>Beer</v>
          </cell>
          <cell r="R83">
            <v>138</v>
          </cell>
          <cell r="S83" t="b">
            <v>1</v>
          </cell>
        </row>
        <row r="84">
          <cell r="A84">
            <v>83</v>
          </cell>
          <cell r="B84">
            <v>44382.371122685188</v>
          </cell>
          <cell r="C84" t="str">
            <v>OSBC/BAL/MR/7676/2021-2022</v>
          </cell>
          <cell r="D84" t="str">
            <v>GOVT</v>
          </cell>
          <cell r="E84">
            <v>728.11</v>
          </cell>
          <cell r="F84">
            <v>25000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25728.11</v>
          </cell>
          <cell r="N84">
            <v>2021</v>
          </cell>
          <cell r="O84">
            <v>0</v>
          </cell>
          <cell r="P84">
            <v>0</v>
          </cell>
          <cell r="Q84" t="str">
            <v>-</v>
          </cell>
          <cell r="R84">
            <v>0</v>
          </cell>
          <cell r="S84" t="b">
            <v>1</v>
          </cell>
        </row>
        <row r="85">
          <cell r="A85">
            <v>84</v>
          </cell>
          <cell r="B85">
            <v>44382.423310185186</v>
          </cell>
          <cell r="C85" t="str">
            <v>INV(BAL) / 2021-2022 / 7092</v>
          </cell>
          <cell r="D85" t="str">
            <v>RETAIL</v>
          </cell>
          <cell r="E85">
            <v>25728.11</v>
          </cell>
          <cell r="F85">
            <v>0</v>
          </cell>
          <cell r="G85">
            <v>126</v>
          </cell>
          <cell r="H85">
            <v>0</v>
          </cell>
          <cell r="I85">
            <v>18730.14</v>
          </cell>
          <cell r="J85">
            <v>6555.55</v>
          </cell>
          <cell r="K85">
            <v>252.86</v>
          </cell>
          <cell r="L85">
            <v>25538.55</v>
          </cell>
          <cell r="M85">
            <v>189.56</v>
          </cell>
          <cell r="N85">
            <v>2021</v>
          </cell>
          <cell r="O85">
            <v>0.35000005338988394</v>
          </cell>
          <cell r="P85">
            <v>1.3500166042538925E-2</v>
          </cell>
          <cell r="Q85" t="str">
            <v>Beer</v>
          </cell>
          <cell r="R85">
            <v>126</v>
          </cell>
          <cell r="S85" t="b">
            <v>1</v>
          </cell>
        </row>
        <row r="86">
          <cell r="A86">
            <v>85</v>
          </cell>
          <cell r="B86">
            <v>44384.031875000001</v>
          </cell>
          <cell r="C86" t="str">
            <v>OSBC/BAL/MR/7938/2021-2022</v>
          </cell>
          <cell r="D86" t="str">
            <v>GOVT</v>
          </cell>
          <cell r="E86">
            <v>189.56</v>
          </cell>
          <cell r="F86">
            <v>140000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140189.56</v>
          </cell>
          <cell r="N86">
            <v>2021</v>
          </cell>
          <cell r="O86">
            <v>0</v>
          </cell>
          <cell r="P86">
            <v>0</v>
          </cell>
          <cell r="Q86" t="str">
            <v>-</v>
          </cell>
          <cell r="R86">
            <v>0</v>
          </cell>
          <cell r="S86" t="b">
            <v>1</v>
          </cell>
        </row>
        <row r="87">
          <cell r="A87">
            <v>86</v>
          </cell>
          <cell r="B87">
            <v>44384.375486111108</v>
          </cell>
          <cell r="C87" t="str">
            <v>OSBC/BAL/MR/7957/2021-2022</v>
          </cell>
          <cell r="D87" t="str">
            <v>GOVT</v>
          </cell>
          <cell r="E87">
            <v>140189.56</v>
          </cell>
          <cell r="F87">
            <v>160000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300189.56</v>
          </cell>
          <cell r="N87">
            <v>2021</v>
          </cell>
          <cell r="O87">
            <v>0</v>
          </cell>
          <cell r="P87">
            <v>0</v>
          </cell>
          <cell r="Q87" t="str">
            <v>-</v>
          </cell>
          <cell r="R87">
            <v>0</v>
          </cell>
          <cell r="S87" t="b">
            <v>1</v>
          </cell>
        </row>
        <row r="88">
          <cell r="A88">
            <v>87</v>
          </cell>
          <cell r="B88">
            <v>44384.425312500003</v>
          </cell>
          <cell r="C88" t="str">
            <v>INV(BAL) / 2021-2022 / 7399</v>
          </cell>
          <cell r="D88" t="str">
            <v>RETAIL</v>
          </cell>
          <cell r="E88">
            <v>300189.56</v>
          </cell>
          <cell r="F88">
            <v>0</v>
          </cell>
          <cell r="G88">
            <v>149.4</v>
          </cell>
          <cell r="H88">
            <v>0</v>
          </cell>
          <cell r="I88">
            <v>22460.32</v>
          </cell>
          <cell r="J88">
            <v>7861.11</v>
          </cell>
          <cell r="K88">
            <v>303.20999999999998</v>
          </cell>
          <cell r="L88">
            <v>30624.65</v>
          </cell>
          <cell r="M88">
            <v>269564.90999999997</v>
          </cell>
          <cell r="N88">
            <v>2021</v>
          </cell>
          <cell r="O88">
            <v>0.34999991095407368</v>
          </cell>
          <cell r="P88">
            <v>1.3499807660799133E-2</v>
          </cell>
          <cell r="Q88" t="str">
            <v>Beer</v>
          </cell>
          <cell r="R88">
            <v>149.4</v>
          </cell>
          <cell r="S88" t="b">
            <v>1</v>
          </cell>
        </row>
        <row r="89">
          <cell r="A89">
            <v>88</v>
          </cell>
          <cell r="B89">
            <v>44384.442106481481</v>
          </cell>
          <cell r="C89" t="str">
            <v>INV(BAL) / 2021-2022 / 7409</v>
          </cell>
          <cell r="D89" t="str">
            <v>RETAIL</v>
          </cell>
          <cell r="E89">
            <v>269564.90999999997</v>
          </cell>
          <cell r="F89">
            <v>0</v>
          </cell>
          <cell r="G89">
            <v>0</v>
          </cell>
          <cell r="H89">
            <v>238.55</v>
          </cell>
          <cell r="I89">
            <v>197063.53</v>
          </cell>
          <cell r="J89">
            <v>68972.289999999994</v>
          </cell>
          <cell r="K89">
            <v>2660</v>
          </cell>
          <cell r="L89">
            <v>268695.81</v>
          </cell>
          <cell r="M89">
            <v>869.1</v>
          </cell>
          <cell r="N89">
            <v>2021</v>
          </cell>
          <cell r="O89">
            <v>0.35000027656055888</v>
          </cell>
          <cell r="P89">
            <v>1.3498185077675204E-2</v>
          </cell>
          <cell r="Q89" t="str">
            <v>Liquor</v>
          </cell>
          <cell r="R89">
            <v>318.06666666666666</v>
          </cell>
          <cell r="S89" t="b">
            <v>1</v>
          </cell>
        </row>
        <row r="90">
          <cell r="A90">
            <v>89</v>
          </cell>
          <cell r="B90">
            <v>44386.343865740739</v>
          </cell>
          <cell r="C90" t="str">
            <v>OSBC/BAL/MR/8220/2021-2022</v>
          </cell>
          <cell r="D90" t="str">
            <v>GOVT</v>
          </cell>
          <cell r="E90">
            <v>869.1</v>
          </cell>
          <cell r="F90">
            <v>199000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199869.1</v>
          </cell>
          <cell r="N90">
            <v>2021</v>
          </cell>
          <cell r="O90">
            <v>0</v>
          </cell>
          <cell r="P90">
            <v>0</v>
          </cell>
          <cell r="Q90" t="str">
            <v>-</v>
          </cell>
          <cell r="R90">
            <v>0</v>
          </cell>
          <cell r="S90" t="b">
            <v>1</v>
          </cell>
        </row>
        <row r="91">
          <cell r="A91">
            <v>90</v>
          </cell>
          <cell r="B91">
            <v>44386.409212962964</v>
          </cell>
          <cell r="C91" t="str">
            <v>INV(BAL) / 2021-2022 / 7643</v>
          </cell>
          <cell r="D91" t="str">
            <v>RETAIL</v>
          </cell>
          <cell r="E91">
            <v>199869.1</v>
          </cell>
          <cell r="F91">
            <v>0</v>
          </cell>
          <cell r="G91">
            <v>161.4</v>
          </cell>
          <cell r="H91">
            <v>0</v>
          </cell>
          <cell r="I91">
            <v>25952.37</v>
          </cell>
          <cell r="J91">
            <v>9083.33</v>
          </cell>
          <cell r="K91">
            <v>350.36</v>
          </cell>
          <cell r="L91">
            <v>35386.06</v>
          </cell>
          <cell r="M91">
            <v>164483.04</v>
          </cell>
          <cell r="N91">
            <v>2021</v>
          </cell>
          <cell r="O91">
            <v>0.35000001926606317</v>
          </cell>
          <cell r="P91">
            <v>1.3500115789039691E-2</v>
          </cell>
          <cell r="Q91" t="str">
            <v>Beer</v>
          </cell>
          <cell r="R91">
            <v>161.4</v>
          </cell>
          <cell r="S91" t="b">
            <v>1</v>
          </cell>
        </row>
        <row r="92">
          <cell r="A92">
            <v>91</v>
          </cell>
          <cell r="B92">
            <v>44386.409756944442</v>
          </cell>
          <cell r="C92" t="str">
            <v>INV(BAL) / 2021-2022 / 7644</v>
          </cell>
          <cell r="D92" t="str">
            <v>RETAIL</v>
          </cell>
          <cell r="E92">
            <v>164483.04</v>
          </cell>
          <cell r="F92">
            <v>0</v>
          </cell>
          <cell r="G92">
            <v>0</v>
          </cell>
          <cell r="H92">
            <v>137.69999999999999</v>
          </cell>
          <cell r="I92">
            <v>119920.65</v>
          </cell>
          <cell r="J92">
            <v>41972.23</v>
          </cell>
          <cell r="K92">
            <v>1618.93</v>
          </cell>
          <cell r="L92">
            <v>163511.81</v>
          </cell>
          <cell r="M92">
            <v>971.23</v>
          </cell>
          <cell r="N92">
            <v>2021</v>
          </cell>
          <cell r="O92">
            <v>0.35000002084711851</v>
          </cell>
          <cell r="P92">
            <v>1.3500010215088062E-2</v>
          </cell>
          <cell r="Q92" t="str">
            <v>Liquor</v>
          </cell>
          <cell r="R92">
            <v>183.6</v>
          </cell>
          <cell r="S92" t="b">
            <v>1</v>
          </cell>
        </row>
        <row r="93">
          <cell r="A93">
            <v>92</v>
          </cell>
          <cell r="B93">
            <v>44391.334826388891</v>
          </cell>
          <cell r="C93" t="str">
            <v>OSBC/BAL/MR/8620/2021-2022</v>
          </cell>
          <cell r="D93" t="str">
            <v>GOVT</v>
          </cell>
          <cell r="E93">
            <v>971.23</v>
          </cell>
          <cell r="F93">
            <v>332000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332971.23</v>
          </cell>
          <cell r="N93">
            <v>2021</v>
          </cell>
          <cell r="O93">
            <v>0</v>
          </cell>
          <cell r="P93">
            <v>0</v>
          </cell>
          <cell r="Q93" t="str">
            <v>-</v>
          </cell>
          <cell r="R93">
            <v>0</v>
          </cell>
          <cell r="S93" t="b">
            <v>1</v>
          </cell>
        </row>
        <row r="94">
          <cell r="A94">
            <v>93</v>
          </cell>
          <cell r="B94">
            <v>44391.362870370373</v>
          </cell>
          <cell r="C94" t="str">
            <v>OSBC/BAL/MR/8631/2021-2022</v>
          </cell>
          <cell r="D94" t="str">
            <v>GOVT</v>
          </cell>
          <cell r="E94">
            <v>332971.23</v>
          </cell>
          <cell r="F94">
            <v>200000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532971.23</v>
          </cell>
          <cell r="N94">
            <v>2021</v>
          </cell>
          <cell r="O94">
            <v>0</v>
          </cell>
          <cell r="P94">
            <v>0</v>
          </cell>
          <cell r="Q94" t="str">
            <v>-</v>
          </cell>
          <cell r="R94">
            <v>0</v>
          </cell>
          <cell r="S94" t="b">
            <v>1</v>
          </cell>
        </row>
        <row r="95">
          <cell r="A95">
            <v>94</v>
          </cell>
          <cell r="B95">
            <v>44391.523923611108</v>
          </cell>
          <cell r="C95" t="str">
            <v>INV(BAL) / 2021-2022 / 8009</v>
          </cell>
          <cell r="D95" t="str">
            <v>RETAIL</v>
          </cell>
          <cell r="E95">
            <v>532971.23</v>
          </cell>
          <cell r="F95">
            <v>0</v>
          </cell>
          <cell r="G95">
            <v>0</v>
          </cell>
          <cell r="H95">
            <v>373.14</v>
          </cell>
          <cell r="I95">
            <v>311349.24</v>
          </cell>
          <cell r="J95">
            <v>108972.32</v>
          </cell>
          <cell r="K95">
            <v>4203</v>
          </cell>
          <cell r="L95">
            <v>424524.56</v>
          </cell>
          <cell r="M95">
            <v>108446.67</v>
          </cell>
          <cell r="N95">
            <v>2021</v>
          </cell>
          <cell r="O95">
            <v>0.35000027621715091</v>
          </cell>
          <cell r="P95">
            <v>1.3499310292197919E-2</v>
          </cell>
          <cell r="Q95" t="str">
            <v>Liquor</v>
          </cell>
          <cell r="R95">
            <v>497.52</v>
          </cell>
          <cell r="S95" t="b">
            <v>1</v>
          </cell>
        </row>
        <row r="96">
          <cell r="A96">
            <v>95</v>
          </cell>
          <cell r="B96">
            <v>44391.524594907409</v>
          </cell>
          <cell r="C96" t="str">
            <v>INV(BAL) / 2021-2022 / 8010</v>
          </cell>
          <cell r="D96" t="str">
            <v>RETAIL</v>
          </cell>
          <cell r="E96">
            <v>108446.67</v>
          </cell>
          <cell r="F96">
            <v>0</v>
          </cell>
          <cell r="G96">
            <v>506.4</v>
          </cell>
          <cell r="H96">
            <v>0</v>
          </cell>
          <cell r="I96">
            <v>78809.56</v>
          </cell>
          <cell r="J96">
            <v>27583.45</v>
          </cell>
          <cell r="K96">
            <v>1064</v>
          </cell>
          <cell r="L96">
            <v>107457.01</v>
          </cell>
          <cell r="M96">
            <v>989.66</v>
          </cell>
          <cell r="N96">
            <v>2021</v>
          </cell>
          <cell r="O96">
            <v>0.35000131963685627</v>
          </cell>
          <cell r="P96">
            <v>1.3500900144601747E-2</v>
          </cell>
          <cell r="Q96" t="str">
            <v>Beer</v>
          </cell>
          <cell r="R96">
            <v>506.4</v>
          </cell>
          <cell r="S96" t="b">
            <v>1</v>
          </cell>
        </row>
        <row r="97">
          <cell r="A97">
            <v>96</v>
          </cell>
          <cell r="B97">
            <v>44393.415914351855</v>
          </cell>
          <cell r="C97" t="str">
            <v>OSBC/BAL/MR/8885/2021-2022</v>
          </cell>
          <cell r="D97" t="str">
            <v>GOVT</v>
          </cell>
          <cell r="E97">
            <v>989.66</v>
          </cell>
          <cell r="F97">
            <v>149000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149989.66</v>
          </cell>
          <cell r="N97">
            <v>2021</v>
          </cell>
          <cell r="O97">
            <v>0</v>
          </cell>
          <cell r="P97">
            <v>0</v>
          </cell>
          <cell r="Q97" t="str">
            <v>-</v>
          </cell>
          <cell r="R97">
            <v>0</v>
          </cell>
          <cell r="S97" t="b">
            <v>1</v>
          </cell>
        </row>
        <row r="98">
          <cell r="A98">
            <v>97</v>
          </cell>
          <cell r="B98">
            <v>44393.431481481479</v>
          </cell>
          <cell r="C98" t="str">
            <v>INV(BAL) / 2021-2022 / 8227</v>
          </cell>
          <cell r="D98" t="str">
            <v>RETAIL</v>
          </cell>
          <cell r="E98">
            <v>149989.66</v>
          </cell>
          <cell r="F98">
            <v>0</v>
          </cell>
          <cell r="G98">
            <v>60</v>
          </cell>
          <cell r="H98">
            <v>0</v>
          </cell>
          <cell r="I98">
            <v>9523.7999999999993</v>
          </cell>
          <cell r="J98">
            <v>3333.33</v>
          </cell>
          <cell r="K98">
            <v>128.57</v>
          </cell>
          <cell r="L98">
            <v>12985.7</v>
          </cell>
          <cell r="M98">
            <v>137003.96</v>
          </cell>
          <cell r="N98">
            <v>2021</v>
          </cell>
          <cell r="O98">
            <v>0.35000000000000003</v>
          </cell>
          <cell r="P98">
            <v>1.34998634998635E-2</v>
          </cell>
          <cell r="Q98" t="str">
            <v>Beer</v>
          </cell>
          <cell r="R98">
            <v>60</v>
          </cell>
          <cell r="S98" t="b">
            <v>1</v>
          </cell>
        </row>
        <row r="99">
          <cell r="A99">
            <v>98</v>
          </cell>
          <cell r="B99">
            <v>44393.449421296296</v>
          </cell>
          <cell r="C99" t="str">
            <v>INV(BAL) / 2021-2022 / 8236</v>
          </cell>
          <cell r="D99" t="str">
            <v>RETAIL</v>
          </cell>
          <cell r="E99">
            <v>137003.96</v>
          </cell>
          <cell r="F99">
            <v>0</v>
          </cell>
          <cell r="G99">
            <v>0</v>
          </cell>
          <cell r="H99">
            <v>123.66</v>
          </cell>
          <cell r="I99">
            <v>100396.84</v>
          </cell>
          <cell r="J99">
            <v>35138.89</v>
          </cell>
          <cell r="K99">
            <v>1355.36</v>
          </cell>
          <cell r="L99">
            <v>136891.09</v>
          </cell>
          <cell r="M99">
            <v>112.87</v>
          </cell>
          <cell r="N99">
            <v>2021</v>
          </cell>
          <cell r="O99">
            <v>0.34999996015810858</v>
          </cell>
          <cell r="P99">
            <v>1.3500026494857806E-2</v>
          </cell>
          <cell r="Q99" t="str">
            <v>Liquor</v>
          </cell>
          <cell r="R99">
            <v>164.88</v>
          </cell>
          <cell r="S99" t="b">
            <v>1</v>
          </cell>
        </row>
        <row r="100">
          <cell r="A100">
            <v>99</v>
          </cell>
          <cell r="B100">
            <v>44397.38994212963</v>
          </cell>
          <cell r="C100" t="str">
            <v>OSBC/BAL/MR/9210/2021-2022</v>
          </cell>
          <cell r="D100" t="str">
            <v>GOVT</v>
          </cell>
          <cell r="E100">
            <v>112.87</v>
          </cell>
          <cell r="F100">
            <v>150000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150112.87</v>
          </cell>
          <cell r="N100">
            <v>2021</v>
          </cell>
          <cell r="O100">
            <v>0</v>
          </cell>
          <cell r="P100">
            <v>0</v>
          </cell>
          <cell r="Q100" t="str">
            <v>-</v>
          </cell>
          <cell r="R100">
            <v>0</v>
          </cell>
          <cell r="S100" t="b">
            <v>1</v>
          </cell>
        </row>
        <row r="101">
          <cell r="A101">
            <v>100</v>
          </cell>
          <cell r="B101">
            <v>44397.448784722219</v>
          </cell>
          <cell r="C101" t="str">
            <v>INV(BAL) / 2021-2022 / 8473</v>
          </cell>
          <cell r="D101" t="str">
            <v>RETAIL</v>
          </cell>
          <cell r="E101">
            <v>150112.87</v>
          </cell>
          <cell r="F101">
            <v>0</v>
          </cell>
          <cell r="G101">
            <v>0</v>
          </cell>
          <cell r="H101">
            <v>117.72</v>
          </cell>
          <cell r="I101">
            <v>93888.9</v>
          </cell>
          <cell r="J101">
            <v>32861.120000000003</v>
          </cell>
          <cell r="K101">
            <v>1267.5</v>
          </cell>
          <cell r="L101">
            <v>128017.52</v>
          </cell>
          <cell r="M101">
            <v>22095.35</v>
          </cell>
          <cell r="N101">
            <v>2021</v>
          </cell>
          <cell r="O101">
            <v>0.35000005325443162</v>
          </cell>
          <cell r="P101">
            <v>1.3499998402367054E-2</v>
          </cell>
          <cell r="Q101" t="str">
            <v>Liquor</v>
          </cell>
          <cell r="R101">
            <v>156.96</v>
          </cell>
          <cell r="S101" t="b">
            <v>1</v>
          </cell>
        </row>
        <row r="102">
          <cell r="A102">
            <v>101</v>
          </cell>
          <cell r="B102">
            <v>44397.449282407404</v>
          </cell>
          <cell r="C102" t="str">
            <v>INV(BAL) / 2021-2022 / 8474</v>
          </cell>
          <cell r="D102" t="str">
            <v>RETAIL</v>
          </cell>
          <cell r="E102">
            <v>22095.35</v>
          </cell>
          <cell r="F102">
            <v>0</v>
          </cell>
          <cell r="G102">
            <v>106.2</v>
          </cell>
          <cell r="H102">
            <v>0</v>
          </cell>
          <cell r="I102">
            <v>15714.27</v>
          </cell>
          <cell r="J102">
            <v>5499.99</v>
          </cell>
          <cell r="K102">
            <v>212.14</v>
          </cell>
          <cell r="L102">
            <v>21426.41</v>
          </cell>
          <cell r="M102">
            <v>668.94</v>
          </cell>
          <cell r="N102">
            <v>2021</v>
          </cell>
          <cell r="O102">
            <v>0.34999971363607724</v>
          </cell>
          <cell r="P102">
            <v>1.3499831681649862E-2</v>
          </cell>
          <cell r="Q102" t="str">
            <v>Beer</v>
          </cell>
          <cell r="R102">
            <v>106.2</v>
          </cell>
          <cell r="S102" t="b">
            <v>1</v>
          </cell>
        </row>
        <row r="103">
          <cell r="A103">
            <v>102</v>
          </cell>
          <cell r="B103">
            <v>44403.455081018517</v>
          </cell>
          <cell r="C103" t="str">
            <v>OSBC/BAL/MR/9615/2021-2022</v>
          </cell>
          <cell r="D103" t="str">
            <v>GOVT</v>
          </cell>
          <cell r="E103">
            <v>668.94</v>
          </cell>
          <cell r="F103">
            <v>126500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127168.94</v>
          </cell>
          <cell r="N103">
            <v>2021</v>
          </cell>
          <cell r="O103">
            <v>0</v>
          </cell>
          <cell r="P103">
            <v>0</v>
          </cell>
          <cell r="Q103" t="str">
            <v>-</v>
          </cell>
          <cell r="R103">
            <v>0</v>
          </cell>
          <cell r="S103" t="b">
            <v>1</v>
          </cell>
        </row>
        <row r="104">
          <cell r="A104">
            <v>103</v>
          </cell>
          <cell r="B104">
            <v>44403.499224537038</v>
          </cell>
          <cell r="C104" t="str">
            <v>INV(BAL) / 2021-2022 / 8822</v>
          </cell>
          <cell r="D104" t="str">
            <v>RETAIL</v>
          </cell>
          <cell r="E104">
            <v>127168.94</v>
          </cell>
          <cell r="F104">
            <v>0</v>
          </cell>
          <cell r="G104">
            <v>0</v>
          </cell>
          <cell r="H104">
            <v>97.47</v>
          </cell>
          <cell r="I104">
            <v>77857.149999999994</v>
          </cell>
          <cell r="J104">
            <v>27250</v>
          </cell>
          <cell r="K104">
            <v>1051.07</v>
          </cell>
          <cell r="L104">
            <v>106158.22</v>
          </cell>
          <cell r="M104">
            <v>21010.720000000001</v>
          </cell>
          <cell r="N104">
            <v>2021</v>
          </cell>
          <cell r="O104">
            <v>0.34999996788991122</v>
          </cell>
          <cell r="P104">
            <v>1.3499980412845834E-2</v>
          </cell>
          <cell r="Q104" t="str">
            <v>Liquor</v>
          </cell>
          <cell r="R104">
            <v>129.96</v>
          </cell>
          <cell r="S104" t="b">
            <v>1</v>
          </cell>
        </row>
        <row r="105">
          <cell r="A105">
            <v>104</v>
          </cell>
          <cell r="B105">
            <v>44403.500208333331</v>
          </cell>
          <cell r="C105" t="str">
            <v>INV(BAL) / 2021-2022 / 8823</v>
          </cell>
          <cell r="D105" t="str">
            <v>RETAIL</v>
          </cell>
          <cell r="E105">
            <v>21010.720000000001</v>
          </cell>
          <cell r="F105">
            <v>0</v>
          </cell>
          <cell r="G105">
            <v>98.4</v>
          </cell>
          <cell r="H105">
            <v>0</v>
          </cell>
          <cell r="I105">
            <v>14603.16</v>
          </cell>
          <cell r="J105">
            <v>5111.1099999999997</v>
          </cell>
          <cell r="K105">
            <v>197.14</v>
          </cell>
          <cell r="L105">
            <v>19911.41</v>
          </cell>
          <cell r="M105">
            <v>1099.31</v>
          </cell>
          <cell r="N105">
            <v>2021</v>
          </cell>
          <cell r="O105">
            <v>0.35000027391331739</v>
          </cell>
          <cell r="P105">
            <v>1.3499817847643933E-2</v>
          </cell>
          <cell r="Q105" t="str">
            <v>Beer</v>
          </cell>
          <cell r="R105">
            <v>98.4</v>
          </cell>
          <cell r="S105" t="b">
            <v>1</v>
          </cell>
        </row>
        <row r="106">
          <cell r="A106">
            <v>105</v>
          </cell>
          <cell r="B106">
            <v>44405.390648148146</v>
          </cell>
          <cell r="C106" t="str">
            <v>OSBC/BAL/MR/9846/2021-2022</v>
          </cell>
          <cell r="D106" t="str">
            <v>GOVT</v>
          </cell>
          <cell r="E106">
            <v>1099.31</v>
          </cell>
          <cell r="F106">
            <v>62000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63099.31</v>
          </cell>
          <cell r="N106">
            <v>2021</v>
          </cell>
          <cell r="O106">
            <v>0</v>
          </cell>
          <cell r="P106">
            <v>0</v>
          </cell>
          <cell r="Q106" t="str">
            <v>-</v>
          </cell>
          <cell r="R106">
            <v>0</v>
          </cell>
          <cell r="S106" t="b">
            <v>1</v>
          </cell>
        </row>
        <row r="107">
          <cell r="A107">
            <v>106</v>
          </cell>
          <cell r="B107">
            <v>44405.41883101852</v>
          </cell>
          <cell r="C107" t="str">
            <v>OSBC/BAL/MR/9857/2021-2022</v>
          </cell>
          <cell r="D107" t="str">
            <v>GOVT</v>
          </cell>
          <cell r="E107">
            <v>63099.31</v>
          </cell>
          <cell r="F107">
            <v>70000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133099.31</v>
          </cell>
          <cell r="N107">
            <v>2021</v>
          </cell>
          <cell r="O107">
            <v>0</v>
          </cell>
          <cell r="P107">
            <v>0</v>
          </cell>
          <cell r="Q107" t="str">
            <v>-</v>
          </cell>
          <cell r="R107">
            <v>0</v>
          </cell>
          <cell r="S107" t="b">
            <v>1</v>
          </cell>
        </row>
        <row r="108">
          <cell r="A108">
            <v>107</v>
          </cell>
          <cell r="B108">
            <v>44405.426249999997</v>
          </cell>
          <cell r="C108" t="str">
            <v>OSBC/BAL/MR/9860/2021-2022</v>
          </cell>
          <cell r="D108" t="str">
            <v>GOVT</v>
          </cell>
          <cell r="E108">
            <v>133099.31</v>
          </cell>
          <cell r="F108">
            <v>1000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134099.31</v>
          </cell>
          <cell r="N108">
            <v>2021</v>
          </cell>
          <cell r="O108">
            <v>0</v>
          </cell>
          <cell r="P108">
            <v>0</v>
          </cell>
          <cell r="Q108" t="str">
            <v>-</v>
          </cell>
          <cell r="R108">
            <v>0</v>
          </cell>
          <cell r="S108" t="b">
            <v>1</v>
          </cell>
        </row>
        <row r="109">
          <cell r="A109">
            <v>108</v>
          </cell>
          <cell r="B109">
            <v>44405.479027777779</v>
          </cell>
          <cell r="C109" t="str">
            <v>INV(BAL) / 2021-2022 / 9003</v>
          </cell>
          <cell r="D109" t="str">
            <v>RETAIL</v>
          </cell>
          <cell r="E109">
            <v>134099.31</v>
          </cell>
          <cell r="F109">
            <v>0</v>
          </cell>
          <cell r="G109">
            <v>48</v>
          </cell>
          <cell r="H109">
            <v>0</v>
          </cell>
          <cell r="I109">
            <v>7619.04</v>
          </cell>
          <cell r="J109">
            <v>2666.66</v>
          </cell>
          <cell r="K109">
            <v>102.86</v>
          </cell>
          <cell r="L109">
            <v>10388.56</v>
          </cell>
          <cell r="M109">
            <v>123710.75</v>
          </cell>
          <cell r="N109">
            <v>2021</v>
          </cell>
          <cell r="O109">
            <v>0.34999947499947498</v>
          </cell>
          <cell r="P109">
            <v>1.35003885003885E-2</v>
          </cell>
          <cell r="Q109" t="str">
            <v>Beer</v>
          </cell>
          <cell r="R109">
            <v>48</v>
          </cell>
          <cell r="S109" t="b">
            <v>1</v>
          </cell>
        </row>
        <row r="110">
          <cell r="A110">
            <v>109</v>
          </cell>
          <cell r="B110">
            <v>44405.487812500003</v>
          </cell>
          <cell r="C110" t="str">
            <v>INV(BAL) / 2021-2022 / 9008</v>
          </cell>
          <cell r="D110" t="str">
            <v>RETAIL</v>
          </cell>
          <cell r="E110">
            <v>123710.75</v>
          </cell>
          <cell r="F110">
            <v>0</v>
          </cell>
          <cell r="G110">
            <v>0</v>
          </cell>
          <cell r="H110">
            <v>110.43</v>
          </cell>
          <cell r="I110">
            <v>90158.75</v>
          </cell>
          <cell r="J110">
            <v>31555.56</v>
          </cell>
          <cell r="K110">
            <v>1217.1400000000001</v>
          </cell>
          <cell r="L110">
            <v>122931.46</v>
          </cell>
          <cell r="M110">
            <v>779.29</v>
          </cell>
          <cell r="N110">
            <v>2021</v>
          </cell>
          <cell r="O110">
            <v>0.34999997227113289</v>
          </cell>
          <cell r="P110">
            <v>1.349996533891608E-2</v>
          </cell>
          <cell r="Q110" t="str">
            <v>Liquor</v>
          </cell>
          <cell r="R110">
            <v>147.24</v>
          </cell>
          <cell r="S110" t="b">
            <v>1</v>
          </cell>
        </row>
        <row r="111">
          <cell r="A111">
            <v>110</v>
          </cell>
          <cell r="B111">
            <v>44407.427465277775</v>
          </cell>
          <cell r="C111" t="str">
            <v>OSBC/BAL/MR/10069/2021-2022</v>
          </cell>
          <cell r="D111" t="str">
            <v>GOVT</v>
          </cell>
          <cell r="E111">
            <v>779.29</v>
          </cell>
          <cell r="F111">
            <v>100500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101279.29</v>
          </cell>
          <cell r="N111">
            <v>2021</v>
          </cell>
          <cell r="O111">
            <v>0</v>
          </cell>
          <cell r="P111">
            <v>0</v>
          </cell>
          <cell r="Q111" t="str">
            <v>-</v>
          </cell>
          <cell r="R111">
            <v>0</v>
          </cell>
          <cell r="S111" t="b">
            <v>1</v>
          </cell>
        </row>
        <row r="112">
          <cell r="A112">
            <v>111</v>
          </cell>
          <cell r="B112">
            <v>44407.458726851852</v>
          </cell>
          <cell r="C112" t="str">
            <v>INV(BAL) / 2021-2022 / 9182</v>
          </cell>
          <cell r="D112" t="str">
            <v>RETAIL</v>
          </cell>
          <cell r="E112">
            <v>101279.29</v>
          </cell>
          <cell r="F112">
            <v>0</v>
          </cell>
          <cell r="G112">
            <v>0</v>
          </cell>
          <cell r="H112">
            <v>84.51</v>
          </cell>
          <cell r="I112">
            <v>70952.39</v>
          </cell>
          <cell r="J112">
            <v>24833.34</v>
          </cell>
          <cell r="K112">
            <v>957.86</v>
          </cell>
          <cell r="L112">
            <v>96743.58</v>
          </cell>
          <cell r="M112">
            <v>4535.71</v>
          </cell>
          <cell r="N112">
            <v>2021</v>
          </cell>
          <cell r="O112">
            <v>0.35000004932885276</v>
          </cell>
          <cell r="P112">
            <v>1.350003854697495E-2</v>
          </cell>
          <cell r="Q112" t="str">
            <v>Liquor</v>
          </cell>
          <cell r="R112">
            <v>112.68</v>
          </cell>
          <cell r="S112" t="b">
            <v>1</v>
          </cell>
        </row>
        <row r="113">
          <cell r="A113">
            <v>112</v>
          </cell>
          <cell r="B113">
            <v>44411.364259259259</v>
          </cell>
          <cell r="C113" t="str">
            <v>OSBC/BAL/MR/10251/2021-2022</v>
          </cell>
          <cell r="D113" t="str">
            <v>GOVT</v>
          </cell>
          <cell r="E113">
            <v>4535.71</v>
          </cell>
          <cell r="F113">
            <v>107500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112035.71</v>
          </cell>
          <cell r="N113">
            <v>2021</v>
          </cell>
          <cell r="O113">
            <v>0</v>
          </cell>
          <cell r="P113">
            <v>0</v>
          </cell>
          <cell r="Q113" t="str">
            <v>-</v>
          </cell>
          <cell r="R113">
            <v>0</v>
          </cell>
          <cell r="S113" t="b">
            <v>1</v>
          </cell>
        </row>
        <row r="114">
          <cell r="A114">
            <v>113</v>
          </cell>
          <cell r="B114">
            <v>44411.368171296293</v>
          </cell>
          <cell r="C114" t="str">
            <v>OSBC/BAL/MR/10252/2021-2022</v>
          </cell>
          <cell r="D114" t="str">
            <v>GOVT</v>
          </cell>
          <cell r="E114">
            <v>112035.71</v>
          </cell>
          <cell r="F114">
            <v>25000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137035.71</v>
          </cell>
          <cell r="N114">
            <v>2021</v>
          </cell>
          <cell r="O114">
            <v>0</v>
          </cell>
          <cell r="P114">
            <v>0</v>
          </cell>
          <cell r="Q114" t="str">
            <v>-</v>
          </cell>
          <cell r="R114">
            <v>0</v>
          </cell>
          <cell r="S114" t="b">
            <v>1</v>
          </cell>
        </row>
        <row r="115">
          <cell r="A115">
            <v>114</v>
          </cell>
          <cell r="B115">
            <v>44411.445243055554</v>
          </cell>
          <cell r="C115" t="str">
            <v>INV(BAL) / 2021-2022 / 9330</v>
          </cell>
          <cell r="D115" t="str">
            <v>RETAIL</v>
          </cell>
          <cell r="E115">
            <v>137035.71</v>
          </cell>
          <cell r="F115">
            <v>0</v>
          </cell>
          <cell r="G115">
            <v>165.6</v>
          </cell>
          <cell r="H115">
            <v>0</v>
          </cell>
          <cell r="I115">
            <v>26111.1</v>
          </cell>
          <cell r="J115">
            <v>9138.89</v>
          </cell>
          <cell r="K115">
            <v>352.5</v>
          </cell>
          <cell r="L115">
            <v>35602.480000000003</v>
          </cell>
          <cell r="M115">
            <v>101433.23</v>
          </cell>
          <cell r="N115">
            <v>2021</v>
          </cell>
          <cell r="O115">
            <v>0.35000019148944317</v>
          </cell>
          <cell r="P115">
            <v>1.3500005744683297E-2</v>
          </cell>
          <cell r="Q115" t="str">
            <v>Beer</v>
          </cell>
          <cell r="R115">
            <v>165.6</v>
          </cell>
          <cell r="S115" t="b">
            <v>1</v>
          </cell>
        </row>
        <row r="116">
          <cell r="A116">
            <v>115</v>
          </cell>
          <cell r="B116">
            <v>44411.445891203701</v>
          </cell>
          <cell r="C116" t="str">
            <v>INV(BAL) / 2021-2022 / 9331</v>
          </cell>
          <cell r="D116" t="str">
            <v>RETAIL</v>
          </cell>
          <cell r="E116">
            <v>101433.23</v>
          </cell>
          <cell r="F116">
            <v>0</v>
          </cell>
          <cell r="G116">
            <v>0</v>
          </cell>
          <cell r="H116">
            <v>92.07</v>
          </cell>
          <cell r="I116">
            <v>73809.53</v>
          </cell>
          <cell r="J116">
            <v>25833.34</v>
          </cell>
          <cell r="K116">
            <v>996.43</v>
          </cell>
          <cell r="L116">
            <v>100639.29</v>
          </cell>
          <cell r="M116">
            <v>793.94</v>
          </cell>
          <cell r="N116">
            <v>2021</v>
          </cell>
          <cell r="O116">
            <v>0.35000006096773684</v>
          </cell>
          <cell r="P116">
            <v>1.3500018222579116E-2</v>
          </cell>
          <cell r="Q116" t="str">
            <v>Liquor</v>
          </cell>
          <cell r="R116">
            <v>122.75999999999999</v>
          </cell>
          <cell r="S116" t="b">
            <v>1</v>
          </cell>
        </row>
        <row r="117">
          <cell r="A117">
            <v>116</v>
          </cell>
          <cell r="B117">
            <v>44415.333587962959</v>
          </cell>
          <cell r="C117" t="str">
            <v>OSBC/BAL/MR/10597/2021-2022</v>
          </cell>
          <cell r="D117" t="str">
            <v>GOVT</v>
          </cell>
          <cell r="E117">
            <v>793.94</v>
          </cell>
          <cell r="F117">
            <v>152000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152793.94</v>
          </cell>
          <cell r="N117">
            <v>2021</v>
          </cell>
          <cell r="O117">
            <v>0</v>
          </cell>
          <cell r="P117">
            <v>0</v>
          </cell>
          <cell r="Q117" t="str">
            <v>-</v>
          </cell>
          <cell r="R117">
            <v>0</v>
          </cell>
          <cell r="S117" t="b">
            <v>1</v>
          </cell>
        </row>
        <row r="118">
          <cell r="A118">
            <v>117</v>
          </cell>
          <cell r="B118">
            <v>44415.371516203704</v>
          </cell>
          <cell r="C118" t="str">
            <v>OSBC/BAL/MR/10602/2021-2022</v>
          </cell>
          <cell r="D118" t="str">
            <v>GOVT</v>
          </cell>
          <cell r="E118">
            <v>152793.94</v>
          </cell>
          <cell r="F118">
            <v>25000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177793.94</v>
          </cell>
          <cell r="N118">
            <v>2021</v>
          </cell>
          <cell r="O118">
            <v>0</v>
          </cell>
          <cell r="P118">
            <v>0</v>
          </cell>
          <cell r="Q118" t="str">
            <v>-</v>
          </cell>
          <cell r="R118">
            <v>0</v>
          </cell>
          <cell r="S118" t="b">
            <v>1</v>
          </cell>
        </row>
        <row r="119">
          <cell r="A119">
            <v>118</v>
          </cell>
          <cell r="B119">
            <v>44415.408159722225</v>
          </cell>
          <cell r="C119" t="str">
            <v>INV(BAL) / 2021-2022 / 9616</v>
          </cell>
          <cell r="D119" t="str">
            <v>RETAIL</v>
          </cell>
          <cell r="E119">
            <v>177793.94</v>
          </cell>
          <cell r="F119">
            <v>0</v>
          </cell>
          <cell r="G119">
            <v>82.8</v>
          </cell>
          <cell r="H119">
            <v>0</v>
          </cell>
          <cell r="I119">
            <v>12380.94</v>
          </cell>
          <cell r="J119">
            <v>4333.33</v>
          </cell>
          <cell r="K119">
            <v>167.14</v>
          </cell>
          <cell r="L119">
            <v>16881.41</v>
          </cell>
          <cell r="M119">
            <v>160912.53</v>
          </cell>
          <cell r="N119">
            <v>2021</v>
          </cell>
          <cell r="O119">
            <v>0.35000008076931149</v>
          </cell>
          <cell r="P119">
            <v>1.3499782730551959E-2</v>
          </cell>
          <cell r="Q119" t="str">
            <v>Beer</v>
          </cell>
          <cell r="R119">
            <v>82.8</v>
          </cell>
          <cell r="S119" t="b">
            <v>1</v>
          </cell>
        </row>
        <row r="120">
          <cell r="A120">
            <v>119</v>
          </cell>
          <cell r="B120">
            <v>44415.412175925929</v>
          </cell>
          <cell r="C120" t="str">
            <v>INV(BAL) / 2021-2022 / 9618</v>
          </cell>
          <cell r="D120" t="str">
            <v>RETAIL</v>
          </cell>
          <cell r="E120">
            <v>160912.53</v>
          </cell>
          <cell r="F120">
            <v>0</v>
          </cell>
          <cell r="G120">
            <v>0</v>
          </cell>
          <cell r="H120">
            <v>143.91</v>
          </cell>
          <cell r="I120">
            <v>117698.42</v>
          </cell>
          <cell r="J120">
            <v>41194.449999999997</v>
          </cell>
          <cell r="K120">
            <v>1588.93</v>
          </cell>
          <cell r="L120">
            <v>160481.79999999999</v>
          </cell>
          <cell r="M120">
            <v>430.73</v>
          </cell>
          <cell r="N120">
            <v>2021</v>
          </cell>
          <cell r="O120">
            <v>0.35000002548887232</v>
          </cell>
          <cell r="P120">
            <v>1.3500011300066731E-2</v>
          </cell>
          <cell r="Q120" t="str">
            <v>Liquor</v>
          </cell>
          <cell r="R120">
            <v>191.88</v>
          </cell>
          <cell r="S120" t="b">
            <v>1</v>
          </cell>
        </row>
        <row r="121">
          <cell r="A121">
            <v>120</v>
          </cell>
          <cell r="B121">
            <v>44418.403645833336</v>
          </cell>
          <cell r="C121" t="str">
            <v>OSBC/BAL/MR/10816/2021-2022</v>
          </cell>
          <cell r="D121" t="str">
            <v>GOVT</v>
          </cell>
          <cell r="E121">
            <v>430.73</v>
          </cell>
          <cell r="F121">
            <v>156000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156430.73000000001</v>
          </cell>
          <cell r="N121">
            <v>2021</v>
          </cell>
          <cell r="O121">
            <v>0</v>
          </cell>
          <cell r="P121">
            <v>0</v>
          </cell>
          <cell r="Q121" t="str">
            <v>-</v>
          </cell>
          <cell r="R121">
            <v>0</v>
          </cell>
          <cell r="S121" t="b">
            <v>1</v>
          </cell>
        </row>
        <row r="122">
          <cell r="A122">
            <v>121</v>
          </cell>
          <cell r="B122">
            <v>44418.451655092591</v>
          </cell>
          <cell r="C122" t="str">
            <v>INV(BAL) / 2021-2022 / 9775</v>
          </cell>
          <cell r="D122" t="str">
            <v>RETAIL</v>
          </cell>
          <cell r="E122">
            <v>156430.73000000001</v>
          </cell>
          <cell r="F122">
            <v>0</v>
          </cell>
          <cell r="G122">
            <v>70.8</v>
          </cell>
          <cell r="H122">
            <v>0</v>
          </cell>
          <cell r="I122">
            <v>10476.18</v>
          </cell>
          <cell r="J122">
            <v>3666.66</v>
          </cell>
          <cell r="K122">
            <v>141.43</v>
          </cell>
          <cell r="L122">
            <v>14284.27</v>
          </cell>
          <cell r="M122">
            <v>142146.46</v>
          </cell>
          <cell r="N122">
            <v>2021</v>
          </cell>
          <cell r="O122">
            <v>0.34999971363607724</v>
          </cell>
          <cell r="P122">
            <v>1.3500149863786228E-2</v>
          </cell>
          <cell r="Q122" t="str">
            <v>Beer</v>
          </cell>
          <cell r="R122">
            <v>70.8</v>
          </cell>
          <cell r="S122" t="b">
            <v>1</v>
          </cell>
        </row>
        <row r="123">
          <cell r="A123">
            <v>122</v>
          </cell>
          <cell r="B123">
            <v>44418.452291666668</v>
          </cell>
          <cell r="C123" t="str">
            <v>INV(BAL) / 2021-2022 / 9776</v>
          </cell>
          <cell r="D123" t="str">
            <v>RETAIL</v>
          </cell>
          <cell r="E123">
            <v>142146.46</v>
          </cell>
          <cell r="F123">
            <v>0</v>
          </cell>
          <cell r="G123">
            <v>0</v>
          </cell>
          <cell r="H123">
            <v>123.66</v>
          </cell>
          <cell r="I123">
            <v>103650.8</v>
          </cell>
          <cell r="J123">
            <v>36277.78</v>
          </cell>
          <cell r="K123">
            <v>1399.29</v>
          </cell>
          <cell r="L123">
            <v>141327.87</v>
          </cell>
          <cell r="M123">
            <v>818.59</v>
          </cell>
          <cell r="N123">
            <v>2021</v>
          </cell>
          <cell r="O123">
            <v>0.35</v>
          </cell>
          <cell r="P123">
            <v>1.350004052067133E-2</v>
          </cell>
          <cell r="Q123" t="str">
            <v>Liquor</v>
          </cell>
          <cell r="R123">
            <v>164.88</v>
          </cell>
          <cell r="S123" t="b">
            <v>1</v>
          </cell>
        </row>
        <row r="124">
          <cell r="A124">
            <v>123</v>
          </cell>
          <cell r="B124">
            <v>44422.364722222221</v>
          </cell>
          <cell r="C124" t="str">
            <v>OSBC/BAL/MR/11180/2021-2022</v>
          </cell>
          <cell r="D124" t="str">
            <v>GOVT</v>
          </cell>
          <cell r="E124">
            <v>818.59</v>
          </cell>
          <cell r="F124">
            <v>147000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147818.59</v>
          </cell>
          <cell r="N124">
            <v>2021</v>
          </cell>
          <cell r="O124">
            <v>0</v>
          </cell>
          <cell r="P124">
            <v>0</v>
          </cell>
          <cell r="Q124" t="str">
            <v>-</v>
          </cell>
          <cell r="R124">
            <v>0</v>
          </cell>
          <cell r="S124" t="b">
            <v>1</v>
          </cell>
        </row>
        <row r="125">
          <cell r="A125">
            <v>124</v>
          </cell>
          <cell r="B125">
            <v>44422.427754629629</v>
          </cell>
          <cell r="C125" t="str">
            <v>INV(BAL) / 2021-2022 / 10115</v>
          </cell>
          <cell r="D125" t="str">
            <v>RETAIL</v>
          </cell>
          <cell r="E125">
            <v>147818.59</v>
          </cell>
          <cell r="F125">
            <v>0</v>
          </cell>
          <cell r="G125">
            <v>0</v>
          </cell>
          <cell r="H125">
            <v>117.45</v>
          </cell>
          <cell r="I125">
            <v>94920.639999999999</v>
          </cell>
          <cell r="J125">
            <v>33222.22</v>
          </cell>
          <cell r="K125">
            <v>1281.43</v>
          </cell>
          <cell r="L125">
            <v>129424.29</v>
          </cell>
          <cell r="M125">
            <v>18394.3</v>
          </cell>
          <cell r="N125">
            <v>2021</v>
          </cell>
          <cell r="O125">
            <v>0.34999995785953403</v>
          </cell>
          <cell r="P125">
            <v>1.3500014327758431E-2</v>
          </cell>
          <cell r="Q125" t="str">
            <v>Liquor</v>
          </cell>
          <cell r="R125">
            <v>156.6</v>
          </cell>
          <cell r="S125" t="b">
            <v>1</v>
          </cell>
        </row>
        <row r="126">
          <cell r="A126">
            <v>125</v>
          </cell>
          <cell r="B126">
            <v>44422.428148148145</v>
          </cell>
          <cell r="C126" t="str">
            <v>INV(BAL) / 2021-2022 / 10116</v>
          </cell>
          <cell r="D126" t="str">
            <v>RETAIL</v>
          </cell>
          <cell r="E126">
            <v>18394.3</v>
          </cell>
          <cell r="F126">
            <v>0</v>
          </cell>
          <cell r="G126">
            <v>82.8</v>
          </cell>
          <cell r="H126">
            <v>0</v>
          </cell>
          <cell r="I126">
            <v>12936.5</v>
          </cell>
          <cell r="J126">
            <v>4527.78</v>
          </cell>
          <cell r="K126">
            <v>174.64</v>
          </cell>
          <cell r="L126">
            <v>17638.919999999998</v>
          </cell>
          <cell r="M126">
            <v>755.38</v>
          </cell>
          <cell r="N126">
            <v>2021</v>
          </cell>
          <cell r="O126">
            <v>0.35000038650330456</v>
          </cell>
          <cell r="P126">
            <v>1.3499787423182467E-2</v>
          </cell>
          <cell r="Q126" t="str">
            <v>Beer</v>
          </cell>
          <cell r="R126">
            <v>82.8</v>
          </cell>
          <cell r="S126" t="b">
            <v>1</v>
          </cell>
        </row>
        <row r="127">
          <cell r="A127">
            <v>126</v>
          </cell>
          <cell r="B127">
            <v>44425.401435185187</v>
          </cell>
          <cell r="C127" t="str">
            <v>OSBC/BAL/MR/11397/2021-2022</v>
          </cell>
          <cell r="D127" t="str">
            <v>GOVT</v>
          </cell>
          <cell r="E127">
            <v>755.38</v>
          </cell>
          <cell r="F127">
            <v>25000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25755.38</v>
          </cell>
          <cell r="N127">
            <v>2021</v>
          </cell>
          <cell r="O127">
            <v>0</v>
          </cell>
          <cell r="P127">
            <v>0</v>
          </cell>
          <cell r="Q127" t="str">
            <v>-</v>
          </cell>
          <cell r="R127">
            <v>0</v>
          </cell>
          <cell r="S127" t="b">
            <v>1</v>
          </cell>
        </row>
        <row r="128">
          <cell r="A128">
            <v>127</v>
          </cell>
          <cell r="B128">
            <v>44425.405729166669</v>
          </cell>
          <cell r="C128" t="str">
            <v>OSBC/BAL/MR/11399/2021-2022</v>
          </cell>
          <cell r="D128" t="str">
            <v>GOVT</v>
          </cell>
          <cell r="E128">
            <v>25755.38</v>
          </cell>
          <cell r="F128">
            <v>115500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141255.38</v>
          </cell>
          <cell r="N128">
            <v>2021</v>
          </cell>
          <cell r="O128">
            <v>0</v>
          </cell>
          <cell r="P128">
            <v>0</v>
          </cell>
          <cell r="Q128" t="str">
            <v>-</v>
          </cell>
          <cell r="R128">
            <v>0</v>
          </cell>
          <cell r="S128" t="b">
            <v>1</v>
          </cell>
        </row>
        <row r="129">
          <cell r="A129">
            <v>128</v>
          </cell>
          <cell r="B129">
            <v>44425.442488425928</v>
          </cell>
          <cell r="C129" t="str">
            <v>INV(BAL) / 2021-2022 / 10281</v>
          </cell>
          <cell r="D129" t="str">
            <v>RETAIL</v>
          </cell>
          <cell r="E129">
            <v>141255.38</v>
          </cell>
          <cell r="F129">
            <v>0</v>
          </cell>
          <cell r="G129">
            <v>0</v>
          </cell>
          <cell r="H129">
            <v>123.93</v>
          </cell>
          <cell r="I129">
            <v>101904.76</v>
          </cell>
          <cell r="J129">
            <v>35666.67</v>
          </cell>
          <cell r="K129">
            <v>1375.71</v>
          </cell>
          <cell r="L129">
            <v>138947.14000000001</v>
          </cell>
          <cell r="M129">
            <v>2308.2399999999998</v>
          </cell>
          <cell r="N129">
            <v>2021</v>
          </cell>
          <cell r="O129">
            <v>0.35000003925233719</v>
          </cell>
          <cell r="P129">
            <v>1.3499958196260903E-2</v>
          </cell>
          <cell r="Q129" t="str">
            <v>Liquor</v>
          </cell>
          <cell r="R129">
            <v>165.24</v>
          </cell>
          <cell r="S129" t="b">
            <v>1</v>
          </cell>
        </row>
        <row r="130">
          <cell r="A130">
            <v>129</v>
          </cell>
          <cell r="B130">
            <v>44429.319965277777</v>
          </cell>
          <cell r="C130" t="str">
            <v>OSBC/BAL/MR/11727/2021-2022</v>
          </cell>
          <cell r="D130" t="str">
            <v>GOVT</v>
          </cell>
          <cell r="E130">
            <v>2308.2399999999998</v>
          </cell>
          <cell r="F130">
            <v>170000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172308.24</v>
          </cell>
          <cell r="N130">
            <v>2021</v>
          </cell>
          <cell r="O130">
            <v>0</v>
          </cell>
          <cell r="P130">
            <v>0</v>
          </cell>
          <cell r="Q130" t="str">
            <v>-</v>
          </cell>
          <cell r="R130">
            <v>0</v>
          </cell>
          <cell r="S130" t="b">
            <v>1</v>
          </cell>
        </row>
        <row r="131">
          <cell r="A131">
            <v>130</v>
          </cell>
          <cell r="B131">
            <v>44429.421400462961</v>
          </cell>
          <cell r="C131" t="str">
            <v>INV(BAL) / 2021-2022 / 10590</v>
          </cell>
          <cell r="D131" t="str">
            <v>RETAIL</v>
          </cell>
          <cell r="E131">
            <v>172308.24</v>
          </cell>
          <cell r="F131">
            <v>0</v>
          </cell>
          <cell r="G131">
            <v>0</v>
          </cell>
          <cell r="H131">
            <v>130.41</v>
          </cell>
          <cell r="I131">
            <v>107063.5</v>
          </cell>
          <cell r="J131">
            <v>37472.230000000003</v>
          </cell>
          <cell r="K131">
            <v>1445.36</v>
          </cell>
          <cell r="L131">
            <v>145981.07999999999</v>
          </cell>
          <cell r="M131">
            <v>26327.16</v>
          </cell>
          <cell r="N131">
            <v>2021</v>
          </cell>
          <cell r="O131">
            <v>0.35000004670125678</v>
          </cell>
          <cell r="P131">
            <v>1.3500025685691201E-2</v>
          </cell>
          <cell r="Q131" t="str">
            <v>Liquor</v>
          </cell>
          <cell r="R131">
            <v>173.88</v>
          </cell>
          <cell r="S131" t="b">
            <v>1</v>
          </cell>
        </row>
        <row r="132">
          <cell r="A132">
            <v>131</v>
          </cell>
          <cell r="B132">
            <v>44429.421863425923</v>
          </cell>
          <cell r="C132" t="str">
            <v>INV(BAL) / 2021-2022 / 10591</v>
          </cell>
          <cell r="D132" t="str">
            <v>RETAIL</v>
          </cell>
          <cell r="E132">
            <v>26327.16</v>
          </cell>
          <cell r="F132">
            <v>0</v>
          </cell>
          <cell r="G132">
            <v>118.2</v>
          </cell>
          <cell r="H132">
            <v>0</v>
          </cell>
          <cell r="I132">
            <v>18809.509999999998</v>
          </cell>
          <cell r="J132">
            <v>6583.33</v>
          </cell>
          <cell r="K132">
            <v>253.93</v>
          </cell>
          <cell r="L132">
            <v>25646.77</v>
          </cell>
          <cell r="M132">
            <v>680.39</v>
          </cell>
          <cell r="N132">
            <v>2021</v>
          </cell>
          <cell r="O132">
            <v>0.35000007974689401</v>
          </cell>
          <cell r="P132">
            <v>1.3500085860822532E-2</v>
          </cell>
          <cell r="Q132" t="str">
            <v>Beer</v>
          </cell>
          <cell r="R132">
            <v>118.2</v>
          </cell>
          <cell r="S132" t="b">
            <v>1</v>
          </cell>
        </row>
        <row r="133">
          <cell r="A133">
            <v>132</v>
          </cell>
          <cell r="B133">
            <v>44432.38244212963</v>
          </cell>
          <cell r="C133" t="str">
            <v>OSBC/BAL/MR/11976/2021-2022</v>
          </cell>
          <cell r="D133" t="str">
            <v>GOVT</v>
          </cell>
          <cell r="E133">
            <v>680.39</v>
          </cell>
          <cell r="F133">
            <v>136000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136680.39000000001</v>
          </cell>
          <cell r="N133">
            <v>2021</v>
          </cell>
          <cell r="O133">
            <v>0</v>
          </cell>
          <cell r="P133">
            <v>0</v>
          </cell>
          <cell r="Q133" t="str">
            <v>-</v>
          </cell>
          <cell r="R133">
            <v>0</v>
          </cell>
          <cell r="S133" t="b">
            <v>1</v>
          </cell>
        </row>
        <row r="134">
          <cell r="A134">
            <v>133</v>
          </cell>
          <cell r="B134">
            <v>44432.403310185182</v>
          </cell>
          <cell r="C134" t="str">
            <v>OSBC/BAL/MR/11986/2021-2022</v>
          </cell>
          <cell r="D134" t="str">
            <v>GOVT</v>
          </cell>
          <cell r="E134">
            <v>136680.39000000001</v>
          </cell>
          <cell r="F134">
            <v>15000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151680.39000000001</v>
          </cell>
          <cell r="N134">
            <v>2021</v>
          </cell>
          <cell r="O134">
            <v>0</v>
          </cell>
          <cell r="P134">
            <v>0</v>
          </cell>
          <cell r="Q134" t="str">
            <v>-</v>
          </cell>
          <cell r="R134">
            <v>0</v>
          </cell>
          <cell r="S134" t="b">
            <v>1</v>
          </cell>
        </row>
        <row r="135">
          <cell r="A135">
            <v>134</v>
          </cell>
          <cell r="B135">
            <v>44432.45380787037</v>
          </cell>
          <cell r="C135" t="str">
            <v>INV(BAL) / 2021-2022 / 10792</v>
          </cell>
          <cell r="D135" t="str">
            <v>RETAIL</v>
          </cell>
          <cell r="E135">
            <v>151680.39000000001</v>
          </cell>
          <cell r="F135">
            <v>0</v>
          </cell>
          <cell r="G135">
            <v>0</v>
          </cell>
          <cell r="H135">
            <v>110.7</v>
          </cell>
          <cell r="I135">
            <v>87936.52</v>
          </cell>
          <cell r="J135">
            <v>30777.78</v>
          </cell>
          <cell r="K135">
            <v>1187</v>
          </cell>
          <cell r="L135">
            <v>119901.3</v>
          </cell>
          <cell r="M135">
            <v>31779.09</v>
          </cell>
          <cell r="N135">
            <v>2021</v>
          </cell>
          <cell r="O135">
            <v>0.34999997725632076</v>
          </cell>
          <cell r="P135">
            <v>1.3498373599501094E-2</v>
          </cell>
          <cell r="Q135" t="str">
            <v>Liquor</v>
          </cell>
          <cell r="R135">
            <v>147.6</v>
          </cell>
          <cell r="S135" t="b">
            <v>1</v>
          </cell>
        </row>
        <row r="136">
          <cell r="A136">
            <v>135</v>
          </cell>
          <cell r="B136">
            <v>44432.454270833332</v>
          </cell>
          <cell r="C136" t="str">
            <v>INV(BAL) / 2021-2022 / 10793</v>
          </cell>
          <cell r="D136" t="str">
            <v>RETAIL</v>
          </cell>
          <cell r="E136">
            <v>31779.09</v>
          </cell>
          <cell r="F136">
            <v>0</v>
          </cell>
          <cell r="G136">
            <v>145.80000000000001</v>
          </cell>
          <cell r="H136">
            <v>0</v>
          </cell>
          <cell r="I136">
            <v>23253.96</v>
          </cell>
          <cell r="J136">
            <v>8138.89</v>
          </cell>
          <cell r="K136">
            <v>314</v>
          </cell>
          <cell r="L136">
            <v>31706.85</v>
          </cell>
          <cell r="M136">
            <v>72.239999999999995</v>
          </cell>
          <cell r="N136">
            <v>2021</v>
          </cell>
          <cell r="O136">
            <v>0.35000017201371297</v>
          </cell>
          <cell r="P136">
            <v>1.3503076465255811E-2</v>
          </cell>
          <cell r="Q136" t="str">
            <v>Beer</v>
          </cell>
          <cell r="R136">
            <v>145.80000000000001</v>
          </cell>
          <cell r="S136" t="b">
            <v>1</v>
          </cell>
        </row>
        <row r="137">
          <cell r="A137">
            <v>136</v>
          </cell>
          <cell r="B137">
            <v>44436.335358796299</v>
          </cell>
          <cell r="C137" t="str">
            <v>OSBC/BAL/MR/12394/2021-2022</v>
          </cell>
          <cell r="D137" t="str">
            <v>GOVT</v>
          </cell>
          <cell r="E137">
            <v>72.239999999999995</v>
          </cell>
          <cell r="F137">
            <v>150000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150072.24</v>
          </cell>
          <cell r="N137">
            <v>2021</v>
          </cell>
          <cell r="O137">
            <v>0</v>
          </cell>
          <cell r="P137">
            <v>0</v>
          </cell>
          <cell r="Q137" t="str">
            <v>-</v>
          </cell>
          <cell r="R137">
            <v>0</v>
          </cell>
          <cell r="S137" t="b">
            <v>1</v>
          </cell>
        </row>
        <row r="138">
          <cell r="A138">
            <v>137</v>
          </cell>
          <cell r="B138">
            <v>44436.414386574077</v>
          </cell>
          <cell r="C138" t="str">
            <v>INV(BAL) / 2021-2022 / 11173</v>
          </cell>
          <cell r="D138" t="str">
            <v>RETAIL</v>
          </cell>
          <cell r="E138">
            <v>150072.24</v>
          </cell>
          <cell r="F138">
            <v>0</v>
          </cell>
          <cell r="G138">
            <v>78.599999999999994</v>
          </cell>
          <cell r="H138">
            <v>0</v>
          </cell>
          <cell r="I138">
            <v>11746.02</v>
          </cell>
          <cell r="J138">
            <v>4111.1099999999997</v>
          </cell>
          <cell r="K138">
            <v>159</v>
          </cell>
          <cell r="L138">
            <v>16016.13</v>
          </cell>
          <cell r="M138">
            <v>134056.10999999999</v>
          </cell>
          <cell r="N138">
            <v>2021</v>
          </cell>
          <cell r="O138">
            <v>0.35000025540566077</v>
          </cell>
          <cell r="P138">
            <v>1.3536500022986508E-2</v>
          </cell>
          <cell r="Q138" t="str">
            <v>Beer</v>
          </cell>
          <cell r="R138">
            <v>78.599999999999994</v>
          </cell>
          <cell r="S138" t="b">
            <v>1</v>
          </cell>
        </row>
        <row r="139">
          <cell r="A139">
            <v>138</v>
          </cell>
          <cell r="B139">
            <v>44436.414930555555</v>
          </cell>
          <cell r="C139" t="str">
            <v>INV(BAL) / 2021-2022 / 11174</v>
          </cell>
          <cell r="D139" t="str">
            <v>RETAIL</v>
          </cell>
          <cell r="E139">
            <v>134056.10999999999</v>
          </cell>
          <cell r="F139">
            <v>0</v>
          </cell>
          <cell r="G139">
            <v>0</v>
          </cell>
          <cell r="H139">
            <v>123.93</v>
          </cell>
          <cell r="I139">
            <v>98253.98</v>
          </cell>
          <cell r="J139">
            <v>34388.89</v>
          </cell>
          <cell r="K139">
            <v>1326</v>
          </cell>
          <cell r="L139">
            <v>133968.87</v>
          </cell>
          <cell r="M139">
            <v>87.24</v>
          </cell>
          <cell r="N139">
            <v>2021</v>
          </cell>
          <cell r="O139">
            <v>0.34999996946688572</v>
          </cell>
          <cell r="P139">
            <v>1.3495636512637962E-2</v>
          </cell>
          <cell r="Q139" t="str">
            <v>Liquor</v>
          </cell>
          <cell r="R139">
            <v>165.24</v>
          </cell>
          <cell r="S139" t="b">
            <v>1</v>
          </cell>
        </row>
        <row r="140">
          <cell r="A140">
            <v>139</v>
          </cell>
          <cell r="B140">
            <v>44440.001192129632</v>
          </cell>
          <cell r="C140" t="str">
            <v>OSBC/BAL/MR/12659/2021-2022</v>
          </cell>
          <cell r="D140" t="str">
            <v>GOVT</v>
          </cell>
          <cell r="E140">
            <v>87.24</v>
          </cell>
          <cell r="F140">
            <v>148000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148087.24</v>
          </cell>
          <cell r="N140">
            <v>2021</v>
          </cell>
          <cell r="O140">
            <v>0</v>
          </cell>
          <cell r="P140">
            <v>0</v>
          </cell>
          <cell r="Q140" t="str">
            <v>-</v>
          </cell>
          <cell r="R140">
            <v>0</v>
          </cell>
          <cell r="S140" t="b">
            <v>1</v>
          </cell>
        </row>
        <row r="141">
          <cell r="A141">
            <v>140</v>
          </cell>
          <cell r="B141">
            <v>44440.424201388887</v>
          </cell>
          <cell r="C141" t="str">
            <v>INV(BAL) / 2021-2022 / 11403</v>
          </cell>
          <cell r="D141" t="str">
            <v>RETAIL</v>
          </cell>
          <cell r="E141">
            <v>148087.24</v>
          </cell>
          <cell r="F141">
            <v>0</v>
          </cell>
          <cell r="G141">
            <v>145.80000000000001</v>
          </cell>
          <cell r="H141">
            <v>0</v>
          </cell>
          <cell r="I141">
            <v>22857.13</v>
          </cell>
          <cell r="J141">
            <v>8000</v>
          </cell>
          <cell r="K141">
            <v>309</v>
          </cell>
          <cell r="L141">
            <v>31166.13</v>
          </cell>
          <cell r="M141">
            <v>116921.11</v>
          </cell>
          <cell r="N141">
            <v>2021</v>
          </cell>
          <cell r="O141">
            <v>0.35000019687511075</v>
          </cell>
          <cell r="P141">
            <v>1.3518757604301152E-2</v>
          </cell>
          <cell r="Q141" t="str">
            <v>Beer</v>
          </cell>
          <cell r="R141">
            <v>145.80000000000001</v>
          </cell>
          <cell r="S141" t="b">
            <v>1</v>
          </cell>
        </row>
        <row r="142">
          <cell r="A142">
            <v>141</v>
          </cell>
          <cell r="B142">
            <v>44440.42528935185</v>
          </cell>
          <cell r="C142" t="str">
            <v>INV(BAL) / 2021-2022 / 11404</v>
          </cell>
          <cell r="D142" t="str">
            <v>RETAIL</v>
          </cell>
          <cell r="E142">
            <v>116921.11</v>
          </cell>
          <cell r="F142">
            <v>0</v>
          </cell>
          <cell r="G142">
            <v>0</v>
          </cell>
          <cell r="H142">
            <v>104.49</v>
          </cell>
          <cell r="I142">
            <v>85238.09</v>
          </cell>
          <cell r="J142">
            <v>29833.33</v>
          </cell>
          <cell r="K142">
            <v>1151</v>
          </cell>
          <cell r="L142">
            <v>116222.42</v>
          </cell>
          <cell r="M142">
            <v>698.69</v>
          </cell>
          <cell r="N142">
            <v>2021</v>
          </cell>
          <cell r="O142">
            <v>0.34999998240223357</v>
          </cell>
          <cell r="P142">
            <v>1.350335278512224E-2</v>
          </cell>
          <cell r="Q142" t="str">
            <v>Liquor</v>
          </cell>
          <cell r="R142">
            <v>139.32</v>
          </cell>
          <cell r="S142" t="b">
            <v>1</v>
          </cell>
        </row>
        <row r="143">
          <cell r="A143">
            <v>142</v>
          </cell>
          <cell r="B143">
            <v>44442.392094907409</v>
          </cell>
          <cell r="C143" t="str">
            <v>OSBC/BAL/MR/12826/2021-2022</v>
          </cell>
          <cell r="D143" t="str">
            <v>GOVT</v>
          </cell>
          <cell r="E143">
            <v>698.69</v>
          </cell>
          <cell r="F143">
            <v>134000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134698.69</v>
          </cell>
          <cell r="N143">
            <v>2021</v>
          </cell>
          <cell r="O143">
            <v>0</v>
          </cell>
          <cell r="P143">
            <v>0</v>
          </cell>
          <cell r="Q143" t="str">
            <v>-</v>
          </cell>
          <cell r="R143">
            <v>0</v>
          </cell>
          <cell r="S143" t="b">
            <v>1</v>
          </cell>
        </row>
        <row r="144">
          <cell r="A144">
            <v>143</v>
          </cell>
          <cell r="B144">
            <v>44442.432800925926</v>
          </cell>
          <cell r="C144" t="str">
            <v>INV(BAL) / 2021-2022 / 11531</v>
          </cell>
          <cell r="D144" t="str">
            <v>RETAIL</v>
          </cell>
          <cell r="E144">
            <v>134698.69</v>
          </cell>
          <cell r="F144">
            <v>0</v>
          </cell>
          <cell r="G144">
            <v>0</v>
          </cell>
          <cell r="H144">
            <v>124.74</v>
          </cell>
          <cell r="I144">
            <v>98412.69</v>
          </cell>
          <cell r="J144">
            <v>34444.44</v>
          </cell>
          <cell r="K144">
            <v>1329</v>
          </cell>
          <cell r="L144">
            <v>134186.13</v>
          </cell>
          <cell r="M144">
            <v>512.55999999999995</v>
          </cell>
          <cell r="N144">
            <v>2021</v>
          </cell>
          <cell r="O144">
            <v>0.34999998475806321</v>
          </cell>
          <cell r="P144">
            <v>1.3504355993114302E-2</v>
          </cell>
          <cell r="Q144" t="str">
            <v>Liquor</v>
          </cell>
          <cell r="R144">
            <v>166.32</v>
          </cell>
          <cell r="S144" t="b">
            <v>1</v>
          </cell>
        </row>
        <row r="145">
          <cell r="A145">
            <v>144</v>
          </cell>
          <cell r="B145">
            <v>44445.410011574073</v>
          </cell>
          <cell r="C145" t="str">
            <v>OSBC/BAL/MR/13014/2021-2022</v>
          </cell>
          <cell r="D145" t="str">
            <v>GOVT</v>
          </cell>
          <cell r="E145">
            <v>512.55999999999995</v>
          </cell>
          <cell r="F145">
            <v>130000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130512.56</v>
          </cell>
          <cell r="N145">
            <v>2021</v>
          </cell>
          <cell r="O145">
            <v>0</v>
          </cell>
          <cell r="P145">
            <v>0</v>
          </cell>
          <cell r="Q145" t="str">
            <v>-</v>
          </cell>
          <cell r="R145">
            <v>0</v>
          </cell>
          <cell r="S145" t="b">
            <v>1</v>
          </cell>
        </row>
        <row r="146">
          <cell r="A146">
            <v>145</v>
          </cell>
          <cell r="B146">
            <v>44445.447812500002</v>
          </cell>
          <cell r="C146" t="str">
            <v>INV(BAL) / 2021-2022 / 11691</v>
          </cell>
          <cell r="D146" t="str">
            <v>RETAIL</v>
          </cell>
          <cell r="E146">
            <v>130512.56</v>
          </cell>
          <cell r="F146">
            <v>0</v>
          </cell>
          <cell r="G146">
            <v>0</v>
          </cell>
          <cell r="H146">
            <v>98.28</v>
          </cell>
          <cell r="I146">
            <v>82539.679999999993</v>
          </cell>
          <cell r="J146">
            <v>28888.89</v>
          </cell>
          <cell r="K146">
            <v>1114</v>
          </cell>
          <cell r="L146">
            <v>112542.57</v>
          </cell>
          <cell r="M146">
            <v>17969.990000000002</v>
          </cell>
          <cell r="N146">
            <v>2021</v>
          </cell>
          <cell r="O146">
            <v>0.35000002423076998</v>
          </cell>
          <cell r="P146">
            <v>1.3496538876816582E-2</v>
          </cell>
          <cell r="Q146" t="str">
            <v>Liquor</v>
          </cell>
          <cell r="R146">
            <v>131.04</v>
          </cell>
          <cell r="S146" t="b">
            <v>1</v>
          </cell>
        </row>
        <row r="147">
          <cell r="A147">
            <v>146</v>
          </cell>
          <cell r="B147">
            <v>44445.448321759257</v>
          </cell>
          <cell r="C147" t="str">
            <v>INV(BAL) / 2021-2022 / 11692</v>
          </cell>
          <cell r="D147" t="str">
            <v>RETAIL</v>
          </cell>
          <cell r="E147">
            <v>17969.990000000002</v>
          </cell>
          <cell r="F147">
            <v>0</v>
          </cell>
          <cell r="G147">
            <v>82.2</v>
          </cell>
          <cell r="H147">
            <v>0</v>
          </cell>
          <cell r="I147">
            <v>13015.87</v>
          </cell>
          <cell r="J147">
            <v>4555.55</v>
          </cell>
          <cell r="K147">
            <v>176</v>
          </cell>
          <cell r="L147">
            <v>17747.419999999998</v>
          </cell>
          <cell r="M147">
            <v>222.57</v>
          </cell>
          <cell r="N147">
            <v>2021</v>
          </cell>
          <cell r="O147">
            <v>0.34999965426821256</v>
          </cell>
          <cell r="P147">
            <v>1.3521954352647959E-2</v>
          </cell>
          <cell r="Q147" t="str">
            <v>Beer</v>
          </cell>
          <cell r="R147">
            <v>82.2</v>
          </cell>
          <cell r="S147" t="b">
            <v>1</v>
          </cell>
        </row>
        <row r="148">
          <cell r="A148">
            <v>147</v>
          </cell>
          <cell r="B148">
            <v>44450.037280092591</v>
          </cell>
          <cell r="C148" t="str">
            <v>OSBC/BAL/MR/13418/2021-2022</v>
          </cell>
          <cell r="D148" t="str">
            <v>GOVT</v>
          </cell>
          <cell r="E148">
            <v>222.57</v>
          </cell>
          <cell r="F148">
            <v>191000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191222.57</v>
          </cell>
          <cell r="N148">
            <v>2021</v>
          </cell>
          <cell r="O148">
            <v>0</v>
          </cell>
          <cell r="P148">
            <v>0</v>
          </cell>
          <cell r="Q148" t="str">
            <v>-</v>
          </cell>
          <cell r="R148">
            <v>0</v>
          </cell>
          <cell r="S148" t="b">
            <v>1</v>
          </cell>
        </row>
        <row r="149">
          <cell r="A149">
            <v>148</v>
          </cell>
          <cell r="B149">
            <v>44450.421712962961</v>
          </cell>
          <cell r="C149" t="str">
            <v>INV(BAL) / 2021-2022 / 12027</v>
          </cell>
          <cell r="D149" t="str">
            <v>RETAIL</v>
          </cell>
          <cell r="E149">
            <v>191222.57</v>
          </cell>
          <cell r="F149">
            <v>0</v>
          </cell>
          <cell r="G149">
            <v>0</v>
          </cell>
          <cell r="H149">
            <v>144.72</v>
          </cell>
          <cell r="I149">
            <v>117460.31</v>
          </cell>
          <cell r="J149">
            <v>41111.11</v>
          </cell>
          <cell r="K149">
            <v>1586</v>
          </cell>
          <cell r="L149">
            <v>160157.42000000001</v>
          </cell>
          <cell r="M149">
            <v>31065.15</v>
          </cell>
          <cell r="N149">
            <v>2021</v>
          </cell>
          <cell r="O149">
            <v>0.3500000127702711</v>
          </cell>
          <cell r="P149">
            <v>1.3502433290019412E-2</v>
          </cell>
          <cell r="Q149" t="str">
            <v>Liquor</v>
          </cell>
          <cell r="R149">
            <v>192.96</v>
          </cell>
          <cell r="S149" t="b">
            <v>1</v>
          </cell>
        </row>
        <row r="150">
          <cell r="A150">
            <v>149</v>
          </cell>
          <cell r="B150">
            <v>44450.422615740739</v>
          </cell>
          <cell r="C150" t="str">
            <v>INV(BAL) / 2021-2022 / 12028</v>
          </cell>
          <cell r="D150" t="str">
            <v>RETAIL</v>
          </cell>
          <cell r="E150">
            <v>31065.15</v>
          </cell>
          <cell r="F150">
            <v>0</v>
          </cell>
          <cell r="G150">
            <v>141.6</v>
          </cell>
          <cell r="H150">
            <v>0</v>
          </cell>
          <cell r="I150">
            <v>22380.94</v>
          </cell>
          <cell r="J150">
            <v>7833.33</v>
          </cell>
          <cell r="K150">
            <v>302</v>
          </cell>
          <cell r="L150">
            <v>30516.27</v>
          </cell>
          <cell r="M150">
            <v>548.88</v>
          </cell>
          <cell r="N150">
            <v>2021</v>
          </cell>
          <cell r="O150">
            <v>0.35000004468087581</v>
          </cell>
          <cell r="P150">
            <v>1.3493624485834823E-2</v>
          </cell>
          <cell r="Q150" t="str">
            <v>Beer</v>
          </cell>
          <cell r="R150">
            <v>141.6</v>
          </cell>
          <cell r="S150" t="b">
            <v>1</v>
          </cell>
        </row>
        <row r="151">
          <cell r="A151">
            <v>150</v>
          </cell>
          <cell r="B151">
            <v>44453.387627314813</v>
          </cell>
          <cell r="C151" t="str">
            <v>OSBC/BAL/MR/13669/2021-2022</v>
          </cell>
          <cell r="D151" t="str">
            <v>GOVT</v>
          </cell>
          <cell r="E151">
            <v>548.88</v>
          </cell>
          <cell r="F151">
            <v>111000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111548.88</v>
          </cell>
          <cell r="N151">
            <v>2021</v>
          </cell>
          <cell r="O151">
            <v>0</v>
          </cell>
          <cell r="P151">
            <v>0</v>
          </cell>
          <cell r="Q151" t="str">
            <v>-</v>
          </cell>
          <cell r="R151">
            <v>0</v>
          </cell>
          <cell r="S151" t="b">
            <v>1</v>
          </cell>
        </row>
        <row r="152">
          <cell r="A152">
            <v>151</v>
          </cell>
          <cell r="B152">
            <v>44453.43068287037</v>
          </cell>
          <cell r="C152" t="str">
            <v>INV(BAL) / 2021-2022 / 12221</v>
          </cell>
          <cell r="D152" t="str">
            <v>RETAIL</v>
          </cell>
          <cell r="E152">
            <v>111548.88</v>
          </cell>
          <cell r="F152">
            <v>0</v>
          </cell>
          <cell r="G152">
            <v>0</v>
          </cell>
          <cell r="H152">
            <v>91.53</v>
          </cell>
          <cell r="I152">
            <v>79523.81</v>
          </cell>
          <cell r="J152">
            <v>27833.33</v>
          </cell>
          <cell r="K152">
            <v>1074</v>
          </cell>
          <cell r="L152">
            <v>108431.14</v>
          </cell>
          <cell r="M152">
            <v>3117.74</v>
          </cell>
          <cell r="N152">
            <v>2021</v>
          </cell>
          <cell r="O152">
            <v>0.34999995598802425</v>
          </cell>
          <cell r="P152">
            <v>1.3505389140686294E-2</v>
          </cell>
          <cell r="Q152" t="str">
            <v>Liquor</v>
          </cell>
          <cell r="R152">
            <v>122.04</v>
          </cell>
          <cell r="S152" t="b">
            <v>1</v>
          </cell>
        </row>
        <row r="153">
          <cell r="A153">
            <v>152</v>
          </cell>
          <cell r="B153">
            <v>44457.336712962962</v>
          </cell>
          <cell r="C153" t="str">
            <v>OSBC/BAL/MR/13994/2021-2022</v>
          </cell>
          <cell r="D153" t="str">
            <v>GOVT</v>
          </cell>
          <cell r="E153">
            <v>3117.74</v>
          </cell>
          <cell r="F153">
            <v>132000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135117.74</v>
          </cell>
          <cell r="N153">
            <v>2021</v>
          </cell>
          <cell r="O153">
            <v>0</v>
          </cell>
          <cell r="P153">
            <v>0</v>
          </cell>
          <cell r="Q153" t="str">
            <v>-</v>
          </cell>
          <cell r="R153">
            <v>0</v>
          </cell>
          <cell r="S153" t="b">
            <v>1</v>
          </cell>
        </row>
        <row r="154">
          <cell r="A154">
            <v>153</v>
          </cell>
          <cell r="B154">
            <v>44457.417002314818</v>
          </cell>
          <cell r="C154" t="str">
            <v>INV(BAL) / 2021-2022 / 12478</v>
          </cell>
          <cell r="D154" t="str">
            <v>RETAIL</v>
          </cell>
          <cell r="E154">
            <v>135117.74</v>
          </cell>
          <cell r="F154">
            <v>0</v>
          </cell>
          <cell r="G154">
            <v>0</v>
          </cell>
          <cell r="H154">
            <v>97.74</v>
          </cell>
          <cell r="I154">
            <v>81587.31</v>
          </cell>
          <cell r="J154">
            <v>28555.56</v>
          </cell>
          <cell r="K154">
            <v>1101</v>
          </cell>
          <cell r="L154">
            <v>111243.87</v>
          </cell>
          <cell r="M154">
            <v>23873.87</v>
          </cell>
          <cell r="N154">
            <v>2021</v>
          </cell>
          <cell r="O154">
            <v>0.35000001838521216</v>
          </cell>
          <cell r="P154">
            <v>1.3494745690230504E-2</v>
          </cell>
          <cell r="Q154" t="str">
            <v>Liquor</v>
          </cell>
          <cell r="R154">
            <v>130.32</v>
          </cell>
          <cell r="S154" t="b">
            <v>1</v>
          </cell>
        </row>
        <row r="155">
          <cell r="A155">
            <v>154</v>
          </cell>
          <cell r="B155">
            <v>44457.417280092595</v>
          </cell>
          <cell r="C155" t="str">
            <v>INV(BAL) / 2021-2022 / 12479</v>
          </cell>
          <cell r="D155" t="str">
            <v>RETAIL</v>
          </cell>
          <cell r="E155">
            <v>23873.87</v>
          </cell>
          <cell r="F155">
            <v>0</v>
          </cell>
          <cell r="G155">
            <v>114</v>
          </cell>
          <cell r="H155">
            <v>0</v>
          </cell>
          <cell r="I155">
            <v>17380.939999999999</v>
          </cell>
          <cell r="J155">
            <v>6083.33</v>
          </cell>
          <cell r="K155">
            <v>235</v>
          </cell>
          <cell r="L155">
            <v>23699.27</v>
          </cell>
          <cell r="M155">
            <v>174.6</v>
          </cell>
          <cell r="N155">
            <v>2021</v>
          </cell>
          <cell r="O155">
            <v>0.35000005753428759</v>
          </cell>
          <cell r="P155">
            <v>1.352055757628759E-2</v>
          </cell>
          <cell r="Q155" t="str">
            <v>Beer</v>
          </cell>
          <cell r="R155">
            <v>114</v>
          </cell>
          <cell r="S155" t="b">
            <v>1</v>
          </cell>
        </row>
        <row r="156">
          <cell r="A156">
            <v>155</v>
          </cell>
          <cell r="B156">
            <v>44460.315960648149</v>
          </cell>
          <cell r="C156" t="str">
            <v>OSBC/BAL/MR/14254/2021-2022</v>
          </cell>
          <cell r="D156" t="str">
            <v>GOVT</v>
          </cell>
          <cell r="E156">
            <v>174.6</v>
          </cell>
          <cell r="F156">
            <v>217600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217774.6</v>
          </cell>
          <cell r="N156">
            <v>2021</v>
          </cell>
          <cell r="O156">
            <v>0</v>
          </cell>
          <cell r="P156">
            <v>0</v>
          </cell>
          <cell r="Q156" t="str">
            <v>-</v>
          </cell>
          <cell r="R156">
            <v>0</v>
          </cell>
          <cell r="S156" t="b">
            <v>1</v>
          </cell>
        </row>
        <row r="157">
          <cell r="A157">
            <v>156</v>
          </cell>
          <cell r="B157">
            <v>44460.431851851848</v>
          </cell>
          <cell r="C157" t="str">
            <v>INV(BAL) / 2021-2022 / 12681</v>
          </cell>
          <cell r="D157" t="str">
            <v>RETAIL</v>
          </cell>
          <cell r="E157">
            <v>217774.6</v>
          </cell>
          <cell r="F157">
            <v>0</v>
          </cell>
          <cell r="G157">
            <v>149.4</v>
          </cell>
          <cell r="H157">
            <v>0</v>
          </cell>
          <cell r="I157">
            <v>23412.69</v>
          </cell>
          <cell r="J157">
            <v>8194.44</v>
          </cell>
          <cell r="K157">
            <v>316</v>
          </cell>
          <cell r="L157">
            <v>31923.13</v>
          </cell>
          <cell r="M157">
            <v>185851.47</v>
          </cell>
          <cell r="N157">
            <v>2021</v>
          </cell>
          <cell r="O157">
            <v>0.34999993593218043</v>
          </cell>
          <cell r="P157">
            <v>1.3496954002295338E-2</v>
          </cell>
          <cell r="Q157" t="str">
            <v>Beer</v>
          </cell>
          <cell r="R157">
            <v>149.4</v>
          </cell>
          <cell r="S157" t="b">
            <v>1</v>
          </cell>
        </row>
        <row r="158">
          <cell r="A158">
            <v>157</v>
          </cell>
          <cell r="B158">
            <v>44460.432476851849</v>
          </cell>
          <cell r="C158" t="str">
            <v>INV(BAL) / 2021-2022 / 12682</v>
          </cell>
          <cell r="D158" t="str">
            <v>RETAIL</v>
          </cell>
          <cell r="E158">
            <v>185851.47</v>
          </cell>
          <cell r="F158">
            <v>0</v>
          </cell>
          <cell r="G158">
            <v>0</v>
          </cell>
          <cell r="H158">
            <v>171.18</v>
          </cell>
          <cell r="I158">
            <v>135317.46</v>
          </cell>
          <cell r="J158">
            <v>47361.11</v>
          </cell>
          <cell r="K158">
            <v>1827</v>
          </cell>
          <cell r="L158">
            <v>184505.57</v>
          </cell>
          <cell r="M158">
            <v>1345.9</v>
          </cell>
          <cell r="N158">
            <v>2021</v>
          </cell>
          <cell r="O158">
            <v>0.34999999260997067</v>
          </cell>
          <cell r="P158">
            <v>1.350158360938788E-2</v>
          </cell>
          <cell r="Q158" t="str">
            <v>Liquor</v>
          </cell>
          <cell r="R158">
            <v>228.24</v>
          </cell>
          <cell r="S158" t="b">
            <v>1</v>
          </cell>
        </row>
        <row r="159">
          <cell r="A159">
            <v>158</v>
          </cell>
          <cell r="B159">
            <v>44464.307974537034</v>
          </cell>
          <cell r="C159" t="str">
            <v>OSBC/BAL/MR/14618/2021-2022</v>
          </cell>
          <cell r="D159" t="str">
            <v>GOVT</v>
          </cell>
          <cell r="E159">
            <v>1345.9</v>
          </cell>
          <cell r="F159">
            <v>150500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151845.9</v>
          </cell>
          <cell r="N159">
            <v>2021</v>
          </cell>
          <cell r="O159">
            <v>0</v>
          </cell>
          <cell r="P159">
            <v>0</v>
          </cell>
          <cell r="Q159" t="str">
            <v>-</v>
          </cell>
          <cell r="R159">
            <v>0</v>
          </cell>
          <cell r="S159" t="b">
            <v>1</v>
          </cell>
        </row>
        <row r="160">
          <cell r="A160">
            <v>159</v>
          </cell>
          <cell r="B160">
            <v>44464.431689814817</v>
          </cell>
          <cell r="C160" t="str">
            <v>INV(BAL) / 2021-2022 / 12992</v>
          </cell>
          <cell r="D160" t="str">
            <v>RETAIL</v>
          </cell>
          <cell r="E160">
            <v>151845.9</v>
          </cell>
          <cell r="F160">
            <v>0</v>
          </cell>
          <cell r="G160">
            <v>86.4</v>
          </cell>
          <cell r="H160">
            <v>0</v>
          </cell>
          <cell r="I160">
            <v>13809.52</v>
          </cell>
          <cell r="J160">
            <v>4833.33</v>
          </cell>
          <cell r="K160">
            <v>186</v>
          </cell>
          <cell r="L160">
            <v>18828.849999999999</v>
          </cell>
          <cell r="M160">
            <v>133017.04999999999</v>
          </cell>
          <cell r="N160">
            <v>2021</v>
          </cell>
          <cell r="O160">
            <v>0.34999985517237381</v>
          </cell>
          <cell r="P160">
            <v>1.3468969232819098E-2</v>
          </cell>
          <cell r="Q160" t="str">
            <v>Beer</v>
          </cell>
          <cell r="R160">
            <v>86.4</v>
          </cell>
          <cell r="S160" t="b">
            <v>1</v>
          </cell>
        </row>
        <row r="161">
          <cell r="A161">
            <v>160</v>
          </cell>
          <cell r="B161">
            <v>44464.432233796295</v>
          </cell>
          <cell r="C161" t="str">
            <v>INV(BAL) / 2021-2022 / 12993</v>
          </cell>
          <cell r="D161" t="str">
            <v>RETAIL</v>
          </cell>
          <cell r="E161">
            <v>133017.04999999999</v>
          </cell>
          <cell r="F161">
            <v>0</v>
          </cell>
          <cell r="G161">
            <v>0</v>
          </cell>
          <cell r="H161">
            <v>117.45</v>
          </cell>
          <cell r="I161">
            <v>97539.68</v>
          </cell>
          <cell r="J161">
            <v>34138.89</v>
          </cell>
          <cell r="K161">
            <v>1317</v>
          </cell>
          <cell r="L161">
            <v>132995.57</v>
          </cell>
          <cell r="M161">
            <v>21.48</v>
          </cell>
          <cell r="N161">
            <v>2021</v>
          </cell>
          <cell r="O161">
            <v>0.35000002050447576</v>
          </cell>
          <cell r="P161">
            <v>1.3502197259617831E-2</v>
          </cell>
          <cell r="Q161" t="str">
            <v>Liquor</v>
          </cell>
          <cell r="R161">
            <v>156.6</v>
          </cell>
          <cell r="S161" t="b">
            <v>1</v>
          </cell>
        </row>
        <row r="162">
          <cell r="A162">
            <v>161</v>
          </cell>
          <cell r="B162">
            <v>44468.997233796297</v>
          </cell>
          <cell r="C162" t="str">
            <v>OSBC/BAL/MR/14971/2021-2022</v>
          </cell>
          <cell r="D162" t="str">
            <v>GOVT</v>
          </cell>
          <cell r="E162">
            <v>21.48</v>
          </cell>
          <cell r="F162">
            <v>112500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112521.48</v>
          </cell>
          <cell r="N162">
            <v>2021</v>
          </cell>
          <cell r="O162">
            <v>0</v>
          </cell>
          <cell r="P162">
            <v>0</v>
          </cell>
          <cell r="Q162" t="str">
            <v>-</v>
          </cell>
          <cell r="R162">
            <v>0</v>
          </cell>
          <cell r="S162" t="b">
            <v>1</v>
          </cell>
        </row>
        <row r="163">
          <cell r="A163">
            <v>162</v>
          </cell>
          <cell r="B163">
            <v>44469.418900462966</v>
          </cell>
          <cell r="C163" t="str">
            <v>INV(BAL) / 2021-2022 / 13261</v>
          </cell>
          <cell r="D163" t="str">
            <v>RETAIL</v>
          </cell>
          <cell r="E163">
            <v>112521.48</v>
          </cell>
          <cell r="F163">
            <v>0</v>
          </cell>
          <cell r="G163">
            <v>0</v>
          </cell>
          <cell r="H163">
            <v>105.03</v>
          </cell>
          <cell r="I163">
            <v>81507.92</v>
          </cell>
          <cell r="J163">
            <v>28527.77</v>
          </cell>
          <cell r="K163">
            <v>1100</v>
          </cell>
          <cell r="L163">
            <v>111135.69</v>
          </cell>
          <cell r="M163">
            <v>1385.79</v>
          </cell>
          <cell r="N163">
            <v>2021</v>
          </cell>
          <cell r="O163">
            <v>0.34999997546250722</v>
          </cell>
          <cell r="P163">
            <v>1.3495621039035226E-2</v>
          </cell>
          <cell r="Q163" t="str">
            <v>Liquor</v>
          </cell>
          <cell r="R163">
            <v>140.04</v>
          </cell>
          <cell r="S163" t="b">
            <v>1</v>
          </cell>
        </row>
        <row r="164">
          <cell r="A164">
            <v>163</v>
          </cell>
          <cell r="B164">
            <v>44470.312662037039</v>
          </cell>
          <cell r="C164" t="str">
            <v>OSBC/BAL/MR/15080/2021-2022</v>
          </cell>
          <cell r="D164" t="str">
            <v>GOVT</v>
          </cell>
          <cell r="E164">
            <v>1385.79</v>
          </cell>
          <cell r="F164">
            <v>299000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300385.78999999998</v>
          </cell>
          <cell r="N164">
            <v>2021</v>
          </cell>
          <cell r="O164">
            <v>0</v>
          </cell>
          <cell r="P164">
            <v>0</v>
          </cell>
          <cell r="Q164" t="str">
            <v>-</v>
          </cell>
          <cell r="R164">
            <v>0</v>
          </cell>
          <cell r="S164" t="b">
            <v>1</v>
          </cell>
        </row>
        <row r="165">
          <cell r="A165">
            <v>164</v>
          </cell>
          <cell r="B165">
            <v>44470.500104166669</v>
          </cell>
          <cell r="C165" t="str">
            <v>INV(BAL) / 2021-2022 / 13365</v>
          </cell>
          <cell r="D165" t="str">
            <v>RETAIL</v>
          </cell>
          <cell r="E165">
            <v>300385.78999999998</v>
          </cell>
          <cell r="F165">
            <v>0</v>
          </cell>
          <cell r="G165">
            <v>0</v>
          </cell>
          <cell r="H165">
            <v>223.56</v>
          </cell>
          <cell r="I165">
            <v>186746.06</v>
          </cell>
          <cell r="J165">
            <v>65361.120000000003</v>
          </cell>
          <cell r="K165">
            <v>2521</v>
          </cell>
          <cell r="L165">
            <v>254628.18</v>
          </cell>
          <cell r="M165">
            <v>45757.61</v>
          </cell>
          <cell r="N165">
            <v>2021</v>
          </cell>
          <cell r="O165">
            <v>0.3499999946451347</v>
          </cell>
          <cell r="P165">
            <v>1.3499615467121502E-2</v>
          </cell>
          <cell r="Q165" t="str">
            <v>Liquor</v>
          </cell>
          <cell r="R165">
            <v>298.08</v>
          </cell>
          <cell r="S165" t="b">
            <v>1</v>
          </cell>
        </row>
        <row r="166">
          <cell r="A166">
            <v>165</v>
          </cell>
          <cell r="B166">
            <v>44470.501504629632</v>
          </cell>
          <cell r="C166" t="str">
            <v>INV(BAL) / 2021-2022 / 13366</v>
          </cell>
          <cell r="D166" t="str">
            <v>RETAIL</v>
          </cell>
          <cell r="E166">
            <v>45757.61</v>
          </cell>
          <cell r="F166">
            <v>0</v>
          </cell>
          <cell r="G166">
            <v>200.4</v>
          </cell>
          <cell r="H166">
            <v>0</v>
          </cell>
          <cell r="I166">
            <v>32936.5</v>
          </cell>
          <cell r="J166">
            <v>11527.78</v>
          </cell>
          <cell r="K166">
            <v>445</v>
          </cell>
          <cell r="L166">
            <v>44909.279999999999</v>
          </cell>
          <cell r="M166">
            <v>848.33</v>
          </cell>
          <cell r="N166">
            <v>2021</v>
          </cell>
          <cell r="O166">
            <v>0.35000015180726551</v>
          </cell>
          <cell r="P166">
            <v>1.351084662911967E-2</v>
          </cell>
          <cell r="Q166" t="str">
            <v>Beer</v>
          </cell>
          <cell r="R166">
            <v>200.4</v>
          </cell>
          <cell r="S166" t="b">
            <v>1</v>
          </cell>
        </row>
        <row r="167">
          <cell r="A167">
            <v>166</v>
          </cell>
          <cell r="B167">
            <v>44473.34783564815</v>
          </cell>
          <cell r="C167" t="str">
            <v>OSBC/BAL/MR/15159/2021-2022</v>
          </cell>
          <cell r="D167" t="str">
            <v>GOVT</v>
          </cell>
          <cell r="E167">
            <v>848.33</v>
          </cell>
          <cell r="F167">
            <v>284000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284848.33</v>
          </cell>
          <cell r="N167">
            <v>2021</v>
          </cell>
          <cell r="O167">
            <v>0</v>
          </cell>
          <cell r="P167">
            <v>0</v>
          </cell>
          <cell r="Q167" t="str">
            <v>-</v>
          </cell>
          <cell r="R167">
            <v>0</v>
          </cell>
          <cell r="S167" t="b">
            <v>1</v>
          </cell>
        </row>
        <row r="168">
          <cell r="A168">
            <v>167</v>
          </cell>
          <cell r="B168">
            <v>44473.429166666669</v>
          </cell>
          <cell r="C168" t="str">
            <v>OSBC/BAL/MR/15179/2021-2022</v>
          </cell>
          <cell r="D168" t="str">
            <v>GOVT</v>
          </cell>
          <cell r="E168">
            <v>284848.33</v>
          </cell>
          <cell r="F168">
            <v>185000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469848.33</v>
          </cell>
          <cell r="N168">
            <v>2021</v>
          </cell>
          <cell r="O168">
            <v>0</v>
          </cell>
          <cell r="P168">
            <v>0</v>
          </cell>
          <cell r="Q168" t="str">
            <v>-</v>
          </cell>
          <cell r="R168">
            <v>0</v>
          </cell>
          <cell r="S168" t="b">
            <v>1</v>
          </cell>
        </row>
        <row r="169">
          <cell r="A169">
            <v>168</v>
          </cell>
          <cell r="B169">
            <v>44473.483460648145</v>
          </cell>
          <cell r="C169" t="str">
            <v>INV(BAL) / 2021-2022 / 13421</v>
          </cell>
          <cell r="D169" t="str">
            <v>RETAIL</v>
          </cell>
          <cell r="E169">
            <v>469848.33</v>
          </cell>
          <cell r="F169">
            <v>0</v>
          </cell>
          <cell r="G169">
            <v>0</v>
          </cell>
          <cell r="H169">
            <v>388.46</v>
          </cell>
          <cell r="I169">
            <v>344563.57</v>
          </cell>
          <cell r="J169">
            <v>120597.25</v>
          </cell>
          <cell r="K169">
            <v>4652</v>
          </cell>
          <cell r="L169">
            <v>469812.82</v>
          </cell>
          <cell r="M169">
            <v>35.51</v>
          </cell>
          <cell r="N169">
            <v>2021</v>
          </cell>
          <cell r="O169">
            <v>0.35000000145111104</v>
          </cell>
          <cell r="P169">
            <v>1.3501137105121125E-2</v>
          </cell>
          <cell r="Q169" t="str">
            <v>Liquor</v>
          </cell>
          <cell r="R169">
            <v>517.9466666666666</v>
          </cell>
          <cell r="S169" t="b">
            <v>1</v>
          </cell>
        </row>
        <row r="170">
          <cell r="A170">
            <v>169</v>
          </cell>
          <cell r="B170">
            <v>44476.003275462965</v>
          </cell>
          <cell r="C170" t="str">
            <v>OSBC/BAL/MR/15419/2021-2022</v>
          </cell>
          <cell r="D170" t="str">
            <v>GOVT</v>
          </cell>
          <cell r="E170">
            <v>35.51</v>
          </cell>
          <cell r="F170">
            <v>600000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600035.51</v>
          </cell>
          <cell r="N170">
            <v>2021</v>
          </cell>
          <cell r="O170">
            <v>0</v>
          </cell>
          <cell r="P170">
            <v>0</v>
          </cell>
          <cell r="Q170" t="str">
            <v>-</v>
          </cell>
          <cell r="R170">
            <v>0</v>
          </cell>
          <cell r="S170" t="b">
            <v>1</v>
          </cell>
        </row>
        <row r="171">
          <cell r="A171">
            <v>170</v>
          </cell>
          <cell r="B171">
            <v>44476.462685185186</v>
          </cell>
          <cell r="C171" t="str">
            <v>INV(BAL) / 2021-2022 / 13612</v>
          </cell>
          <cell r="D171" t="str">
            <v>RETAIL</v>
          </cell>
          <cell r="E171">
            <v>600035.51</v>
          </cell>
          <cell r="F171">
            <v>0</v>
          </cell>
          <cell r="G171">
            <v>0</v>
          </cell>
          <cell r="H171">
            <v>412.91</v>
          </cell>
          <cell r="I171">
            <v>375892.89</v>
          </cell>
          <cell r="J171">
            <v>131562.51</v>
          </cell>
          <cell r="K171">
            <v>5075</v>
          </cell>
          <cell r="L171">
            <v>512530.4</v>
          </cell>
          <cell r="M171">
            <v>87505.11</v>
          </cell>
          <cell r="N171">
            <v>2021</v>
          </cell>
          <cell r="O171">
            <v>0.34999999600950155</v>
          </cell>
          <cell r="P171">
            <v>1.3501186468304839E-2</v>
          </cell>
          <cell r="Q171" t="str">
            <v>Liquor</v>
          </cell>
          <cell r="R171">
            <v>550.54666666666674</v>
          </cell>
          <cell r="S171" t="b">
            <v>1</v>
          </cell>
        </row>
        <row r="172">
          <cell r="A172">
            <v>171</v>
          </cell>
          <cell r="B172">
            <v>44476.477384259262</v>
          </cell>
          <cell r="C172" t="str">
            <v>INV(BAL) / 2021-2022 / 13617</v>
          </cell>
          <cell r="D172" t="str">
            <v>RETAIL</v>
          </cell>
          <cell r="E172">
            <v>87505.11</v>
          </cell>
          <cell r="F172">
            <v>0</v>
          </cell>
          <cell r="G172">
            <v>364.8</v>
          </cell>
          <cell r="H172">
            <v>0</v>
          </cell>
          <cell r="I172">
            <v>62857.16</v>
          </cell>
          <cell r="J172">
            <v>22000.01</v>
          </cell>
          <cell r="K172">
            <v>849</v>
          </cell>
          <cell r="L172">
            <v>85706.17</v>
          </cell>
          <cell r="M172">
            <v>1798.94</v>
          </cell>
          <cell r="N172">
            <v>2021</v>
          </cell>
          <cell r="O172">
            <v>0.35000006363634623</v>
          </cell>
          <cell r="P172">
            <v>1.3506814498141499E-2</v>
          </cell>
          <cell r="Q172" t="str">
            <v>Beer</v>
          </cell>
          <cell r="R172">
            <v>364.8</v>
          </cell>
          <cell r="S172" t="b">
            <v>1</v>
          </cell>
        </row>
        <row r="173">
          <cell r="A173">
            <v>172</v>
          </cell>
          <cell r="B173">
            <v>44481.023680555554</v>
          </cell>
          <cell r="C173" t="str">
            <v>OSBC/BAL/MR/15966/2021-2022</v>
          </cell>
          <cell r="D173" t="str">
            <v>GOVT</v>
          </cell>
          <cell r="E173">
            <v>1798.94</v>
          </cell>
          <cell r="F173">
            <v>449000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450798.94</v>
          </cell>
          <cell r="N173">
            <v>2021</v>
          </cell>
          <cell r="O173">
            <v>0</v>
          </cell>
          <cell r="P173">
            <v>0</v>
          </cell>
          <cell r="Q173" t="str">
            <v>-</v>
          </cell>
          <cell r="R173">
            <v>0</v>
          </cell>
          <cell r="S173" t="b">
            <v>1</v>
          </cell>
        </row>
        <row r="174">
          <cell r="A174">
            <v>173</v>
          </cell>
          <cell r="B174">
            <v>44481.423703703702</v>
          </cell>
          <cell r="C174" t="str">
            <v>INV(BAL) / 2021-2022 / 14065</v>
          </cell>
          <cell r="D174" t="str">
            <v>RETAIL</v>
          </cell>
          <cell r="E174">
            <v>450798.94</v>
          </cell>
          <cell r="F174">
            <v>0</v>
          </cell>
          <cell r="G174">
            <v>612</v>
          </cell>
          <cell r="H174">
            <v>0</v>
          </cell>
          <cell r="I174">
            <v>97301.59</v>
          </cell>
          <cell r="J174">
            <v>34055.56</v>
          </cell>
          <cell r="K174">
            <v>1314</v>
          </cell>
          <cell r="L174">
            <v>132671.15</v>
          </cell>
          <cell r="M174">
            <v>318127.78999999998</v>
          </cell>
          <cell r="N174">
            <v>2021</v>
          </cell>
          <cell r="O174">
            <v>0.35000003597063523</v>
          </cell>
          <cell r="P174">
            <v>1.3504404193189443E-2</v>
          </cell>
          <cell r="Q174" t="str">
            <v>Beer</v>
          </cell>
          <cell r="R174">
            <v>612</v>
          </cell>
          <cell r="S174" t="b">
            <v>1</v>
          </cell>
        </row>
        <row r="175">
          <cell r="A175">
            <v>174</v>
          </cell>
          <cell r="B175">
            <v>44481.473935185182</v>
          </cell>
          <cell r="C175" t="str">
            <v>INV(BAL) / 2021-2022 / 14084</v>
          </cell>
          <cell r="D175" t="str">
            <v>RETAIL</v>
          </cell>
          <cell r="E175">
            <v>318127.78999999998</v>
          </cell>
          <cell r="F175">
            <v>0</v>
          </cell>
          <cell r="G175">
            <v>0</v>
          </cell>
          <cell r="H175">
            <v>225.11</v>
          </cell>
          <cell r="I175">
            <v>228755.05</v>
          </cell>
          <cell r="J175">
            <v>80064.27</v>
          </cell>
          <cell r="K175">
            <v>3088</v>
          </cell>
          <cell r="L175">
            <v>311907.32</v>
          </cell>
          <cell r="M175">
            <v>6220.47</v>
          </cell>
          <cell r="N175">
            <v>2021</v>
          </cell>
          <cell r="O175">
            <v>0.35000001092872052</v>
          </cell>
          <cell r="P175">
            <v>1.3499155537768457E-2</v>
          </cell>
          <cell r="Q175" t="str">
            <v>Liquor</v>
          </cell>
          <cell r="R175">
            <v>300.1466666666667</v>
          </cell>
          <cell r="S175" t="b">
            <v>1</v>
          </cell>
        </row>
        <row r="176">
          <cell r="A176">
            <v>175</v>
          </cell>
          <cell r="B176">
            <v>44485.249849537038</v>
          </cell>
          <cell r="C176" t="str">
            <v>OSBC/BAL/MR/16181/2021-2022</v>
          </cell>
          <cell r="D176" t="str">
            <v>GOVT</v>
          </cell>
          <cell r="E176">
            <v>6220.47</v>
          </cell>
          <cell r="F176">
            <v>399000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405220.47</v>
          </cell>
          <cell r="N176">
            <v>2021</v>
          </cell>
          <cell r="O176">
            <v>0</v>
          </cell>
          <cell r="P176">
            <v>0</v>
          </cell>
          <cell r="Q176" t="str">
            <v>-</v>
          </cell>
          <cell r="R176">
            <v>0</v>
          </cell>
          <cell r="S176" t="b">
            <v>1</v>
          </cell>
        </row>
        <row r="177">
          <cell r="A177">
            <v>176</v>
          </cell>
          <cell r="B177">
            <v>44485.418506944443</v>
          </cell>
          <cell r="C177" t="str">
            <v>INV(BAL) / 2021-2022 / 14265</v>
          </cell>
          <cell r="D177" t="str">
            <v>RETAIL</v>
          </cell>
          <cell r="E177">
            <v>405220.47</v>
          </cell>
          <cell r="F177">
            <v>0</v>
          </cell>
          <cell r="G177">
            <v>241.8</v>
          </cell>
          <cell r="H177">
            <v>0</v>
          </cell>
          <cell r="I177">
            <v>36031.75</v>
          </cell>
          <cell r="J177">
            <v>12611.11</v>
          </cell>
          <cell r="K177">
            <v>486</v>
          </cell>
          <cell r="L177">
            <v>49128.86</v>
          </cell>
          <cell r="M177">
            <v>356091.61</v>
          </cell>
          <cell r="N177">
            <v>2021</v>
          </cell>
          <cell r="O177">
            <v>0.34999993061674772</v>
          </cell>
          <cell r="P177">
            <v>1.3488104241398211E-2</v>
          </cell>
          <cell r="Q177" t="str">
            <v>Beer</v>
          </cell>
          <cell r="R177">
            <v>241.8</v>
          </cell>
          <cell r="S177" t="b">
            <v>1</v>
          </cell>
        </row>
        <row r="178">
          <cell r="A178">
            <v>177</v>
          </cell>
          <cell r="B178">
            <v>44485.442418981482</v>
          </cell>
          <cell r="C178" t="str">
            <v>INV(BAL) / 2021-2022 / 14272</v>
          </cell>
          <cell r="D178" t="str">
            <v>RETAIL</v>
          </cell>
          <cell r="E178">
            <v>356091.61</v>
          </cell>
          <cell r="F178">
            <v>0</v>
          </cell>
          <cell r="G178">
            <v>0</v>
          </cell>
          <cell r="H178">
            <v>308.33999999999997</v>
          </cell>
          <cell r="I178">
            <v>257838.36</v>
          </cell>
          <cell r="J178">
            <v>90243.43</v>
          </cell>
          <cell r="K178">
            <v>3481</v>
          </cell>
          <cell r="L178">
            <v>351562.79</v>
          </cell>
          <cell r="M178">
            <v>4528.82</v>
          </cell>
          <cell r="N178">
            <v>2021</v>
          </cell>
          <cell r="O178">
            <v>0.35000001551359539</v>
          </cell>
          <cell r="P178">
            <v>1.3500706411567309E-2</v>
          </cell>
          <cell r="Q178" t="str">
            <v>Liquor</v>
          </cell>
          <cell r="R178">
            <v>411.11999999999995</v>
          </cell>
          <cell r="S178" t="b">
            <v>1</v>
          </cell>
        </row>
        <row r="179">
          <cell r="A179">
            <v>178</v>
          </cell>
          <cell r="B179">
            <v>44490.98165509259</v>
          </cell>
          <cell r="C179" t="str">
            <v>OSBC/BAL/MR/16728/2021-2022</v>
          </cell>
          <cell r="D179" t="str">
            <v>GOVT</v>
          </cell>
          <cell r="E179">
            <v>4528.82</v>
          </cell>
          <cell r="F179">
            <v>400000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404528.82</v>
          </cell>
          <cell r="N179">
            <v>2021</v>
          </cell>
          <cell r="O179">
            <v>0</v>
          </cell>
          <cell r="P179">
            <v>0</v>
          </cell>
          <cell r="Q179" t="str">
            <v>-</v>
          </cell>
          <cell r="R179">
            <v>0</v>
          </cell>
          <cell r="S179" t="b">
            <v>1</v>
          </cell>
        </row>
        <row r="180">
          <cell r="A180">
            <v>179</v>
          </cell>
          <cell r="B180">
            <v>44491.47179398148</v>
          </cell>
          <cell r="C180" t="str">
            <v>INV(BAL) / 2021-2022 / 14735</v>
          </cell>
          <cell r="D180" t="str">
            <v>RETAIL</v>
          </cell>
          <cell r="E180">
            <v>404528.82</v>
          </cell>
          <cell r="F180">
            <v>0</v>
          </cell>
          <cell r="G180">
            <v>0</v>
          </cell>
          <cell r="H180">
            <v>332.57</v>
          </cell>
          <cell r="I180">
            <v>294486.7</v>
          </cell>
          <cell r="J180">
            <v>103070.34</v>
          </cell>
          <cell r="K180">
            <v>3976</v>
          </cell>
          <cell r="L180">
            <v>401533.04</v>
          </cell>
          <cell r="M180">
            <v>2995.78</v>
          </cell>
          <cell r="N180">
            <v>2021</v>
          </cell>
          <cell r="O180">
            <v>0.34999998302130453</v>
          </cell>
          <cell r="P180">
            <v>1.3501458639728042E-2</v>
          </cell>
          <cell r="Q180" t="str">
            <v>Liquor</v>
          </cell>
          <cell r="R180">
            <v>443.42666666666668</v>
          </cell>
          <cell r="S180" t="b">
            <v>1</v>
          </cell>
        </row>
        <row r="181">
          <cell r="A181">
            <v>180</v>
          </cell>
          <cell r="B181">
            <v>44494.976319444446</v>
          </cell>
          <cell r="C181" t="str">
            <v>OSBC/BAL/MR/17014/2021-2022</v>
          </cell>
          <cell r="D181" t="str">
            <v>GOVT</v>
          </cell>
          <cell r="E181">
            <v>2995.78</v>
          </cell>
          <cell r="F181">
            <v>340000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342995.78</v>
          </cell>
          <cell r="N181">
            <v>2021</v>
          </cell>
          <cell r="O181">
            <v>0</v>
          </cell>
          <cell r="P181">
            <v>0</v>
          </cell>
          <cell r="Q181" t="str">
            <v>-</v>
          </cell>
          <cell r="R181">
            <v>0</v>
          </cell>
          <cell r="S181" t="b">
            <v>1</v>
          </cell>
        </row>
        <row r="182">
          <cell r="A182">
            <v>181</v>
          </cell>
          <cell r="B182">
            <v>44495.43482638889</v>
          </cell>
          <cell r="C182" t="str">
            <v>INV(BAL) / 2021-2022 / 14971</v>
          </cell>
          <cell r="D182" t="str">
            <v>RETAIL</v>
          </cell>
          <cell r="E182">
            <v>342995.78</v>
          </cell>
          <cell r="F182">
            <v>0</v>
          </cell>
          <cell r="G182">
            <v>0</v>
          </cell>
          <cell r="H182">
            <v>263.54000000000002</v>
          </cell>
          <cell r="I182">
            <v>228769.85</v>
          </cell>
          <cell r="J182">
            <v>80069.45</v>
          </cell>
          <cell r="K182">
            <v>3088</v>
          </cell>
          <cell r="L182">
            <v>311927.3</v>
          </cell>
          <cell r="M182">
            <v>31068.48</v>
          </cell>
          <cell r="N182">
            <v>2021</v>
          </cell>
          <cell r="O182">
            <v>0.35000001092801342</v>
          </cell>
          <cell r="P182">
            <v>1.3498282225564252E-2</v>
          </cell>
          <cell r="Q182" t="str">
            <v>Liquor</v>
          </cell>
          <cell r="R182">
            <v>351.38666666666671</v>
          </cell>
          <cell r="S182" t="b">
            <v>1</v>
          </cell>
        </row>
        <row r="183">
          <cell r="A183">
            <v>182</v>
          </cell>
          <cell r="B183">
            <v>44495.435428240744</v>
          </cell>
          <cell r="C183" t="str">
            <v>INV(BAL) / 2021-2022 / 14972</v>
          </cell>
          <cell r="D183" t="str">
            <v>RETAIL</v>
          </cell>
          <cell r="E183">
            <v>31068.48</v>
          </cell>
          <cell r="F183">
            <v>0</v>
          </cell>
          <cell r="G183">
            <v>109.2</v>
          </cell>
          <cell r="H183">
            <v>0</v>
          </cell>
          <cell r="I183">
            <v>19047.599999999999</v>
          </cell>
          <cell r="J183">
            <v>6666.66</v>
          </cell>
          <cell r="K183">
            <v>257</v>
          </cell>
          <cell r="L183">
            <v>25971.26</v>
          </cell>
          <cell r="M183">
            <v>5097.22</v>
          </cell>
          <cell r="N183">
            <v>2021</v>
          </cell>
          <cell r="O183">
            <v>0.35000000000000003</v>
          </cell>
          <cell r="P183">
            <v>1.3492513492513493E-2</v>
          </cell>
          <cell r="Q183" t="str">
            <v>Beer</v>
          </cell>
          <cell r="R183">
            <v>109.2</v>
          </cell>
          <cell r="S183" t="b">
            <v>1</v>
          </cell>
        </row>
        <row r="184">
          <cell r="A184">
            <v>183</v>
          </cell>
          <cell r="B184">
            <v>44501.925347222219</v>
          </cell>
          <cell r="C184" t="str">
            <v>OSBC/BAL/MR/17457/2021-2022</v>
          </cell>
          <cell r="D184" t="str">
            <v>GOVT</v>
          </cell>
          <cell r="E184">
            <v>5097.22</v>
          </cell>
          <cell r="F184">
            <v>450000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455097.22</v>
          </cell>
          <cell r="N184">
            <v>2021</v>
          </cell>
          <cell r="O184">
            <v>0</v>
          </cell>
          <cell r="P184">
            <v>0</v>
          </cell>
          <cell r="Q184" t="str">
            <v>-</v>
          </cell>
          <cell r="R184">
            <v>0</v>
          </cell>
          <cell r="S184" t="b">
            <v>1</v>
          </cell>
        </row>
        <row r="185">
          <cell r="A185">
            <v>184</v>
          </cell>
          <cell r="B185">
            <v>44502.430046296293</v>
          </cell>
          <cell r="C185" t="str">
            <v>INV(BAL) / 2021-2022 / 15290</v>
          </cell>
          <cell r="D185" t="str">
            <v>RETAIL</v>
          </cell>
          <cell r="E185">
            <v>455097.22</v>
          </cell>
          <cell r="F185">
            <v>0</v>
          </cell>
          <cell r="G185">
            <v>0</v>
          </cell>
          <cell r="H185">
            <v>365.38</v>
          </cell>
          <cell r="I185">
            <v>332004.02</v>
          </cell>
          <cell r="J185">
            <v>116201.41</v>
          </cell>
          <cell r="K185">
            <v>4482</v>
          </cell>
          <cell r="L185">
            <v>452687.43</v>
          </cell>
          <cell r="M185">
            <v>2409.79</v>
          </cell>
          <cell r="N185">
            <v>2021</v>
          </cell>
          <cell r="O185">
            <v>0.35000000903603518</v>
          </cell>
          <cell r="P185">
            <v>1.3499836538123845E-2</v>
          </cell>
          <cell r="Q185" t="str">
            <v>Liquor</v>
          </cell>
          <cell r="R185">
            <v>487.17333333333335</v>
          </cell>
          <cell r="S185" t="b">
            <v>1</v>
          </cell>
        </row>
        <row r="186">
          <cell r="A186">
            <v>185</v>
          </cell>
          <cell r="B186">
            <v>44506.00136574074</v>
          </cell>
          <cell r="C186" t="str">
            <v>OSBC/BAL/MR/17874/2021-2022</v>
          </cell>
          <cell r="D186" t="str">
            <v>GOVT</v>
          </cell>
          <cell r="E186">
            <v>2409.79</v>
          </cell>
          <cell r="F186">
            <v>450000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452409.79</v>
          </cell>
          <cell r="N186">
            <v>2021</v>
          </cell>
          <cell r="O186">
            <v>0</v>
          </cell>
          <cell r="P186">
            <v>0</v>
          </cell>
          <cell r="Q186" t="str">
            <v>-</v>
          </cell>
          <cell r="R186">
            <v>0</v>
          </cell>
          <cell r="S186" t="b">
            <v>1</v>
          </cell>
        </row>
        <row r="187">
          <cell r="A187">
            <v>186</v>
          </cell>
          <cell r="B187">
            <v>44506.441666666666</v>
          </cell>
          <cell r="C187" t="str">
            <v>INV(BAL) / 2021-2022 / 15643</v>
          </cell>
          <cell r="D187" t="str">
            <v>RETAIL</v>
          </cell>
          <cell r="E187">
            <v>452409.79</v>
          </cell>
          <cell r="F187">
            <v>0</v>
          </cell>
          <cell r="G187">
            <v>355.2</v>
          </cell>
          <cell r="H187">
            <v>0</v>
          </cell>
          <cell r="I187">
            <v>56269.8</v>
          </cell>
          <cell r="J187">
            <v>19694.43</v>
          </cell>
          <cell r="K187">
            <v>760</v>
          </cell>
          <cell r="L187">
            <v>76724.23</v>
          </cell>
          <cell r="M187">
            <v>375685.56</v>
          </cell>
          <cell r="N187">
            <v>2021</v>
          </cell>
          <cell r="O187">
            <v>0.35</v>
          </cell>
          <cell r="P187">
            <v>1.3506356873491641E-2</v>
          </cell>
          <cell r="Q187" t="str">
            <v>Beer</v>
          </cell>
          <cell r="R187">
            <v>355.2</v>
          </cell>
          <cell r="S187" t="b">
            <v>1</v>
          </cell>
        </row>
        <row r="188">
          <cell r="A188">
            <v>187</v>
          </cell>
          <cell r="B188">
            <v>44506.501319444447</v>
          </cell>
          <cell r="C188" t="str">
            <v>INV(BAL) / 2021-2022 / 15668</v>
          </cell>
          <cell r="D188" t="str">
            <v>RETAIL</v>
          </cell>
          <cell r="E188">
            <v>375685.56</v>
          </cell>
          <cell r="F188">
            <v>0</v>
          </cell>
          <cell r="G188">
            <v>0</v>
          </cell>
          <cell r="H188">
            <v>328.32</v>
          </cell>
          <cell r="I188">
            <v>271111.09999999998</v>
          </cell>
          <cell r="J188">
            <v>94888.89</v>
          </cell>
          <cell r="K188">
            <v>3660</v>
          </cell>
          <cell r="L188">
            <v>369659.99</v>
          </cell>
          <cell r="M188">
            <v>6025.57</v>
          </cell>
          <cell r="N188">
            <v>2021</v>
          </cell>
          <cell r="O188">
            <v>0.35000001844262374</v>
          </cell>
          <cell r="P188">
            <v>1.3500000553278713E-2</v>
          </cell>
          <cell r="Q188" t="str">
            <v>Liquor</v>
          </cell>
          <cell r="R188">
            <v>437.76</v>
          </cell>
          <cell r="S188" t="b">
            <v>1</v>
          </cell>
        </row>
        <row r="189">
          <cell r="A189">
            <v>188</v>
          </cell>
          <cell r="B189">
            <v>44509.497118055559</v>
          </cell>
          <cell r="C189" t="str">
            <v>OSBC/BAL/MR/18217/2021-2022</v>
          </cell>
          <cell r="D189" t="str">
            <v>GOVT</v>
          </cell>
          <cell r="E189">
            <v>6025.57</v>
          </cell>
          <cell r="F189">
            <v>10000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16025.57</v>
          </cell>
          <cell r="N189">
            <v>2021</v>
          </cell>
          <cell r="O189">
            <v>0</v>
          </cell>
          <cell r="P189">
            <v>0</v>
          </cell>
          <cell r="Q189" t="str">
            <v>-</v>
          </cell>
          <cell r="R189">
            <v>0</v>
          </cell>
          <cell r="S189" t="b">
            <v>1</v>
          </cell>
        </row>
        <row r="190">
          <cell r="A190">
            <v>189</v>
          </cell>
          <cell r="B190">
            <v>44511.209270833337</v>
          </cell>
          <cell r="C190" t="str">
            <v>OSBC/BAL/MR/18326/2021-2022</v>
          </cell>
          <cell r="D190" t="str">
            <v>GOVT</v>
          </cell>
          <cell r="E190">
            <v>16025.57</v>
          </cell>
          <cell r="F190">
            <v>430000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446025.57</v>
          </cell>
          <cell r="N190">
            <v>2021</v>
          </cell>
          <cell r="O190">
            <v>0</v>
          </cell>
          <cell r="P190">
            <v>0</v>
          </cell>
          <cell r="Q190" t="str">
            <v>-</v>
          </cell>
          <cell r="R190">
            <v>0</v>
          </cell>
          <cell r="S190" t="b">
            <v>1</v>
          </cell>
        </row>
        <row r="191">
          <cell r="A191">
            <v>190</v>
          </cell>
          <cell r="B191">
            <v>44511.47625</v>
          </cell>
          <cell r="C191" t="str">
            <v>INV(BAL) / 2021-2022 / 16035</v>
          </cell>
          <cell r="D191" t="str">
            <v>RETAIL</v>
          </cell>
          <cell r="E191">
            <v>446025.57</v>
          </cell>
          <cell r="F191">
            <v>0</v>
          </cell>
          <cell r="G191">
            <v>0</v>
          </cell>
          <cell r="H191">
            <v>352.16</v>
          </cell>
          <cell r="I191">
            <v>311486.90000000002</v>
          </cell>
          <cell r="J191">
            <v>109020.42</v>
          </cell>
          <cell r="K191">
            <v>4205</v>
          </cell>
          <cell r="L191">
            <v>424712.32</v>
          </cell>
          <cell r="M191">
            <v>21313.25</v>
          </cell>
          <cell r="N191">
            <v>2021</v>
          </cell>
          <cell r="O191">
            <v>0.3500000160520394</v>
          </cell>
          <cell r="P191">
            <v>1.3499765158663172E-2</v>
          </cell>
          <cell r="Q191" t="str">
            <v>Liquor</v>
          </cell>
          <cell r="R191">
            <v>469.54666666666668</v>
          </cell>
          <cell r="S191" t="b">
            <v>1</v>
          </cell>
        </row>
        <row r="192">
          <cell r="A192">
            <v>191</v>
          </cell>
          <cell r="B192">
            <v>44511.476782407408</v>
          </cell>
          <cell r="C192" t="str">
            <v>INV(BAL) / 2021-2022 / 16036</v>
          </cell>
          <cell r="D192" t="str">
            <v>RETAIL</v>
          </cell>
          <cell r="E192">
            <v>21313.25</v>
          </cell>
          <cell r="F192">
            <v>0</v>
          </cell>
          <cell r="G192">
            <v>93.6</v>
          </cell>
          <cell r="H192">
            <v>0</v>
          </cell>
          <cell r="I192">
            <v>15079.41</v>
          </cell>
          <cell r="J192">
            <v>5277.79</v>
          </cell>
          <cell r="K192">
            <v>204</v>
          </cell>
          <cell r="L192">
            <v>20561.2</v>
          </cell>
          <cell r="M192">
            <v>752.05</v>
          </cell>
          <cell r="N192">
            <v>2021</v>
          </cell>
          <cell r="O192">
            <v>0.34999976789542825</v>
          </cell>
          <cell r="P192">
            <v>1.3528380752297339E-2</v>
          </cell>
          <cell r="Q192" t="str">
            <v>Beer</v>
          </cell>
          <cell r="R192">
            <v>93.6</v>
          </cell>
          <cell r="S192" t="b">
            <v>1</v>
          </cell>
        </row>
        <row r="193">
          <cell r="A193">
            <v>192</v>
          </cell>
          <cell r="B193">
            <v>44516.23746527778</v>
          </cell>
          <cell r="C193" t="str">
            <v>OSBC/BAL/MR/18697/2021-2022</v>
          </cell>
          <cell r="D193" t="str">
            <v>GOVT</v>
          </cell>
          <cell r="E193">
            <v>752.05</v>
          </cell>
          <cell r="F193">
            <v>380000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380752.05</v>
          </cell>
          <cell r="N193">
            <v>2021</v>
          </cell>
          <cell r="O193">
            <v>0</v>
          </cell>
          <cell r="P193">
            <v>0</v>
          </cell>
          <cell r="Q193" t="str">
            <v>-</v>
          </cell>
          <cell r="R193">
            <v>0</v>
          </cell>
          <cell r="S193" t="b">
            <v>1</v>
          </cell>
        </row>
        <row r="194">
          <cell r="A194">
            <v>193</v>
          </cell>
          <cell r="B194">
            <v>44516.481226851851</v>
          </cell>
          <cell r="C194" t="str">
            <v>INV(BAL) / 2021-2022 / 16301</v>
          </cell>
          <cell r="D194" t="str">
            <v>RETAIL</v>
          </cell>
          <cell r="E194">
            <v>380752.05</v>
          </cell>
          <cell r="F194">
            <v>0</v>
          </cell>
          <cell r="G194">
            <v>0</v>
          </cell>
          <cell r="H194">
            <v>321.98</v>
          </cell>
          <cell r="I194">
            <v>267023.87</v>
          </cell>
          <cell r="J194">
            <v>93458.39</v>
          </cell>
          <cell r="K194">
            <v>3605</v>
          </cell>
          <cell r="L194">
            <v>364087.26</v>
          </cell>
          <cell r="M194">
            <v>16664.79</v>
          </cell>
          <cell r="N194">
            <v>2021</v>
          </cell>
          <cell r="O194">
            <v>0.35000013294691595</v>
          </cell>
          <cell r="P194">
            <v>1.3500665689550526E-2</v>
          </cell>
          <cell r="Q194" t="str">
            <v>Liquor</v>
          </cell>
          <cell r="R194">
            <v>429.30666666666667</v>
          </cell>
          <cell r="S194" t="b">
            <v>1</v>
          </cell>
        </row>
        <row r="195">
          <cell r="A195">
            <v>194</v>
          </cell>
          <cell r="B195">
            <v>44516.481608796297</v>
          </cell>
          <cell r="C195" t="str">
            <v>INV(BAL) / 2021-2022 / 16302</v>
          </cell>
          <cell r="D195" t="str">
            <v>RETAIL</v>
          </cell>
          <cell r="E195">
            <v>16664.79</v>
          </cell>
          <cell r="F195">
            <v>0</v>
          </cell>
          <cell r="G195">
            <v>78</v>
          </cell>
          <cell r="H195">
            <v>0</v>
          </cell>
          <cell r="I195">
            <v>11111.1</v>
          </cell>
          <cell r="J195">
            <v>3888.89</v>
          </cell>
          <cell r="K195">
            <v>150</v>
          </cell>
          <cell r="L195">
            <v>15149.99</v>
          </cell>
          <cell r="M195">
            <v>1514.8</v>
          </cell>
          <cell r="N195">
            <v>2021</v>
          </cell>
          <cell r="O195">
            <v>0.35000045000044999</v>
          </cell>
          <cell r="P195">
            <v>1.3500013500013499E-2</v>
          </cell>
          <cell r="Q195" t="str">
            <v>Beer</v>
          </cell>
          <cell r="R195">
            <v>78</v>
          </cell>
          <cell r="S195" t="b">
            <v>1</v>
          </cell>
        </row>
        <row r="196">
          <cell r="A196">
            <v>195</v>
          </cell>
          <cell r="B196">
            <v>44520.280509259261</v>
          </cell>
          <cell r="C196" t="str">
            <v>OSBC/BAL/MR/19013/2021-2022</v>
          </cell>
          <cell r="D196" t="str">
            <v>GOVT</v>
          </cell>
          <cell r="E196">
            <v>1514.8</v>
          </cell>
          <cell r="F196">
            <v>380000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381514.8</v>
          </cell>
          <cell r="N196">
            <v>2021</v>
          </cell>
          <cell r="O196">
            <v>0</v>
          </cell>
          <cell r="P196">
            <v>0</v>
          </cell>
          <cell r="Q196" t="str">
            <v>-</v>
          </cell>
          <cell r="R196">
            <v>0</v>
          </cell>
          <cell r="S196" t="b">
            <v>1</v>
          </cell>
        </row>
        <row r="197">
          <cell r="A197">
            <v>196</v>
          </cell>
          <cell r="B197">
            <v>44520.481319444443</v>
          </cell>
          <cell r="C197" t="str">
            <v>INV(BAL) / 2021-2022 / 16547</v>
          </cell>
          <cell r="D197" t="str">
            <v>RETAIL</v>
          </cell>
          <cell r="E197">
            <v>381514.8</v>
          </cell>
          <cell r="F197">
            <v>0</v>
          </cell>
          <cell r="G197">
            <v>82.2</v>
          </cell>
          <cell r="H197">
            <v>0</v>
          </cell>
          <cell r="I197">
            <v>15714.3</v>
          </cell>
          <cell r="J197">
            <v>5500.01</v>
          </cell>
          <cell r="K197">
            <v>212</v>
          </cell>
          <cell r="L197">
            <v>21426.31</v>
          </cell>
          <cell r="M197">
            <v>360088.49</v>
          </cell>
          <cell r="N197">
            <v>2021</v>
          </cell>
          <cell r="O197">
            <v>0.35000031818152894</v>
          </cell>
          <cell r="P197">
            <v>1.3490896826457431E-2</v>
          </cell>
          <cell r="Q197" t="str">
            <v>Beer</v>
          </cell>
          <cell r="R197">
            <v>82.2</v>
          </cell>
          <cell r="S197" t="b">
            <v>1</v>
          </cell>
        </row>
        <row r="198">
          <cell r="A198">
            <v>197</v>
          </cell>
          <cell r="B198">
            <v>44520.48228009259</v>
          </cell>
          <cell r="C198" t="str">
            <v>INV(BAL) / 2021-2022 / 16548</v>
          </cell>
          <cell r="D198" t="str">
            <v>RETAIL</v>
          </cell>
          <cell r="E198">
            <v>360088.49</v>
          </cell>
          <cell r="F198">
            <v>0</v>
          </cell>
          <cell r="G198">
            <v>0</v>
          </cell>
          <cell r="H198">
            <v>299.02999999999997</v>
          </cell>
          <cell r="I198">
            <v>263710.42</v>
          </cell>
          <cell r="J198">
            <v>92298.65</v>
          </cell>
          <cell r="K198">
            <v>3560</v>
          </cell>
          <cell r="L198">
            <v>359569.07</v>
          </cell>
          <cell r="M198">
            <v>519.41999999999996</v>
          </cell>
          <cell r="N198">
            <v>2021</v>
          </cell>
          <cell r="O198">
            <v>0.35000001137611475</v>
          </cell>
          <cell r="P198">
            <v>1.3499656175891724E-2</v>
          </cell>
          <cell r="Q198" t="str">
            <v>Liquor</v>
          </cell>
          <cell r="R198">
            <v>398.70666666666665</v>
          </cell>
          <cell r="S198" t="b">
            <v>1</v>
          </cell>
        </row>
        <row r="199">
          <cell r="A199">
            <v>198</v>
          </cell>
          <cell r="B199">
            <v>44524.012303240743</v>
          </cell>
          <cell r="C199" t="str">
            <v>OSBC/BAL/MR/19367/2021-2022</v>
          </cell>
          <cell r="D199" t="str">
            <v>GOVT</v>
          </cell>
          <cell r="E199">
            <v>519.41999999999996</v>
          </cell>
          <cell r="F199">
            <v>365000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365519.42</v>
          </cell>
          <cell r="N199">
            <v>2021</v>
          </cell>
          <cell r="O199">
            <v>0</v>
          </cell>
          <cell r="P199">
            <v>0</v>
          </cell>
          <cell r="Q199" t="str">
            <v>-</v>
          </cell>
          <cell r="R199">
            <v>0</v>
          </cell>
          <cell r="S199" t="b">
            <v>1</v>
          </cell>
        </row>
        <row r="200">
          <cell r="A200">
            <v>199</v>
          </cell>
          <cell r="B200">
            <v>44524.469849537039</v>
          </cell>
          <cell r="C200" t="str">
            <v>INV(BAL) / 2021-2022 / 16855</v>
          </cell>
          <cell r="D200" t="str">
            <v>RETAIL</v>
          </cell>
          <cell r="E200">
            <v>365519.42</v>
          </cell>
          <cell r="F200">
            <v>0</v>
          </cell>
          <cell r="G200">
            <v>0</v>
          </cell>
          <cell r="H200">
            <v>274.64</v>
          </cell>
          <cell r="I200">
            <v>230912.76</v>
          </cell>
          <cell r="J200">
            <v>80819.460000000006</v>
          </cell>
          <cell r="K200">
            <v>3117</v>
          </cell>
          <cell r="L200">
            <v>314849.21999999997</v>
          </cell>
          <cell r="M200">
            <v>50670.2</v>
          </cell>
          <cell r="N200">
            <v>2021</v>
          </cell>
          <cell r="O200">
            <v>0.3499999740161609</v>
          </cell>
          <cell r="P200">
            <v>1.3498604408002398E-2</v>
          </cell>
          <cell r="Q200" t="str">
            <v>Liquor</v>
          </cell>
          <cell r="R200">
            <v>366.18666666666667</v>
          </cell>
          <cell r="S200" t="b">
            <v>1</v>
          </cell>
        </row>
        <row r="201">
          <cell r="A201">
            <v>200</v>
          </cell>
          <cell r="B201">
            <v>44524.488506944443</v>
          </cell>
          <cell r="C201" t="str">
            <v>INV(BAL) / 2021-2022 / 16860</v>
          </cell>
          <cell r="D201" t="str">
            <v>RETAIL</v>
          </cell>
          <cell r="E201">
            <v>50670.2</v>
          </cell>
          <cell r="F201">
            <v>0</v>
          </cell>
          <cell r="G201">
            <v>223.2</v>
          </cell>
          <cell r="H201">
            <v>0</v>
          </cell>
          <cell r="I201">
            <v>36111.11</v>
          </cell>
          <cell r="J201">
            <v>12638.89</v>
          </cell>
          <cell r="K201">
            <v>488</v>
          </cell>
          <cell r="L201">
            <v>49238</v>
          </cell>
          <cell r="M201">
            <v>1432.2</v>
          </cell>
          <cell r="N201">
            <v>2021</v>
          </cell>
          <cell r="O201">
            <v>0.35000004153846281</v>
          </cell>
          <cell r="P201">
            <v>1.3513846569656818E-2</v>
          </cell>
          <cell r="Q201" t="str">
            <v>Beer</v>
          </cell>
          <cell r="R201">
            <v>223.2</v>
          </cell>
          <cell r="S201" t="b">
            <v>1</v>
          </cell>
        </row>
        <row r="202">
          <cell r="A202">
            <v>201</v>
          </cell>
          <cell r="B202">
            <v>44527.259814814817</v>
          </cell>
          <cell r="C202" t="str">
            <v>OSBC/BAL/MR/19653/2021-2022</v>
          </cell>
          <cell r="D202" t="str">
            <v>GOVT</v>
          </cell>
          <cell r="E202">
            <v>1432.2</v>
          </cell>
          <cell r="F202">
            <v>315000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316432.2</v>
          </cell>
          <cell r="N202">
            <v>2021</v>
          </cell>
          <cell r="O202">
            <v>0</v>
          </cell>
          <cell r="P202">
            <v>0</v>
          </cell>
          <cell r="Q202" t="str">
            <v>-</v>
          </cell>
          <cell r="R202">
            <v>0</v>
          </cell>
          <cell r="S202" t="b">
            <v>1</v>
          </cell>
        </row>
        <row r="203">
          <cell r="A203">
            <v>202</v>
          </cell>
          <cell r="B203">
            <v>44527.463819444441</v>
          </cell>
          <cell r="C203" t="str">
            <v>INV(BAL) / 2021-2022 / 17075</v>
          </cell>
          <cell r="D203" t="str">
            <v>RETAIL</v>
          </cell>
          <cell r="E203">
            <v>316432.2</v>
          </cell>
          <cell r="F203">
            <v>0</v>
          </cell>
          <cell r="G203">
            <v>0</v>
          </cell>
          <cell r="H203">
            <v>281.08999999999997</v>
          </cell>
          <cell r="I203">
            <v>231388.96</v>
          </cell>
          <cell r="J203">
            <v>80986.17</v>
          </cell>
          <cell r="K203">
            <v>3124</v>
          </cell>
          <cell r="L203">
            <v>315499.13</v>
          </cell>
          <cell r="M203">
            <v>933.07</v>
          </cell>
          <cell r="N203">
            <v>2021</v>
          </cell>
          <cell r="O203">
            <v>0.35000014693873038</v>
          </cell>
          <cell r="P203">
            <v>1.350107628298256E-2</v>
          </cell>
          <cell r="Q203" t="str">
            <v>Liquor</v>
          </cell>
          <cell r="R203">
            <v>374.78666666666663</v>
          </cell>
          <cell r="S203" t="b">
            <v>1</v>
          </cell>
        </row>
        <row r="204">
          <cell r="A204">
            <v>203</v>
          </cell>
          <cell r="B204">
            <v>44530.254988425928</v>
          </cell>
          <cell r="C204" t="str">
            <v>OSBC/BAL/MR/19909/2021-2022</v>
          </cell>
          <cell r="D204" t="str">
            <v>GOVT</v>
          </cell>
          <cell r="E204">
            <v>933.07</v>
          </cell>
          <cell r="F204">
            <v>300000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300933.07</v>
          </cell>
          <cell r="N204">
            <v>2021</v>
          </cell>
          <cell r="O204">
            <v>0</v>
          </cell>
          <cell r="P204">
            <v>0</v>
          </cell>
          <cell r="Q204" t="str">
            <v>-</v>
          </cell>
          <cell r="R204">
            <v>0</v>
          </cell>
          <cell r="S204" t="b">
            <v>1</v>
          </cell>
        </row>
        <row r="205">
          <cell r="A205">
            <v>204</v>
          </cell>
          <cell r="B205">
            <v>44530.461643518516</v>
          </cell>
          <cell r="C205" t="str">
            <v>INV(BAL) / 2021-2022 / 17260</v>
          </cell>
          <cell r="D205" t="str">
            <v>RETAIL</v>
          </cell>
          <cell r="E205">
            <v>300933.07</v>
          </cell>
          <cell r="F205">
            <v>0</v>
          </cell>
          <cell r="G205">
            <v>282.60000000000002</v>
          </cell>
          <cell r="H205">
            <v>0</v>
          </cell>
          <cell r="I205">
            <v>44047.61</v>
          </cell>
          <cell r="J205">
            <v>15416.66</v>
          </cell>
          <cell r="K205">
            <v>595</v>
          </cell>
          <cell r="L205">
            <v>60059.27</v>
          </cell>
          <cell r="M205">
            <v>240873.8</v>
          </cell>
          <cell r="N205">
            <v>2021</v>
          </cell>
          <cell r="O205">
            <v>0.3499999205405242</v>
          </cell>
          <cell r="P205">
            <v>1.35081108827471E-2</v>
          </cell>
          <cell r="Q205" t="str">
            <v>Beer</v>
          </cell>
          <cell r="R205">
            <v>282.60000000000002</v>
          </cell>
          <cell r="S205" t="b">
            <v>1</v>
          </cell>
        </row>
        <row r="206">
          <cell r="A206">
            <v>205</v>
          </cell>
          <cell r="B206">
            <v>44530.47351851852</v>
          </cell>
          <cell r="C206" t="str">
            <v>INV(BAL) / 2021-2022 / 17262</v>
          </cell>
          <cell r="D206" t="str">
            <v>RETAIL</v>
          </cell>
          <cell r="E206">
            <v>240873.8</v>
          </cell>
          <cell r="F206">
            <v>0</v>
          </cell>
          <cell r="G206">
            <v>0</v>
          </cell>
          <cell r="H206">
            <v>204.1</v>
          </cell>
          <cell r="I206">
            <v>176461.68</v>
          </cell>
          <cell r="J206">
            <v>61761.62</v>
          </cell>
          <cell r="K206">
            <v>2382</v>
          </cell>
          <cell r="L206">
            <v>240605.3</v>
          </cell>
          <cell r="M206">
            <v>268.5</v>
          </cell>
          <cell r="N206">
            <v>2021</v>
          </cell>
          <cell r="O206">
            <v>0.3500001813424875</v>
          </cell>
          <cell r="P206">
            <v>1.3498681413437751E-2</v>
          </cell>
          <cell r="Q206" t="str">
            <v>Liquor</v>
          </cell>
          <cell r="R206">
            <v>272.13333333333333</v>
          </cell>
          <cell r="S206" t="b">
            <v>1</v>
          </cell>
        </row>
        <row r="207">
          <cell r="A207">
            <v>206</v>
          </cell>
          <cell r="B207">
            <v>44536.162349537037</v>
          </cell>
          <cell r="C207" t="str">
            <v>OSBC/BAL/MR/20398/2021-2022</v>
          </cell>
          <cell r="D207" t="str">
            <v>GOVT</v>
          </cell>
          <cell r="E207">
            <v>268.5</v>
          </cell>
          <cell r="F207">
            <v>490000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490268.5</v>
          </cell>
          <cell r="N207">
            <v>2021</v>
          </cell>
          <cell r="O207">
            <v>0</v>
          </cell>
          <cell r="P207">
            <v>0</v>
          </cell>
          <cell r="Q207" t="str">
            <v>-</v>
          </cell>
          <cell r="R207">
            <v>0</v>
          </cell>
          <cell r="S207" t="b">
            <v>1</v>
          </cell>
        </row>
        <row r="208">
          <cell r="A208">
            <v>207</v>
          </cell>
          <cell r="B208">
            <v>44536.471875000003</v>
          </cell>
          <cell r="C208" t="str">
            <v>INV(BAL) / 2021-2022 / 17608</v>
          </cell>
          <cell r="D208" t="str">
            <v>RETAIL</v>
          </cell>
          <cell r="E208">
            <v>490268.5</v>
          </cell>
          <cell r="F208">
            <v>0</v>
          </cell>
          <cell r="G208">
            <v>0</v>
          </cell>
          <cell r="H208">
            <v>423.18</v>
          </cell>
          <cell r="I208">
            <v>356899.6</v>
          </cell>
          <cell r="J208">
            <v>124914.9</v>
          </cell>
          <cell r="K208">
            <v>4818</v>
          </cell>
          <cell r="L208">
            <v>486632.5</v>
          </cell>
          <cell r="M208">
            <v>3636</v>
          </cell>
          <cell r="N208">
            <v>2021</v>
          </cell>
          <cell r="O208">
            <v>0.35000011207633747</v>
          </cell>
          <cell r="P208">
            <v>1.3499594844040173E-2</v>
          </cell>
          <cell r="Q208" t="str">
            <v>Liquor</v>
          </cell>
          <cell r="R208">
            <v>564.24</v>
          </cell>
          <cell r="S208" t="b">
            <v>1</v>
          </cell>
        </row>
        <row r="209">
          <cell r="A209">
            <v>208</v>
          </cell>
          <cell r="B209">
            <v>44540.259398148148</v>
          </cell>
          <cell r="C209" t="str">
            <v>OSBC/BAL/MR/20798/2021-2022</v>
          </cell>
          <cell r="D209" t="str">
            <v>GOVT</v>
          </cell>
          <cell r="E209">
            <v>3636</v>
          </cell>
          <cell r="F209">
            <v>345000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348636</v>
          </cell>
          <cell r="N209">
            <v>2021</v>
          </cell>
          <cell r="O209">
            <v>0</v>
          </cell>
          <cell r="P209">
            <v>0</v>
          </cell>
          <cell r="Q209" t="str">
            <v>-</v>
          </cell>
          <cell r="R209">
            <v>0</v>
          </cell>
          <cell r="S209" t="b">
            <v>1</v>
          </cell>
        </row>
        <row r="210">
          <cell r="A210">
            <v>209</v>
          </cell>
          <cell r="B210">
            <v>44540.468819444446</v>
          </cell>
          <cell r="C210" t="str">
            <v>INV(BAL) / 2021-2022 / 17889</v>
          </cell>
          <cell r="D210" t="str">
            <v>RETAIL</v>
          </cell>
          <cell r="E210">
            <v>348636</v>
          </cell>
          <cell r="F210">
            <v>0</v>
          </cell>
          <cell r="G210">
            <v>206.4</v>
          </cell>
          <cell r="H210">
            <v>0</v>
          </cell>
          <cell r="I210">
            <v>33809.5</v>
          </cell>
          <cell r="J210">
            <v>11833.33</v>
          </cell>
          <cell r="K210">
            <v>456</v>
          </cell>
          <cell r="L210">
            <v>46098.83</v>
          </cell>
          <cell r="M210">
            <v>302537.17</v>
          </cell>
          <cell r="N210">
            <v>2021</v>
          </cell>
          <cell r="O210">
            <v>0.35000014788742811</v>
          </cell>
          <cell r="P210">
            <v>1.3487333441784113E-2</v>
          </cell>
          <cell r="Q210" t="str">
            <v>Beer</v>
          </cell>
          <cell r="R210">
            <v>206.4</v>
          </cell>
          <cell r="S210" t="b">
            <v>1</v>
          </cell>
        </row>
        <row r="211">
          <cell r="A211">
            <v>210</v>
          </cell>
          <cell r="B211">
            <v>44540.469513888886</v>
          </cell>
          <cell r="C211" t="str">
            <v>INV(BAL) / 2021-2022 / 17890</v>
          </cell>
          <cell r="D211" t="str">
            <v>RETAIL</v>
          </cell>
          <cell r="E211">
            <v>302537.17</v>
          </cell>
          <cell r="F211">
            <v>0</v>
          </cell>
          <cell r="G211">
            <v>0</v>
          </cell>
          <cell r="H211">
            <v>221.6</v>
          </cell>
          <cell r="I211">
            <v>221131.04</v>
          </cell>
          <cell r="J211">
            <v>77395.88</v>
          </cell>
          <cell r="K211">
            <v>2985</v>
          </cell>
          <cell r="L211">
            <v>301511.92</v>
          </cell>
          <cell r="M211">
            <v>1025.25</v>
          </cell>
          <cell r="N211">
            <v>2021</v>
          </cell>
          <cell r="O211">
            <v>0.35000007235528763</v>
          </cell>
          <cell r="P211">
            <v>1.3498783345838738E-2</v>
          </cell>
          <cell r="Q211" t="str">
            <v>Liquor</v>
          </cell>
          <cell r="R211">
            <v>295.46666666666664</v>
          </cell>
          <cell r="S211" t="b">
            <v>1</v>
          </cell>
        </row>
        <row r="212">
          <cell r="A212">
            <v>211</v>
          </cell>
          <cell r="B212">
            <v>44543.249189814815</v>
          </cell>
          <cell r="C212" t="str">
            <v>OSBC/BAL/MR/21003/2021-2022</v>
          </cell>
          <cell r="D212" t="str">
            <v>GOVT</v>
          </cell>
          <cell r="E212">
            <v>1025.25</v>
          </cell>
          <cell r="F212">
            <v>360000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361025.25</v>
          </cell>
          <cell r="N212">
            <v>2021</v>
          </cell>
          <cell r="O212">
            <v>0</v>
          </cell>
          <cell r="P212">
            <v>0</v>
          </cell>
          <cell r="Q212" t="str">
            <v>-</v>
          </cell>
          <cell r="R212">
            <v>0</v>
          </cell>
          <cell r="S212" t="b">
            <v>1</v>
          </cell>
        </row>
        <row r="213">
          <cell r="A213">
            <v>212</v>
          </cell>
          <cell r="B213">
            <v>44543.419317129628</v>
          </cell>
          <cell r="C213" t="str">
            <v>OSBC/BAL/MR/21022/2021-2022</v>
          </cell>
          <cell r="D213" t="str">
            <v>GOVT</v>
          </cell>
          <cell r="E213">
            <v>361025.25</v>
          </cell>
          <cell r="F213">
            <v>70000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431025.25</v>
          </cell>
          <cell r="N213">
            <v>2021</v>
          </cell>
          <cell r="O213">
            <v>0</v>
          </cell>
          <cell r="P213">
            <v>0</v>
          </cell>
          <cell r="Q213" t="str">
            <v>-</v>
          </cell>
          <cell r="R213">
            <v>0</v>
          </cell>
          <cell r="S213" t="b">
            <v>1</v>
          </cell>
        </row>
        <row r="214">
          <cell r="A214">
            <v>213</v>
          </cell>
          <cell r="B214">
            <v>44543.510057870371</v>
          </cell>
          <cell r="C214" t="str">
            <v>INV(BAL) / 2021-2022 / 18041</v>
          </cell>
          <cell r="D214" t="str">
            <v>RETAIL</v>
          </cell>
          <cell r="E214">
            <v>431025.25</v>
          </cell>
          <cell r="F214">
            <v>0</v>
          </cell>
          <cell r="G214">
            <v>0</v>
          </cell>
          <cell r="H214">
            <v>369.66</v>
          </cell>
          <cell r="I214">
            <v>315773.94</v>
          </cell>
          <cell r="J214">
            <v>110520.88</v>
          </cell>
          <cell r="K214">
            <v>4263</v>
          </cell>
          <cell r="L214">
            <v>430557.82</v>
          </cell>
          <cell r="M214">
            <v>467.43</v>
          </cell>
          <cell r="N214">
            <v>2021</v>
          </cell>
          <cell r="O214">
            <v>0.35000000316682245</v>
          </cell>
          <cell r="P214">
            <v>1.3500164073070755E-2</v>
          </cell>
          <cell r="Q214" t="str">
            <v>Liquor</v>
          </cell>
          <cell r="R214">
            <v>492.88000000000005</v>
          </cell>
          <cell r="S214" t="b">
            <v>1</v>
          </cell>
        </row>
        <row r="215">
          <cell r="A215">
            <v>214</v>
          </cell>
          <cell r="B215">
            <v>44546.250601851854</v>
          </cell>
          <cell r="C215" t="str">
            <v>OSBC/BAL/MR/21378/2021-2022</v>
          </cell>
          <cell r="D215" t="str">
            <v>GOVT</v>
          </cell>
          <cell r="E215">
            <v>467.43</v>
          </cell>
          <cell r="F215">
            <v>460000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460467.43</v>
          </cell>
          <cell r="N215">
            <v>2021</v>
          </cell>
          <cell r="O215">
            <v>0</v>
          </cell>
          <cell r="P215">
            <v>0</v>
          </cell>
          <cell r="Q215" t="str">
            <v>-</v>
          </cell>
          <cell r="R215">
            <v>0</v>
          </cell>
          <cell r="S215" t="b">
            <v>1</v>
          </cell>
        </row>
        <row r="216">
          <cell r="A216">
            <v>215</v>
          </cell>
          <cell r="B216">
            <v>44546.470092592594</v>
          </cell>
          <cell r="C216" t="str">
            <v>INV(BAL) / 2021-2022 / 18303</v>
          </cell>
          <cell r="D216" t="str">
            <v>RETAIL</v>
          </cell>
          <cell r="E216">
            <v>460467.43</v>
          </cell>
          <cell r="F216">
            <v>0</v>
          </cell>
          <cell r="G216">
            <v>0</v>
          </cell>
          <cell r="H216">
            <v>316.76</v>
          </cell>
          <cell r="I216">
            <v>278683.94</v>
          </cell>
          <cell r="J216">
            <v>97539.38</v>
          </cell>
          <cell r="K216">
            <v>3762</v>
          </cell>
          <cell r="L216">
            <v>379985.32</v>
          </cell>
          <cell r="M216">
            <v>80482.11</v>
          </cell>
          <cell r="N216">
            <v>2021</v>
          </cell>
          <cell r="O216">
            <v>0.35000000358829436</v>
          </cell>
          <cell r="P216">
            <v>1.3499163245646663E-2</v>
          </cell>
          <cell r="Q216" t="str">
            <v>Liquor</v>
          </cell>
          <cell r="R216">
            <v>422.34666666666664</v>
          </cell>
          <cell r="S216" t="b">
            <v>1</v>
          </cell>
        </row>
        <row r="217">
          <cell r="A217">
            <v>216</v>
          </cell>
          <cell r="B217">
            <v>44546.50503472222</v>
          </cell>
          <cell r="C217" t="str">
            <v>INV(BAL) / 2021-2022 / 18316</v>
          </cell>
          <cell r="D217" t="str">
            <v>RETAIL</v>
          </cell>
          <cell r="E217">
            <v>80482.11</v>
          </cell>
          <cell r="F217">
            <v>0</v>
          </cell>
          <cell r="G217">
            <v>358.8</v>
          </cell>
          <cell r="H217">
            <v>0</v>
          </cell>
          <cell r="I217">
            <v>58095.199999999997</v>
          </cell>
          <cell r="J217">
            <v>20333.32</v>
          </cell>
          <cell r="K217">
            <v>784</v>
          </cell>
          <cell r="L217">
            <v>79212.52</v>
          </cell>
          <cell r="M217">
            <v>1269.5899999999999</v>
          </cell>
          <cell r="N217">
            <v>2021</v>
          </cell>
          <cell r="O217">
            <v>0.35000000000000003</v>
          </cell>
          <cell r="P217">
            <v>1.3495090816452995E-2</v>
          </cell>
          <cell r="Q217" t="str">
            <v>Beer</v>
          </cell>
          <cell r="R217">
            <v>358.8</v>
          </cell>
          <cell r="S217" t="b">
            <v>1</v>
          </cell>
        </row>
        <row r="218">
          <cell r="A218">
            <v>217</v>
          </cell>
          <cell r="B218">
            <v>44550.214849537035</v>
          </cell>
          <cell r="C218" t="str">
            <v>OSBC/BAL/MR/21659/2021-2022</v>
          </cell>
          <cell r="D218" t="str">
            <v>GOVT</v>
          </cell>
          <cell r="E218">
            <v>1269.5899999999999</v>
          </cell>
          <cell r="F218">
            <v>415000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416269.59</v>
          </cell>
          <cell r="N218">
            <v>2021</v>
          </cell>
          <cell r="O218">
            <v>0</v>
          </cell>
          <cell r="P218">
            <v>0</v>
          </cell>
          <cell r="Q218" t="str">
            <v>-</v>
          </cell>
          <cell r="R218">
            <v>0</v>
          </cell>
          <cell r="S218" t="b">
            <v>1</v>
          </cell>
        </row>
        <row r="219">
          <cell r="A219">
            <v>218</v>
          </cell>
          <cell r="B219">
            <v>44550.49046296296</v>
          </cell>
          <cell r="C219" t="str">
            <v>INV(BAL) / 2021-2022 / 18517</v>
          </cell>
          <cell r="D219" t="str">
            <v>RETAIL</v>
          </cell>
          <cell r="E219">
            <v>416269.59</v>
          </cell>
          <cell r="F219">
            <v>0</v>
          </cell>
          <cell r="G219">
            <v>0</v>
          </cell>
          <cell r="H219">
            <v>332.65</v>
          </cell>
          <cell r="I219">
            <v>305263.05</v>
          </cell>
          <cell r="J219">
            <v>106842.07</v>
          </cell>
          <cell r="K219">
            <v>4121</v>
          </cell>
          <cell r="L219">
            <v>416226.12</v>
          </cell>
          <cell r="M219">
            <v>43.47</v>
          </cell>
          <cell r="N219">
            <v>2021</v>
          </cell>
          <cell r="O219">
            <v>0.3500000081896581</v>
          </cell>
          <cell r="P219">
            <v>1.3499832357699368E-2</v>
          </cell>
          <cell r="Q219" t="str">
            <v>Liquor</v>
          </cell>
          <cell r="R219">
            <v>443.5333333333333</v>
          </cell>
          <cell r="S219" t="b">
            <v>1</v>
          </cell>
        </row>
        <row r="220">
          <cell r="A220">
            <v>219</v>
          </cell>
          <cell r="B220">
            <v>44553.478946759256</v>
          </cell>
          <cell r="C220" t="str">
            <v>OSBC/BAL/MR/22061/2021-2022</v>
          </cell>
          <cell r="D220" t="str">
            <v>GOVT</v>
          </cell>
          <cell r="E220">
            <v>43.47</v>
          </cell>
          <cell r="F220">
            <v>450000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450043.47</v>
          </cell>
          <cell r="N220">
            <v>2021</v>
          </cell>
          <cell r="O220">
            <v>0</v>
          </cell>
          <cell r="P220">
            <v>0</v>
          </cell>
          <cell r="Q220" t="str">
            <v>-</v>
          </cell>
          <cell r="R220">
            <v>0</v>
          </cell>
          <cell r="S220" t="b">
            <v>1</v>
          </cell>
        </row>
        <row r="221">
          <cell r="A221">
            <v>220</v>
          </cell>
          <cell r="B221">
            <v>44553.533726851849</v>
          </cell>
          <cell r="C221" t="str">
            <v>INV(BAL) / 2021-2022 / 18788</v>
          </cell>
          <cell r="D221" t="str">
            <v>RETAIL</v>
          </cell>
          <cell r="E221">
            <v>450043.47</v>
          </cell>
          <cell r="F221">
            <v>0</v>
          </cell>
          <cell r="G221">
            <v>0</v>
          </cell>
          <cell r="H221">
            <v>389.93</v>
          </cell>
          <cell r="I221">
            <v>328505.43</v>
          </cell>
          <cell r="J221">
            <v>114976.9</v>
          </cell>
          <cell r="K221">
            <v>4435</v>
          </cell>
          <cell r="L221">
            <v>447917.33</v>
          </cell>
          <cell r="M221">
            <v>2126.14</v>
          </cell>
          <cell r="N221">
            <v>2021</v>
          </cell>
          <cell r="O221">
            <v>0.34999999847795515</v>
          </cell>
          <cell r="P221">
            <v>1.350053787543177E-2</v>
          </cell>
          <cell r="Q221" t="str">
            <v>Liquor</v>
          </cell>
          <cell r="R221">
            <v>519.90666666666664</v>
          </cell>
          <cell r="S221" t="b">
            <v>1</v>
          </cell>
        </row>
        <row r="222">
          <cell r="A222">
            <v>221</v>
          </cell>
          <cell r="B222">
            <v>44556.995150462964</v>
          </cell>
          <cell r="C222" t="str">
            <v>OSBC/BAL/MR/22300/2021-2022</v>
          </cell>
          <cell r="D222" t="str">
            <v>GOVT</v>
          </cell>
          <cell r="E222">
            <v>2126.14</v>
          </cell>
          <cell r="F222">
            <v>100000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102126.14</v>
          </cell>
          <cell r="N222">
            <v>2021</v>
          </cell>
          <cell r="O222">
            <v>0</v>
          </cell>
          <cell r="P222">
            <v>0</v>
          </cell>
          <cell r="Q222" t="str">
            <v>-</v>
          </cell>
          <cell r="R222">
            <v>0</v>
          </cell>
          <cell r="S222" t="b">
            <v>1</v>
          </cell>
        </row>
        <row r="223">
          <cell r="A223">
            <v>222</v>
          </cell>
          <cell r="B223">
            <v>44556.997488425928</v>
          </cell>
          <cell r="C223" t="str">
            <v>OSBC/BAL/MR/22301/2021-2022</v>
          </cell>
          <cell r="D223" t="str">
            <v>GOVT</v>
          </cell>
          <cell r="E223">
            <v>102126.14</v>
          </cell>
          <cell r="F223">
            <v>100000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202126.14</v>
          </cell>
          <cell r="N223">
            <v>2021</v>
          </cell>
          <cell r="O223">
            <v>0</v>
          </cell>
          <cell r="P223">
            <v>0</v>
          </cell>
          <cell r="Q223" t="str">
            <v>-</v>
          </cell>
          <cell r="R223">
            <v>0</v>
          </cell>
          <cell r="S223" t="b">
            <v>1</v>
          </cell>
        </row>
        <row r="224">
          <cell r="A224">
            <v>223</v>
          </cell>
          <cell r="B224">
            <v>44557.000486111108</v>
          </cell>
          <cell r="C224" t="str">
            <v>OSBC/BAL/MR/22302/2021-2022</v>
          </cell>
          <cell r="D224" t="str">
            <v>GOVT</v>
          </cell>
          <cell r="E224">
            <v>202126.14</v>
          </cell>
          <cell r="F224">
            <v>100000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302126.14</v>
          </cell>
          <cell r="N224">
            <v>2021</v>
          </cell>
          <cell r="O224">
            <v>0</v>
          </cell>
          <cell r="P224">
            <v>0</v>
          </cell>
          <cell r="Q224" t="str">
            <v>-</v>
          </cell>
          <cell r="R224">
            <v>0</v>
          </cell>
          <cell r="S224" t="b">
            <v>1</v>
          </cell>
        </row>
        <row r="225">
          <cell r="A225">
            <v>224</v>
          </cell>
          <cell r="B225">
            <v>44557.002222222225</v>
          </cell>
          <cell r="C225" t="str">
            <v>OSBC/BAL/MR/22303/2021-2022</v>
          </cell>
          <cell r="D225" t="str">
            <v>GOVT</v>
          </cell>
          <cell r="E225">
            <v>302126.14</v>
          </cell>
          <cell r="F225">
            <v>113000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415126.14</v>
          </cell>
          <cell r="N225">
            <v>2021</v>
          </cell>
          <cell r="O225">
            <v>0</v>
          </cell>
          <cell r="P225">
            <v>0</v>
          </cell>
          <cell r="Q225" t="str">
            <v>-</v>
          </cell>
          <cell r="R225">
            <v>0</v>
          </cell>
          <cell r="S225" t="b">
            <v>1</v>
          </cell>
        </row>
        <row r="226">
          <cell r="A226">
            <v>225</v>
          </cell>
          <cell r="B226">
            <v>44557.489872685182</v>
          </cell>
          <cell r="C226" t="str">
            <v>INV(BAL) / 2021-2022 / 18978</v>
          </cell>
          <cell r="D226" t="str">
            <v>RETAIL</v>
          </cell>
          <cell r="E226">
            <v>415126.14</v>
          </cell>
          <cell r="F226">
            <v>0</v>
          </cell>
          <cell r="G226">
            <v>0</v>
          </cell>
          <cell r="H226">
            <v>307.52999999999997</v>
          </cell>
          <cell r="I226">
            <v>255000.13</v>
          </cell>
          <cell r="J226">
            <v>89250.05</v>
          </cell>
          <cell r="K226">
            <v>3442</v>
          </cell>
          <cell r="L226">
            <v>347692.18</v>
          </cell>
          <cell r="M226">
            <v>67433.960000000006</v>
          </cell>
          <cell r="N226">
            <v>2021</v>
          </cell>
          <cell r="O226">
            <v>0.35000001764704985</v>
          </cell>
          <cell r="P226">
            <v>1.3498032334336456E-2</v>
          </cell>
          <cell r="Q226" t="str">
            <v>Liquor</v>
          </cell>
          <cell r="R226">
            <v>410.03999999999996</v>
          </cell>
          <cell r="S226" t="b">
            <v>1</v>
          </cell>
        </row>
        <row r="227">
          <cell r="A227">
            <v>226</v>
          </cell>
          <cell r="B227">
            <v>44557.492013888892</v>
          </cell>
          <cell r="C227" t="str">
            <v>INV(BAL) / 2021-2022 / 18979</v>
          </cell>
          <cell r="D227" t="str">
            <v>RETAIL</v>
          </cell>
          <cell r="E227">
            <v>67433.960000000006</v>
          </cell>
          <cell r="F227">
            <v>0</v>
          </cell>
          <cell r="G227">
            <v>296.39999999999998</v>
          </cell>
          <cell r="H227">
            <v>0</v>
          </cell>
          <cell r="I227">
            <v>48888.88</v>
          </cell>
          <cell r="J227">
            <v>17111.13</v>
          </cell>
          <cell r="K227">
            <v>660</v>
          </cell>
          <cell r="L227">
            <v>66660.009999999995</v>
          </cell>
          <cell r="M227">
            <v>773.95</v>
          </cell>
          <cell r="N227">
            <v>2021</v>
          </cell>
          <cell r="O227">
            <v>0.35000045000008184</v>
          </cell>
          <cell r="P227">
            <v>1.3500002454545901E-2</v>
          </cell>
          <cell r="Q227" t="str">
            <v>Beer</v>
          </cell>
          <cell r="R227">
            <v>296.39999999999998</v>
          </cell>
          <cell r="S227" t="b">
            <v>1</v>
          </cell>
        </row>
        <row r="228">
          <cell r="A228">
            <v>227</v>
          </cell>
          <cell r="B228">
            <v>44559.67664351852</v>
          </cell>
          <cell r="C228" t="str">
            <v>OSBC/BAL/MR/22728/2021-2022</v>
          </cell>
          <cell r="D228" t="str">
            <v>GOVT</v>
          </cell>
          <cell r="E228">
            <v>773.95</v>
          </cell>
          <cell r="F228">
            <v>350000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350773.95</v>
          </cell>
          <cell r="N228">
            <v>2021</v>
          </cell>
          <cell r="O228">
            <v>0</v>
          </cell>
          <cell r="P228">
            <v>0</v>
          </cell>
          <cell r="Q228" t="str">
            <v>-</v>
          </cell>
          <cell r="R228">
            <v>0</v>
          </cell>
          <cell r="S228" t="b">
            <v>1</v>
          </cell>
        </row>
        <row r="229">
          <cell r="A229">
            <v>228</v>
          </cell>
          <cell r="B229">
            <v>44561.482453703706</v>
          </cell>
          <cell r="C229" t="str">
            <v>INV(BAL) / 2021-2022 / 19402</v>
          </cell>
          <cell r="D229" t="str">
            <v>RETAIL</v>
          </cell>
          <cell r="E229">
            <v>350773.95</v>
          </cell>
          <cell r="F229">
            <v>0</v>
          </cell>
          <cell r="G229">
            <v>0</v>
          </cell>
          <cell r="H229">
            <v>302.88</v>
          </cell>
          <cell r="I229">
            <v>257222.27</v>
          </cell>
          <cell r="J229">
            <v>90027.79</v>
          </cell>
          <cell r="K229">
            <v>3472</v>
          </cell>
          <cell r="L229">
            <v>350722.06</v>
          </cell>
          <cell r="M229">
            <v>51.89</v>
          </cell>
          <cell r="N229">
            <v>2021</v>
          </cell>
          <cell r="O229">
            <v>0.34999998250540282</v>
          </cell>
          <cell r="P229">
            <v>1.349805364830969E-2</v>
          </cell>
          <cell r="Q229" t="str">
            <v>Liquor</v>
          </cell>
          <cell r="R229">
            <v>403.84</v>
          </cell>
          <cell r="S229" t="b">
            <v>1</v>
          </cell>
        </row>
        <row r="230">
          <cell r="A230">
            <v>229</v>
          </cell>
          <cell r="B230">
            <v>44561.921168981484</v>
          </cell>
          <cell r="C230" t="str">
            <v>OSBC/BAL/MR/23043/2021-2022</v>
          </cell>
          <cell r="D230" t="str">
            <v>GOVT</v>
          </cell>
          <cell r="E230">
            <v>51.89</v>
          </cell>
          <cell r="F230">
            <v>340000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340051.89</v>
          </cell>
          <cell r="N230">
            <v>2021</v>
          </cell>
          <cell r="O230">
            <v>0</v>
          </cell>
          <cell r="P230">
            <v>0</v>
          </cell>
          <cell r="Q230" t="str">
            <v>-</v>
          </cell>
          <cell r="R230">
            <v>0</v>
          </cell>
          <cell r="S230" t="b">
            <v>1</v>
          </cell>
        </row>
        <row r="231">
          <cell r="A231">
            <v>230</v>
          </cell>
          <cell r="B231">
            <v>44562.465312499997</v>
          </cell>
          <cell r="C231" t="str">
            <v>INV(BAL) / 2021-2022 / 19513</v>
          </cell>
          <cell r="D231" t="str">
            <v>RETAIL</v>
          </cell>
          <cell r="E231">
            <v>340051.89</v>
          </cell>
          <cell r="F231">
            <v>0</v>
          </cell>
          <cell r="G231">
            <v>0</v>
          </cell>
          <cell r="H231">
            <v>283.8</v>
          </cell>
          <cell r="I231">
            <v>248492.16</v>
          </cell>
          <cell r="J231">
            <v>86972.26</v>
          </cell>
          <cell r="K231">
            <v>3355</v>
          </cell>
          <cell r="L231">
            <v>338819.42</v>
          </cell>
          <cell r="M231">
            <v>1232.47</v>
          </cell>
          <cell r="N231">
            <v>2022</v>
          </cell>
          <cell r="O231">
            <v>0.35000001609708731</v>
          </cell>
          <cell r="P231">
            <v>1.3501431996888755E-2</v>
          </cell>
          <cell r="Q231" t="str">
            <v>Liquor</v>
          </cell>
          <cell r="R231">
            <v>378.40000000000003</v>
          </cell>
          <cell r="S231" t="b">
            <v>1</v>
          </cell>
        </row>
        <row r="232">
          <cell r="A232">
            <v>231</v>
          </cell>
          <cell r="B232">
            <v>44565.769687499997</v>
          </cell>
          <cell r="C232" t="str">
            <v>OSBC/BAL/MR/23465/2021-2022</v>
          </cell>
          <cell r="D232" t="str">
            <v>GOVT</v>
          </cell>
          <cell r="E232">
            <v>1232.47</v>
          </cell>
          <cell r="F232">
            <v>60000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61232.47</v>
          </cell>
          <cell r="N232">
            <v>2022</v>
          </cell>
          <cell r="O232">
            <v>0</v>
          </cell>
          <cell r="P232">
            <v>0</v>
          </cell>
          <cell r="Q232" t="str">
            <v>-</v>
          </cell>
          <cell r="R232">
            <v>0</v>
          </cell>
          <cell r="S232" t="b">
            <v>1</v>
          </cell>
        </row>
        <row r="233">
          <cell r="A233">
            <v>232</v>
          </cell>
          <cell r="B233">
            <v>44566.453321759262</v>
          </cell>
          <cell r="C233" t="str">
            <v>INV(BAL) / 2021-2022 / 19811</v>
          </cell>
          <cell r="D233" t="str">
            <v>RETAIL</v>
          </cell>
          <cell r="E233">
            <v>61232.47</v>
          </cell>
          <cell r="F233">
            <v>0</v>
          </cell>
          <cell r="G233">
            <v>282</v>
          </cell>
          <cell r="H233">
            <v>0</v>
          </cell>
          <cell r="I233">
            <v>44523.79</v>
          </cell>
          <cell r="J233">
            <v>15583.33</v>
          </cell>
          <cell r="K233">
            <v>601</v>
          </cell>
          <cell r="L233">
            <v>60708.12</v>
          </cell>
          <cell r="M233">
            <v>524.35</v>
          </cell>
          <cell r="N233">
            <v>2022</v>
          </cell>
          <cell r="O233">
            <v>0.35000007860966015</v>
          </cell>
          <cell r="P233">
            <v>1.3498401641010346E-2</v>
          </cell>
          <cell r="Q233" t="str">
            <v>Beer</v>
          </cell>
          <cell r="R233">
            <v>282</v>
          </cell>
          <cell r="S233" t="b">
            <v>1</v>
          </cell>
        </row>
        <row r="234">
          <cell r="A234">
            <v>233</v>
          </cell>
          <cell r="B234">
            <v>44568.655069444445</v>
          </cell>
          <cell r="C234" t="str">
            <v>OSBC/BAL/MR/23719/2021-2022</v>
          </cell>
          <cell r="D234" t="str">
            <v>GOVT</v>
          </cell>
          <cell r="E234">
            <v>524.35</v>
          </cell>
          <cell r="F234">
            <v>50000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50524.35</v>
          </cell>
          <cell r="N234">
            <v>2022</v>
          </cell>
          <cell r="O234">
            <v>0</v>
          </cell>
          <cell r="P234">
            <v>0</v>
          </cell>
          <cell r="Q234" t="str">
            <v>-</v>
          </cell>
          <cell r="R234">
            <v>0</v>
          </cell>
          <cell r="S234" t="b">
            <v>1</v>
          </cell>
        </row>
        <row r="235">
          <cell r="A235">
            <v>234</v>
          </cell>
          <cell r="B235">
            <v>44569.538506944446</v>
          </cell>
          <cell r="C235" t="str">
            <v>INV(BAL) / 2021-2022 / 20030</v>
          </cell>
          <cell r="D235" t="str">
            <v>RETAIL</v>
          </cell>
          <cell r="E235">
            <v>50524.35</v>
          </cell>
          <cell r="F235">
            <v>0</v>
          </cell>
          <cell r="G235">
            <v>0</v>
          </cell>
          <cell r="H235">
            <v>47.25</v>
          </cell>
          <cell r="I235">
            <v>35793.65</v>
          </cell>
          <cell r="J235">
            <v>12527.78</v>
          </cell>
          <cell r="K235">
            <v>483</v>
          </cell>
          <cell r="L235">
            <v>48804.43</v>
          </cell>
          <cell r="M235">
            <v>1719.92</v>
          </cell>
          <cell r="N235">
            <v>2022</v>
          </cell>
          <cell r="O235">
            <v>0.35000006984479093</v>
          </cell>
          <cell r="P235">
            <v>1.3494013602971476E-2</v>
          </cell>
          <cell r="Q235" t="str">
            <v>Liquor</v>
          </cell>
          <cell r="R235">
            <v>63</v>
          </cell>
          <cell r="S235" t="b">
            <v>1</v>
          </cell>
        </row>
        <row r="236">
          <cell r="A236">
            <v>235</v>
          </cell>
          <cell r="B236">
            <v>44571.397152777776</v>
          </cell>
          <cell r="C236" t="str">
            <v>OSBC/BAL/MR/23847/2021-2022</v>
          </cell>
          <cell r="D236" t="str">
            <v>GOVT</v>
          </cell>
          <cell r="E236">
            <v>1719.92</v>
          </cell>
          <cell r="F236">
            <v>50000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51719.92</v>
          </cell>
          <cell r="N236">
            <v>2022</v>
          </cell>
          <cell r="O236">
            <v>0</v>
          </cell>
          <cell r="P236">
            <v>0</v>
          </cell>
          <cell r="Q236" t="str">
            <v>-</v>
          </cell>
          <cell r="R236">
            <v>0</v>
          </cell>
          <cell r="S236" t="b">
            <v>1</v>
          </cell>
        </row>
        <row r="237">
          <cell r="A237">
            <v>236</v>
          </cell>
          <cell r="B237">
            <v>44571.470057870371</v>
          </cell>
          <cell r="C237" t="str">
            <v>INV(BAL) / 2021-2022 / 20082</v>
          </cell>
          <cell r="D237" t="str">
            <v>RETAIL</v>
          </cell>
          <cell r="E237">
            <v>51719.92</v>
          </cell>
          <cell r="F237">
            <v>0</v>
          </cell>
          <cell r="G237">
            <v>0</v>
          </cell>
          <cell r="H237">
            <v>47.25</v>
          </cell>
          <cell r="I237">
            <v>34920.629999999997</v>
          </cell>
          <cell r="J237">
            <v>12222.22</v>
          </cell>
          <cell r="K237">
            <v>471</v>
          </cell>
          <cell r="L237">
            <v>47613.85</v>
          </cell>
          <cell r="M237">
            <v>4106.07</v>
          </cell>
          <cell r="N237">
            <v>2022</v>
          </cell>
          <cell r="O237">
            <v>0.34999998568181617</v>
          </cell>
          <cell r="P237">
            <v>1.3487729173270929E-2</v>
          </cell>
          <cell r="Q237" t="str">
            <v>Liquor</v>
          </cell>
          <cell r="R237">
            <v>63</v>
          </cell>
          <cell r="S237" t="b">
            <v>1</v>
          </cell>
        </row>
        <row r="238">
          <cell r="A238">
            <v>237</v>
          </cell>
          <cell r="B238">
            <v>44580.398935185185</v>
          </cell>
          <cell r="C238" t="str">
            <v>OSBC/BAL/MR/24903/2021-2022</v>
          </cell>
          <cell r="D238" t="str">
            <v>GOVT</v>
          </cell>
          <cell r="E238">
            <v>4106.07</v>
          </cell>
          <cell r="F238">
            <v>105000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109106.07</v>
          </cell>
          <cell r="N238">
            <v>2022</v>
          </cell>
          <cell r="O238">
            <v>0</v>
          </cell>
          <cell r="P238">
            <v>0</v>
          </cell>
          <cell r="Q238" t="str">
            <v>-</v>
          </cell>
          <cell r="R238">
            <v>0</v>
          </cell>
          <cell r="S238" t="b">
            <v>1</v>
          </cell>
        </row>
        <row r="239">
          <cell r="A239">
            <v>238</v>
          </cell>
          <cell r="B239">
            <v>44580.475208333337</v>
          </cell>
          <cell r="C239" t="str">
            <v>INV(BAL) / 2021-2022 / 20822</v>
          </cell>
          <cell r="D239" t="str">
            <v>RETAIL</v>
          </cell>
          <cell r="E239">
            <v>109106.07</v>
          </cell>
          <cell r="F239">
            <v>0</v>
          </cell>
          <cell r="G239">
            <v>0</v>
          </cell>
          <cell r="H239">
            <v>67.5</v>
          </cell>
          <cell r="I239">
            <v>60476.19</v>
          </cell>
          <cell r="J239">
            <v>21166.68</v>
          </cell>
          <cell r="K239">
            <v>816</v>
          </cell>
          <cell r="L239">
            <v>82458.87</v>
          </cell>
          <cell r="M239">
            <v>26647.200000000001</v>
          </cell>
          <cell r="N239">
            <v>2022</v>
          </cell>
          <cell r="O239">
            <v>0.35000022322834823</v>
          </cell>
          <cell r="P239">
            <v>1.3492913492070184E-2</v>
          </cell>
          <cell r="Q239" t="str">
            <v>Liquor</v>
          </cell>
          <cell r="R239">
            <v>90</v>
          </cell>
          <cell r="S239" t="b">
            <v>1</v>
          </cell>
        </row>
        <row r="240">
          <cell r="A240">
            <v>239</v>
          </cell>
          <cell r="B240">
            <v>44582.407546296294</v>
          </cell>
          <cell r="C240" t="str">
            <v>OSBC/BAL/MR/25108/2021-2022</v>
          </cell>
          <cell r="D240" t="str">
            <v>GOVT</v>
          </cell>
          <cell r="E240">
            <v>26647.200000000001</v>
          </cell>
          <cell r="F240">
            <v>71500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98147.199999999997</v>
          </cell>
          <cell r="N240">
            <v>2022</v>
          </cell>
          <cell r="O240">
            <v>0</v>
          </cell>
          <cell r="P240">
            <v>0</v>
          </cell>
          <cell r="Q240" t="str">
            <v>-</v>
          </cell>
          <cell r="R240">
            <v>0</v>
          </cell>
          <cell r="S240" t="b">
            <v>1</v>
          </cell>
        </row>
        <row r="241">
          <cell r="A241">
            <v>240</v>
          </cell>
          <cell r="B241">
            <v>44582.475023148145</v>
          </cell>
          <cell r="C241" t="str">
            <v>INV(BAL) / 2021-2022 / 20961</v>
          </cell>
          <cell r="D241" t="str">
            <v>RETAIL</v>
          </cell>
          <cell r="E241">
            <v>98147.199999999997</v>
          </cell>
          <cell r="F241">
            <v>0</v>
          </cell>
          <cell r="G241">
            <v>0</v>
          </cell>
          <cell r="H241">
            <v>82.69</v>
          </cell>
          <cell r="I241">
            <v>71190.48</v>
          </cell>
          <cell r="J241">
            <v>24916.67</v>
          </cell>
          <cell r="K241">
            <v>961</v>
          </cell>
          <cell r="L241">
            <v>97068.15</v>
          </cell>
          <cell r="M241">
            <v>1079.05</v>
          </cell>
          <cell r="N241">
            <v>2022</v>
          </cell>
          <cell r="O241">
            <v>0.350000028093644</v>
          </cell>
          <cell r="P241">
            <v>1.3498995933164098E-2</v>
          </cell>
          <cell r="Q241" t="str">
            <v>Liquor</v>
          </cell>
          <cell r="R241">
            <v>110.25333333333333</v>
          </cell>
          <cell r="S241" t="b">
            <v>1</v>
          </cell>
        </row>
        <row r="242">
          <cell r="A242">
            <v>241</v>
          </cell>
          <cell r="B242">
            <v>44586.453460648147</v>
          </cell>
          <cell r="C242" t="str">
            <v>OSBC/BAL/MR/25523/2021-2022</v>
          </cell>
          <cell r="D242" t="str">
            <v>GOVT</v>
          </cell>
          <cell r="E242">
            <v>1079.05</v>
          </cell>
          <cell r="F242">
            <v>247000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248079.05</v>
          </cell>
          <cell r="N242">
            <v>2022</v>
          </cell>
          <cell r="O242">
            <v>0</v>
          </cell>
          <cell r="P242">
            <v>0</v>
          </cell>
          <cell r="Q242" t="str">
            <v>-</v>
          </cell>
          <cell r="R242">
            <v>0</v>
          </cell>
          <cell r="S242" t="b">
            <v>1</v>
          </cell>
        </row>
        <row r="243">
          <cell r="A243">
            <v>242</v>
          </cell>
          <cell r="B243">
            <v>44586.493993055556</v>
          </cell>
          <cell r="C243" t="str">
            <v>INV(BAL) / 2021-2022 / 21261</v>
          </cell>
          <cell r="D243" t="str">
            <v>RETAIL</v>
          </cell>
          <cell r="E243">
            <v>248079.05</v>
          </cell>
          <cell r="F243">
            <v>0</v>
          </cell>
          <cell r="G243">
            <v>0</v>
          </cell>
          <cell r="H243">
            <v>102.62</v>
          </cell>
          <cell r="I243">
            <v>101011.9</v>
          </cell>
          <cell r="J243">
            <v>35354.17</v>
          </cell>
          <cell r="K243">
            <v>1364</v>
          </cell>
          <cell r="L243">
            <v>137730.07</v>
          </cell>
          <cell r="M243">
            <v>110348.98</v>
          </cell>
          <cell r="N243">
            <v>2022</v>
          </cell>
          <cell r="O243">
            <v>0.35000004949911845</v>
          </cell>
          <cell r="P243">
            <v>1.3503359505167213E-2</v>
          </cell>
          <cell r="Q243" t="str">
            <v>Liquor</v>
          </cell>
          <cell r="R243">
            <v>136.82666666666668</v>
          </cell>
          <cell r="S243" t="b">
            <v>1</v>
          </cell>
        </row>
        <row r="244">
          <cell r="A244">
            <v>243</v>
          </cell>
          <cell r="B244">
            <v>44588.417164351849</v>
          </cell>
          <cell r="C244" t="str">
            <v>OSBC/BAL/MR/25648/2021-2022</v>
          </cell>
          <cell r="D244" t="str">
            <v>GOVT</v>
          </cell>
          <cell r="E244">
            <v>110348.98</v>
          </cell>
          <cell r="F244">
            <v>258000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368348.98</v>
          </cell>
          <cell r="N244">
            <v>2022</v>
          </cell>
          <cell r="O244">
            <v>0</v>
          </cell>
          <cell r="P244">
            <v>0</v>
          </cell>
          <cell r="Q244" t="str">
            <v>-</v>
          </cell>
          <cell r="R244">
            <v>0</v>
          </cell>
          <cell r="S244" t="b">
            <v>1</v>
          </cell>
        </row>
        <row r="245">
          <cell r="A245">
            <v>244</v>
          </cell>
          <cell r="B245">
            <v>44588.488680555558</v>
          </cell>
          <cell r="C245" t="str">
            <v>INV(BAL) / 2021-2022 / 21369</v>
          </cell>
          <cell r="D245" t="str">
            <v>RETAIL</v>
          </cell>
          <cell r="E245">
            <v>368348.98</v>
          </cell>
          <cell r="F245">
            <v>0</v>
          </cell>
          <cell r="G245">
            <v>0</v>
          </cell>
          <cell r="H245">
            <v>258.19</v>
          </cell>
          <cell r="I245">
            <v>210079.37</v>
          </cell>
          <cell r="J245">
            <v>73527.78</v>
          </cell>
          <cell r="K245">
            <v>2836</v>
          </cell>
          <cell r="L245">
            <v>286443.15000000002</v>
          </cell>
          <cell r="M245">
            <v>81905.83</v>
          </cell>
          <cell r="N245">
            <v>2022</v>
          </cell>
          <cell r="O245">
            <v>0.35000000238005285</v>
          </cell>
          <cell r="P245">
            <v>1.3499659676245222E-2</v>
          </cell>
          <cell r="Q245" t="str">
            <v>Liquor</v>
          </cell>
          <cell r="R245">
            <v>344.25333333333333</v>
          </cell>
          <cell r="S245" t="b">
            <v>1</v>
          </cell>
        </row>
        <row r="246">
          <cell r="A246">
            <v>245</v>
          </cell>
          <cell r="B246">
            <v>44588.48909722222</v>
          </cell>
          <cell r="C246" t="str">
            <v>INV(BAL) / 2021-2022 / 21370</v>
          </cell>
          <cell r="D246" t="str">
            <v>RETAIL</v>
          </cell>
          <cell r="E246">
            <v>81905.83</v>
          </cell>
          <cell r="F246">
            <v>0</v>
          </cell>
          <cell r="G246">
            <v>228</v>
          </cell>
          <cell r="H246">
            <v>0</v>
          </cell>
          <cell r="I246">
            <v>37380.93</v>
          </cell>
          <cell r="J246">
            <v>13083.33</v>
          </cell>
          <cell r="K246">
            <v>505</v>
          </cell>
          <cell r="L246">
            <v>50969.26</v>
          </cell>
          <cell r="M246">
            <v>30936.57</v>
          </cell>
          <cell r="N246">
            <v>2022</v>
          </cell>
          <cell r="O246">
            <v>0.35000012038223766</v>
          </cell>
          <cell r="P246">
            <v>1.3509562228655092E-2</v>
          </cell>
          <cell r="Q246" t="str">
            <v>Beer</v>
          </cell>
          <cell r="R246">
            <v>228</v>
          </cell>
          <cell r="S246" t="b">
            <v>1</v>
          </cell>
        </row>
        <row r="247">
          <cell r="A247">
            <v>246</v>
          </cell>
          <cell r="B247">
            <v>44595.459039351852</v>
          </cell>
          <cell r="C247" t="str">
            <v>OSBC/BAL/MR/26529/2021-2022</v>
          </cell>
          <cell r="D247" t="str">
            <v>GOVT</v>
          </cell>
          <cell r="E247">
            <v>30936.57</v>
          </cell>
          <cell r="F247">
            <v>313000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343936.57</v>
          </cell>
          <cell r="N247">
            <v>2022</v>
          </cell>
          <cell r="O247">
            <v>0</v>
          </cell>
          <cell r="P247">
            <v>0</v>
          </cell>
          <cell r="Q247" t="str">
            <v>-</v>
          </cell>
          <cell r="R247">
            <v>0</v>
          </cell>
          <cell r="S247" t="b">
            <v>1</v>
          </cell>
        </row>
        <row r="248">
          <cell r="A248">
            <v>247</v>
          </cell>
          <cell r="B248">
            <v>44595.529282407406</v>
          </cell>
          <cell r="C248" t="str">
            <v>INV(BAL) / 2021-2022 / 21971</v>
          </cell>
          <cell r="D248" t="str">
            <v>RETAIL</v>
          </cell>
          <cell r="E248">
            <v>343936.57</v>
          </cell>
          <cell r="F248">
            <v>0</v>
          </cell>
          <cell r="G248">
            <v>314.39999999999998</v>
          </cell>
          <cell r="H248">
            <v>0</v>
          </cell>
          <cell r="I248">
            <v>47619</v>
          </cell>
          <cell r="J248">
            <v>16666.650000000001</v>
          </cell>
          <cell r="K248">
            <v>643</v>
          </cell>
          <cell r="L248">
            <v>64928.65</v>
          </cell>
          <cell r="M248">
            <v>279007.92</v>
          </cell>
          <cell r="N248">
            <v>2022</v>
          </cell>
          <cell r="O248">
            <v>0.35000000000000003</v>
          </cell>
          <cell r="P248">
            <v>1.3503013503013504E-2</v>
          </cell>
          <cell r="Q248" t="str">
            <v>Beer</v>
          </cell>
          <cell r="R248">
            <v>314.39999999999998</v>
          </cell>
          <cell r="S248" t="b">
            <v>1</v>
          </cell>
        </row>
        <row r="249">
          <cell r="A249">
            <v>248</v>
          </cell>
          <cell r="B249">
            <v>44595.53</v>
          </cell>
          <cell r="C249" t="str">
            <v>INV(BAL) / 2021-2022 / 21972</v>
          </cell>
          <cell r="D249" t="str">
            <v>RETAIL</v>
          </cell>
          <cell r="E249">
            <v>279007.92</v>
          </cell>
          <cell r="F249">
            <v>0</v>
          </cell>
          <cell r="G249">
            <v>0</v>
          </cell>
          <cell r="H249">
            <v>168.75</v>
          </cell>
          <cell r="I249">
            <v>152182.57</v>
          </cell>
          <cell r="J249">
            <v>53263.9</v>
          </cell>
          <cell r="K249">
            <v>2054</v>
          </cell>
          <cell r="L249">
            <v>207500.47</v>
          </cell>
          <cell r="M249">
            <v>71507.45</v>
          </cell>
          <cell r="N249">
            <v>2022</v>
          </cell>
          <cell r="O249">
            <v>0.35000000328552738</v>
          </cell>
          <cell r="P249">
            <v>1.3496946463711317E-2</v>
          </cell>
          <cell r="Q249" t="str">
            <v>Liquor</v>
          </cell>
          <cell r="R249">
            <v>225</v>
          </cell>
          <cell r="S249" t="b">
            <v>1</v>
          </cell>
        </row>
        <row r="250">
          <cell r="A250">
            <v>249</v>
          </cell>
          <cell r="B250">
            <v>44602.543379629627</v>
          </cell>
          <cell r="C250" t="str">
            <v>INV(BAL) / 2021-2022 / 22622</v>
          </cell>
          <cell r="D250" t="str">
            <v>RETAIL</v>
          </cell>
          <cell r="E250">
            <v>71507.45</v>
          </cell>
          <cell r="F250">
            <v>0</v>
          </cell>
          <cell r="G250">
            <v>319.8</v>
          </cell>
          <cell r="H250">
            <v>0</v>
          </cell>
          <cell r="I250">
            <v>52380.98</v>
          </cell>
          <cell r="J250">
            <v>18333.34</v>
          </cell>
          <cell r="K250">
            <v>707</v>
          </cell>
          <cell r="L250">
            <v>71421.320000000007</v>
          </cell>
          <cell r="M250">
            <v>86.13</v>
          </cell>
          <cell r="N250">
            <v>2022</v>
          </cell>
          <cell r="O250">
            <v>0.34999994272730289</v>
          </cell>
          <cell r="P250">
            <v>1.3497265610532678E-2</v>
          </cell>
          <cell r="Q250" t="str">
            <v>Beer</v>
          </cell>
          <cell r="R250">
            <v>319.8</v>
          </cell>
          <cell r="S250" t="b">
            <v>1</v>
          </cell>
        </row>
        <row r="251">
          <cell r="A251">
            <v>250</v>
          </cell>
          <cell r="B251">
            <v>44648.522650462961</v>
          </cell>
          <cell r="C251" t="str">
            <v>OSBC/BAL/MR/33402/2021-2022</v>
          </cell>
          <cell r="D251" t="str">
            <v>GOVT</v>
          </cell>
          <cell r="E251">
            <v>86.13</v>
          </cell>
          <cell r="F251">
            <v>100000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100086.13</v>
          </cell>
          <cell r="N251">
            <v>2022</v>
          </cell>
          <cell r="O251">
            <v>0</v>
          </cell>
          <cell r="P251">
            <v>0</v>
          </cell>
          <cell r="Q251" t="str">
            <v>-</v>
          </cell>
          <cell r="R251">
            <v>0</v>
          </cell>
          <cell r="S251" t="b">
            <v>1</v>
          </cell>
        </row>
        <row r="252">
          <cell r="A252">
            <v>251</v>
          </cell>
          <cell r="B252">
            <v>44648.524305555555</v>
          </cell>
          <cell r="C252" t="str">
            <v>OSBC/BAL/MR/33403/2021-2022</v>
          </cell>
          <cell r="D252" t="str">
            <v>GOVT</v>
          </cell>
          <cell r="E252">
            <v>100086.13</v>
          </cell>
          <cell r="F252">
            <v>300000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400086.13</v>
          </cell>
          <cell r="N252">
            <v>2022</v>
          </cell>
          <cell r="O252">
            <v>0</v>
          </cell>
          <cell r="P252">
            <v>0</v>
          </cell>
          <cell r="Q252" t="str">
            <v>-</v>
          </cell>
          <cell r="R252">
            <v>0</v>
          </cell>
          <cell r="S252" t="b">
            <v>1</v>
          </cell>
        </row>
        <row r="253">
          <cell r="A253">
            <v>252</v>
          </cell>
          <cell r="B253">
            <v>44648.526435185187</v>
          </cell>
          <cell r="C253" t="str">
            <v>OSBC/BAL/MR/33404/2021-2022</v>
          </cell>
          <cell r="D253" t="str">
            <v>GOVT</v>
          </cell>
          <cell r="E253">
            <v>400086.13</v>
          </cell>
          <cell r="F253">
            <v>48000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448086.13</v>
          </cell>
          <cell r="N253">
            <v>2022</v>
          </cell>
          <cell r="O253">
            <v>0</v>
          </cell>
          <cell r="P253">
            <v>0</v>
          </cell>
          <cell r="Q253" t="str">
            <v>-</v>
          </cell>
          <cell r="R253">
            <v>0</v>
          </cell>
          <cell r="S253" t="b">
            <v>1</v>
          </cell>
        </row>
        <row r="254">
          <cell r="A254">
            <v>253</v>
          </cell>
          <cell r="B254">
            <v>44650.92728009259</v>
          </cell>
          <cell r="C254" t="str">
            <v>INV(BAL) / 2021-2022 / 27352</v>
          </cell>
          <cell r="D254" t="str">
            <v>RETAIL</v>
          </cell>
          <cell r="E254">
            <v>448086.13</v>
          </cell>
          <cell r="F254">
            <v>0</v>
          </cell>
          <cell r="G254">
            <v>0</v>
          </cell>
          <cell r="H254">
            <v>188</v>
          </cell>
          <cell r="I254">
            <v>153412.71</v>
          </cell>
          <cell r="J254">
            <v>53694.45</v>
          </cell>
          <cell r="K254">
            <v>2071</v>
          </cell>
          <cell r="L254">
            <v>209178.16</v>
          </cell>
          <cell r="M254">
            <v>238907.97</v>
          </cell>
          <cell r="N254">
            <v>2022</v>
          </cell>
          <cell r="O254">
            <v>0.35000000977754714</v>
          </cell>
          <cell r="P254">
            <v>1.349953338285987E-2</v>
          </cell>
          <cell r="Q254" t="str">
            <v>Liquor</v>
          </cell>
          <cell r="R254">
            <v>250.66666666666666</v>
          </cell>
          <cell r="S254" t="b">
            <v>1</v>
          </cell>
        </row>
        <row r="255">
          <cell r="A255">
            <v>254</v>
          </cell>
          <cell r="B255">
            <v>44650.927662037036</v>
          </cell>
          <cell r="C255" t="str">
            <v>INV(BAL) / 2021-2022 / 27353</v>
          </cell>
          <cell r="D255" t="str">
            <v>RETAIL</v>
          </cell>
          <cell r="E255">
            <v>238907.97</v>
          </cell>
          <cell r="F255">
            <v>0</v>
          </cell>
          <cell r="G255">
            <v>1050</v>
          </cell>
          <cell r="H255">
            <v>0</v>
          </cell>
          <cell r="I255">
            <v>174761.83</v>
          </cell>
          <cell r="J255">
            <v>61166.559999999998</v>
          </cell>
          <cell r="K255">
            <v>2359</v>
          </cell>
          <cell r="L255">
            <v>238287.39</v>
          </cell>
          <cell r="M255">
            <v>620.58000000000004</v>
          </cell>
          <cell r="N255">
            <v>2022</v>
          </cell>
          <cell r="O255">
            <v>0.34999953937309997</v>
          </cell>
          <cell r="P255">
            <v>1.3498370897123246E-2</v>
          </cell>
          <cell r="Q255" t="str">
            <v>Beer</v>
          </cell>
          <cell r="R255">
            <v>1050</v>
          </cell>
          <cell r="S255" t="b">
            <v>1</v>
          </cell>
        </row>
        <row r="256">
          <cell r="A256">
            <v>255</v>
          </cell>
          <cell r="B256">
            <v>44674.400069444448</v>
          </cell>
          <cell r="C256" t="str">
            <v>OSBC/BAL/MR/2361/2022-2023</v>
          </cell>
          <cell r="D256" t="str">
            <v>GOVT</v>
          </cell>
          <cell r="E256">
            <v>620.58000000000004</v>
          </cell>
          <cell r="F256">
            <v>200000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200620.58</v>
          </cell>
          <cell r="N256">
            <v>2022</v>
          </cell>
          <cell r="O256">
            <v>0</v>
          </cell>
          <cell r="P256">
            <v>0</v>
          </cell>
          <cell r="Q256" t="str">
            <v>-</v>
          </cell>
          <cell r="R256">
            <v>0</v>
          </cell>
          <cell r="S256" t="b">
            <v>1</v>
          </cell>
        </row>
        <row r="257">
          <cell r="A257">
            <v>256</v>
          </cell>
          <cell r="B257">
            <v>44676.257245370369</v>
          </cell>
          <cell r="C257" t="str">
            <v>OSBC/BAL/MR/2465/2022-2023</v>
          </cell>
          <cell r="D257" t="str">
            <v>GOVT</v>
          </cell>
          <cell r="E257">
            <v>200620.58</v>
          </cell>
          <cell r="F257">
            <v>300000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500620.58</v>
          </cell>
          <cell r="N257">
            <v>2022</v>
          </cell>
          <cell r="O257">
            <v>0</v>
          </cell>
          <cell r="P257">
            <v>0</v>
          </cell>
          <cell r="Q257" t="str">
            <v>-</v>
          </cell>
          <cell r="R257">
            <v>0</v>
          </cell>
          <cell r="S257" t="b">
            <v>1</v>
          </cell>
        </row>
        <row r="258">
          <cell r="A258">
            <v>257</v>
          </cell>
          <cell r="B258">
            <v>44676.884548611109</v>
          </cell>
          <cell r="C258" t="str">
            <v>INV(BAL) / 2022-2023 / 2324</v>
          </cell>
          <cell r="D258" t="str">
            <v>RETAIL</v>
          </cell>
          <cell r="E258">
            <v>500620.58</v>
          </cell>
          <cell r="F258">
            <v>0</v>
          </cell>
          <cell r="G258">
            <v>1320.72</v>
          </cell>
          <cell r="H258">
            <v>0</v>
          </cell>
          <cell r="I258">
            <v>206507.93</v>
          </cell>
          <cell r="J258">
            <v>72277.86</v>
          </cell>
          <cell r="K258">
            <v>2788</v>
          </cell>
          <cell r="L258">
            <v>281573.78999999998</v>
          </cell>
          <cell r="M258">
            <v>219046.79</v>
          </cell>
          <cell r="N258">
            <v>2022</v>
          </cell>
          <cell r="O258">
            <v>0.35000040918525505</v>
          </cell>
          <cell r="P258">
            <v>1.3500692201021045E-2</v>
          </cell>
          <cell r="Q258" t="str">
            <v>Beer</v>
          </cell>
          <cell r="R258">
            <v>1320.72</v>
          </cell>
          <cell r="S258" t="b">
            <v>1</v>
          </cell>
        </row>
        <row r="259">
          <cell r="A259">
            <v>258</v>
          </cell>
          <cell r="B259">
            <v>44676.885509259257</v>
          </cell>
          <cell r="C259" t="str">
            <v>INV(BAL) / 2022-2023 / 2325</v>
          </cell>
          <cell r="D259" t="str">
            <v>RETAIL</v>
          </cell>
          <cell r="E259">
            <v>219046.79</v>
          </cell>
          <cell r="F259">
            <v>0</v>
          </cell>
          <cell r="G259">
            <v>0</v>
          </cell>
          <cell r="H259">
            <v>174.23</v>
          </cell>
          <cell r="I259">
            <v>159850.54</v>
          </cell>
          <cell r="J259">
            <v>55947.69</v>
          </cell>
          <cell r="K259">
            <v>2158</v>
          </cell>
          <cell r="L259">
            <v>217956.23</v>
          </cell>
          <cell r="M259">
            <v>1090.56</v>
          </cell>
          <cell r="N259">
            <v>2022</v>
          </cell>
          <cell r="O259">
            <v>0.35000000625584371</v>
          </cell>
          <cell r="P259">
            <v>1.3500110790992635E-2</v>
          </cell>
          <cell r="Q259" t="str">
            <v>Liquor</v>
          </cell>
          <cell r="R259">
            <v>232.30666666666664</v>
          </cell>
          <cell r="S259" t="b">
            <v>1</v>
          </cell>
        </row>
        <row r="260">
          <cell r="A260">
            <v>259</v>
          </cell>
          <cell r="B260">
            <v>44683.46230324074</v>
          </cell>
          <cell r="C260" t="str">
            <v>OSBC/BAL/MR/3462/2022-2023</v>
          </cell>
          <cell r="D260" t="str">
            <v>GOVT</v>
          </cell>
          <cell r="E260">
            <v>1090.56</v>
          </cell>
          <cell r="F260">
            <v>430000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431090.56</v>
          </cell>
          <cell r="N260">
            <v>2022</v>
          </cell>
          <cell r="O260">
            <v>0</v>
          </cell>
          <cell r="P260">
            <v>0</v>
          </cell>
          <cell r="Q260" t="str">
            <v>-</v>
          </cell>
          <cell r="R260">
            <v>0</v>
          </cell>
          <cell r="S260" t="b">
            <v>1</v>
          </cell>
        </row>
        <row r="261">
          <cell r="A261">
            <v>260</v>
          </cell>
          <cell r="B261">
            <v>44685.525266203702</v>
          </cell>
          <cell r="C261" t="str">
            <v>INV(BAL) / 2022-2023 / 3323</v>
          </cell>
          <cell r="D261" t="str">
            <v>RETAIL</v>
          </cell>
          <cell r="E261">
            <v>431090.56</v>
          </cell>
          <cell r="F261">
            <v>0</v>
          </cell>
          <cell r="G261">
            <v>0</v>
          </cell>
          <cell r="H261">
            <v>105.19</v>
          </cell>
          <cell r="I261">
            <v>96200.6</v>
          </cell>
          <cell r="J261">
            <v>33670.21</v>
          </cell>
          <cell r="K261">
            <v>1299</v>
          </cell>
          <cell r="L261">
            <v>131169.81</v>
          </cell>
          <cell r="M261">
            <v>299920.75</v>
          </cell>
          <cell r="N261">
            <v>2022</v>
          </cell>
          <cell r="O261">
            <v>0.35</v>
          </cell>
          <cell r="P261">
            <v>1.3503034284609451E-2</v>
          </cell>
          <cell r="Q261" t="str">
            <v>Liquor</v>
          </cell>
          <cell r="R261">
            <v>140.25333333333333</v>
          </cell>
          <cell r="S261" t="b">
            <v>1</v>
          </cell>
        </row>
        <row r="262">
          <cell r="A262">
            <v>261</v>
          </cell>
          <cell r="B262">
            <v>44685.525717592594</v>
          </cell>
          <cell r="C262" t="str">
            <v>INV(BAL) / 2022-2023 / 3324</v>
          </cell>
          <cell r="D262" t="str">
            <v>RETAIL</v>
          </cell>
          <cell r="E262">
            <v>299920.75</v>
          </cell>
          <cell r="F262">
            <v>0</v>
          </cell>
          <cell r="G262">
            <v>1362.6</v>
          </cell>
          <cell r="H262">
            <v>0</v>
          </cell>
          <cell r="I262">
            <v>219603.03</v>
          </cell>
          <cell r="J262">
            <v>76861</v>
          </cell>
          <cell r="K262">
            <v>2965</v>
          </cell>
          <cell r="L262">
            <v>299429.03000000003</v>
          </cell>
          <cell r="M262">
            <v>491.72</v>
          </cell>
          <cell r="N262">
            <v>2022</v>
          </cell>
          <cell r="O262">
            <v>0.34999972450289052</v>
          </cell>
          <cell r="P262">
            <v>1.3501635200570775E-2</v>
          </cell>
          <cell r="Q262" t="str">
            <v>Beer</v>
          </cell>
          <cell r="R262">
            <v>1362.6</v>
          </cell>
          <cell r="S262" t="b">
            <v>1</v>
          </cell>
        </row>
        <row r="263">
          <cell r="A263">
            <v>262</v>
          </cell>
          <cell r="B263">
            <v>44690.430324074077</v>
          </cell>
          <cell r="C263" t="str">
            <v>OSBC/BAL/MR/4433/2022-2023</v>
          </cell>
          <cell r="D263" t="str">
            <v>GOVT</v>
          </cell>
          <cell r="E263">
            <v>491.72</v>
          </cell>
          <cell r="F263">
            <v>300000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300491.71999999997</v>
          </cell>
          <cell r="N263">
            <v>2022</v>
          </cell>
          <cell r="O263">
            <v>0</v>
          </cell>
          <cell r="P263">
            <v>0</v>
          </cell>
          <cell r="Q263" t="str">
            <v>-</v>
          </cell>
          <cell r="R263">
            <v>0</v>
          </cell>
          <cell r="S263" t="b">
            <v>1</v>
          </cell>
        </row>
        <row r="264">
          <cell r="A264">
            <v>263</v>
          </cell>
          <cell r="B264">
            <v>44690.504849537036</v>
          </cell>
          <cell r="C264" t="str">
            <v>INV(BAL) / 2022-2023 / 3898</v>
          </cell>
          <cell r="D264" t="str">
            <v>RETAIL</v>
          </cell>
          <cell r="E264">
            <v>300491.71999999997</v>
          </cell>
          <cell r="F264">
            <v>0</v>
          </cell>
          <cell r="G264">
            <v>0</v>
          </cell>
          <cell r="H264">
            <v>260.29000000000002</v>
          </cell>
          <cell r="I264">
            <v>220119.08</v>
          </cell>
          <cell r="J264">
            <v>77041.679999999993</v>
          </cell>
          <cell r="K264">
            <v>2972</v>
          </cell>
          <cell r="L264">
            <v>300132.76</v>
          </cell>
          <cell r="M264">
            <v>358.96</v>
          </cell>
          <cell r="N264">
            <v>2022</v>
          </cell>
          <cell r="O264">
            <v>0.3500000090859911</v>
          </cell>
          <cell r="P264">
            <v>1.350178276231211E-2</v>
          </cell>
          <cell r="Q264" t="str">
            <v>Liquor</v>
          </cell>
          <cell r="R264">
            <v>347.05333333333334</v>
          </cell>
          <cell r="S264" t="b">
            <v>1</v>
          </cell>
        </row>
        <row r="265">
          <cell r="A265">
            <v>264</v>
          </cell>
          <cell r="B265">
            <v>44697.418402777781</v>
          </cell>
          <cell r="C265" t="str">
            <v>OSBC/BAL/MR/5520/2022-2023</v>
          </cell>
          <cell r="D265" t="str">
            <v>GOVT</v>
          </cell>
          <cell r="E265">
            <v>358.96</v>
          </cell>
          <cell r="F265">
            <v>180000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180358.96</v>
          </cell>
          <cell r="N265">
            <v>2022</v>
          </cell>
          <cell r="O265">
            <v>0</v>
          </cell>
          <cell r="P265">
            <v>0</v>
          </cell>
          <cell r="Q265" t="str">
            <v>-</v>
          </cell>
          <cell r="R265">
            <v>0</v>
          </cell>
          <cell r="S265" t="b">
            <v>1</v>
          </cell>
        </row>
        <row r="266">
          <cell r="A266">
            <v>265</v>
          </cell>
          <cell r="B266">
            <v>44697.716238425928</v>
          </cell>
          <cell r="C266" t="str">
            <v>INV(BAL) / 2022-2023 / 4920</v>
          </cell>
          <cell r="D266" t="str">
            <v>RETAIL</v>
          </cell>
          <cell r="E266">
            <v>180358.96</v>
          </cell>
          <cell r="F266">
            <v>0</v>
          </cell>
          <cell r="G266">
            <v>789</v>
          </cell>
          <cell r="H266">
            <v>0</v>
          </cell>
          <cell r="I266">
            <v>131746.09</v>
          </cell>
          <cell r="J266">
            <v>46111.05</v>
          </cell>
          <cell r="K266">
            <v>1779</v>
          </cell>
          <cell r="L266">
            <v>179636.14</v>
          </cell>
          <cell r="M266">
            <v>722.82</v>
          </cell>
          <cell r="N266">
            <v>2022</v>
          </cell>
          <cell r="O266">
            <v>0.34999938138581571</v>
          </cell>
          <cell r="P266">
            <v>1.3503247041335344E-2</v>
          </cell>
          <cell r="Q266" t="str">
            <v>Beer</v>
          </cell>
          <cell r="R266">
            <v>789</v>
          </cell>
          <cell r="S266" t="b">
            <v>1</v>
          </cell>
        </row>
        <row r="267">
          <cell r="A267">
            <v>266</v>
          </cell>
          <cell r="B267">
            <v>44701.282800925925</v>
          </cell>
          <cell r="C267" t="str">
            <v>OSBC/BAL/MR/6263/2022-2023</v>
          </cell>
          <cell r="D267" t="str">
            <v>GOVT</v>
          </cell>
          <cell r="E267">
            <v>722.82</v>
          </cell>
          <cell r="F267">
            <v>190000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190722.82</v>
          </cell>
          <cell r="N267">
            <v>2022</v>
          </cell>
          <cell r="O267">
            <v>0</v>
          </cell>
          <cell r="P267">
            <v>0</v>
          </cell>
          <cell r="Q267" t="str">
            <v>-</v>
          </cell>
          <cell r="R267">
            <v>0</v>
          </cell>
          <cell r="S267" t="b">
            <v>1</v>
          </cell>
        </row>
        <row r="268">
          <cell r="A268">
            <v>267</v>
          </cell>
          <cell r="B268">
            <v>44701.516111111108</v>
          </cell>
          <cell r="C268" t="str">
            <v>INV(BAL) / 2022-2023 / 5593</v>
          </cell>
          <cell r="D268" t="str">
            <v>RETAIL</v>
          </cell>
          <cell r="E268">
            <v>190722.82</v>
          </cell>
          <cell r="F268">
            <v>0</v>
          </cell>
          <cell r="G268">
            <v>543.6</v>
          </cell>
          <cell r="H268">
            <v>0</v>
          </cell>
          <cell r="I268">
            <v>80952.41</v>
          </cell>
          <cell r="J268">
            <v>28333.439999999999</v>
          </cell>
          <cell r="K268">
            <v>1093</v>
          </cell>
          <cell r="L268">
            <v>110378.85</v>
          </cell>
          <cell r="M268">
            <v>80343.97</v>
          </cell>
          <cell r="N268">
            <v>2022</v>
          </cell>
          <cell r="O268">
            <v>0.35000119205839575</v>
          </cell>
          <cell r="P268">
            <v>1.3501759861133226E-2</v>
          </cell>
          <cell r="Q268" t="str">
            <v>Beer</v>
          </cell>
          <cell r="R268">
            <v>543.6</v>
          </cell>
          <cell r="S268" t="b">
            <v>1</v>
          </cell>
        </row>
        <row r="269">
          <cell r="A269">
            <v>268</v>
          </cell>
          <cell r="B269">
            <v>44704.433182870373</v>
          </cell>
          <cell r="C269" t="str">
            <v>OSBC/BAL/MR/6682/2022-2023</v>
          </cell>
          <cell r="D269" t="str">
            <v>GOVT</v>
          </cell>
          <cell r="E269">
            <v>80343.97</v>
          </cell>
          <cell r="F269">
            <v>190000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270343.96999999997</v>
          </cell>
          <cell r="N269">
            <v>2022</v>
          </cell>
          <cell r="O269">
            <v>0</v>
          </cell>
          <cell r="P269">
            <v>0</v>
          </cell>
          <cell r="Q269" t="str">
            <v>-</v>
          </cell>
          <cell r="R269">
            <v>0</v>
          </cell>
          <cell r="S269" t="b">
            <v>1</v>
          </cell>
        </row>
        <row r="270">
          <cell r="A270">
            <v>269</v>
          </cell>
          <cell r="B270">
            <v>44704.535497685189</v>
          </cell>
          <cell r="C270" t="str">
            <v>INV(BAL) / 2022-2023 / 5964</v>
          </cell>
          <cell r="D270" t="str">
            <v>RETAIL</v>
          </cell>
          <cell r="E270">
            <v>270343.96999999997</v>
          </cell>
          <cell r="F270">
            <v>0</v>
          </cell>
          <cell r="G270">
            <v>160.80000000000001</v>
          </cell>
          <cell r="H270">
            <v>0</v>
          </cell>
          <cell r="I270">
            <v>24285.69</v>
          </cell>
          <cell r="J270">
            <v>8500</v>
          </cell>
          <cell r="K270">
            <v>328</v>
          </cell>
          <cell r="L270">
            <v>33113.69</v>
          </cell>
          <cell r="M270">
            <v>237230.28</v>
          </cell>
          <cell r="N270">
            <v>2022</v>
          </cell>
          <cell r="O270">
            <v>0.35000035000035001</v>
          </cell>
          <cell r="P270">
            <v>1.3505895858837037E-2</v>
          </cell>
          <cell r="Q270" t="str">
            <v>Beer</v>
          </cell>
          <cell r="R270">
            <v>160.80000000000001</v>
          </cell>
          <cell r="S270" t="b">
            <v>1</v>
          </cell>
        </row>
        <row r="271">
          <cell r="A271">
            <v>270</v>
          </cell>
          <cell r="B271">
            <v>44704.717766203707</v>
          </cell>
          <cell r="C271" t="str">
            <v>INV(BAL) / 2022-2023 / 6023</v>
          </cell>
          <cell r="D271" t="str">
            <v>RETAIL</v>
          </cell>
          <cell r="E271">
            <v>237230.28</v>
          </cell>
          <cell r="F271">
            <v>0</v>
          </cell>
          <cell r="G271">
            <v>0</v>
          </cell>
          <cell r="H271">
            <v>201.12</v>
          </cell>
          <cell r="I271">
            <v>173591.29</v>
          </cell>
          <cell r="J271">
            <v>60756.95</v>
          </cell>
          <cell r="K271">
            <v>2343</v>
          </cell>
          <cell r="L271">
            <v>236691.24</v>
          </cell>
          <cell r="M271">
            <v>539.04</v>
          </cell>
          <cell r="N271">
            <v>2022</v>
          </cell>
          <cell r="O271">
            <v>0.34999999135901344</v>
          </cell>
          <cell r="P271">
            <v>1.3497220972319521E-2</v>
          </cell>
          <cell r="Q271" t="str">
            <v>Liquor</v>
          </cell>
          <cell r="R271">
            <v>268.16000000000003</v>
          </cell>
          <cell r="S271" t="b">
            <v>1</v>
          </cell>
        </row>
        <row r="272">
          <cell r="A272">
            <v>271</v>
          </cell>
          <cell r="B272">
            <v>44712.454155092593</v>
          </cell>
          <cell r="C272" t="str">
            <v>OSBC/BAL/MR/8000/2022-2023</v>
          </cell>
          <cell r="D272" t="str">
            <v>GOVT</v>
          </cell>
          <cell r="E272">
            <v>539.04</v>
          </cell>
          <cell r="F272">
            <v>200000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200539.04</v>
          </cell>
          <cell r="N272">
            <v>2022</v>
          </cell>
          <cell r="O272">
            <v>0</v>
          </cell>
          <cell r="P272">
            <v>0</v>
          </cell>
          <cell r="Q272" t="str">
            <v>-</v>
          </cell>
          <cell r="R272">
            <v>0</v>
          </cell>
          <cell r="S272" t="b">
            <v>1</v>
          </cell>
        </row>
        <row r="273">
          <cell r="A273">
            <v>272</v>
          </cell>
          <cell r="B273">
            <v>44712.522627314815</v>
          </cell>
          <cell r="C273" t="str">
            <v>INV(BAL) / 2022-2023 / 7083</v>
          </cell>
          <cell r="D273" t="str">
            <v>RETAIL</v>
          </cell>
          <cell r="E273">
            <v>200539.04</v>
          </cell>
          <cell r="F273">
            <v>0</v>
          </cell>
          <cell r="G273">
            <v>921.72</v>
          </cell>
          <cell r="H273">
            <v>0</v>
          </cell>
          <cell r="I273">
            <v>141825.38</v>
          </cell>
          <cell r="J273">
            <v>49638.91</v>
          </cell>
          <cell r="K273">
            <v>1915</v>
          </cell>
          <cell r="L273">
            <v>193379.29</v>
          </cell>
          <cell r="M273">
            <v>7159.75</v>
          </cell>
          <cell r="N273">
            <v>2022</v>
          </cell>
          <cell r="O273">
            <v>0.35000019037495267</v>
          </cell>
          <cell r="P273">
            <v>1.3502519788771233E-2</v>
          </cell>
          <cell r="Q273" t="str">
            <v>Beer</v>
          </cell>
          <cell r="R273">
            <v>921.72</v>
          </cell>
          <cell r="S273" t="b">
            <v>1</v>
          </cell>
        </row>
        <row r="274">
          <cell r="A274">
            <v>273</v>
          </cell>
          <cell r="B274">
            <v>44716.416307870371</v>
          </cell>
          <cell r="C274" t="str">
            <v>OSBC/BAL/MR/8714/2022-2023</v>
          </cell>
          <cell r="D274" t="str">
            <v>GOVT</v>
          </cell>
          <cell r="E274">
            <v>7159.75</v>
          </cell>
          <cell r="F274">
            <v>250000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257159.75</v>
          </cell>
          <cell r="N274">
            <v>2022</v>
          </cell>
          <cell r="O274">
            <v>0</v>
          </cell>
          <cell r="P274">
            <v>0</v>
          </cell>
          <cell r="Q274" t="str">
            <v>-</v>
          </cell>
          <cell r="R274">
            <v>0</v>
          </cell>
          <cell r="S274" t="b">
            <v>1</v>
          </cell>
        </row>
        <row r="275">
          <cell r="A275">
            <v>274</v>
          </cell>
          <cell r="B275">
            <v>44716.54178240741</v>
          </cell>
          <cell r="C275" t="str">
            <v>INV(BAL) / 2022-2023 / 7860</v>
          </cell>
          <cell r="D275" t="str">
            <v>RETAIL</v>
          </cell>
          <cell r="E275">
            <v>257159.75</v>
          </cell>
          <cell r="F275">
            <v>0</v>
          </cell>
          <cell r="G275">
            <v>562.91999999999996</v>
          </cell>
          <cell r="H275">
            <v>0</v>
          </cell>
          <cell r="I275">
            <v>86111.15</v>
          </cell>
          <cell r="J275">
            <v>30139.03</v>
          </cell>
          <cell r="K275">
            <v>1163</v>
          </cell>
          <cell r="L275">
            <v>117413.18</v>
          </cell>
          <cell r="M275">
            <v>139746.57</v>
          </cell>
          <cell r="N275">
            <v>2022</v>
          </cell>
          <cell r="O275">
            <v>0.3500014806444926</v>
          </cell>
          <cell r="P275">
            <v>1.3505800352219197E-2</v>
          </cell>
          <cell r="Q275" t="str">
            <v>Beer</v>
          </cell>
          <cell r="R275">
            <v>562.91999999999996</v>
          </cell>
          <cell r="S275" t="b">
            <v>1</v>
          </cell>
        </row>
        <row r="276">
          <cell r="A276">
            <v>275</v>
          </cell>
          <cell r="B276">
            <v>44719.679328703707</v>
          </cell>
          <cell r="C276" t="str">
            <v>INV(BAL) / 2022-2023 / 8276</v>
          </cell>
          <cell r="D276" t="str">
            <v>RETAIL</v>
          </cell>
          <cell r="E276">
            <v>139746.57</v>
          </cell>
          <cell r="F276">
            <v>0</v>
          </cell>
          <cell r="G276">
            <v>633</v>
          </cell>
          <cell r="H276">
            <v>0</v>
          </cell>
          <cell r="I276">
            <v>102380.97</v>
          </cell>
          <cell r="J276">
            <v>35833.379999999997</v>
          </cell>
          <cell r="K276">
            <v>1382</v>
          </cell>
          <cell r="L276">
            <v>139596.35</v>
          </cell>
          <cell r="M276">
            <v>150.22</v>
          </cell>
          <cell r="N276">
            <v>2022</v>
          </cell>
          <cell r="O276">
            <v>0.35000039558132723</v>
          </cell>
          <cell r="P276">
            <v>1.3498602328147506E-2</v>
          </cell>
          <cell r="Q276" t="str">
            <v>Beer</v>
          </cell>
          <cell r="R276">
            <v>633</v>
          </cell>
          <cell r="S276" t="b">
            <v>1</v>
          </cell>
        </row>
        <row r="277">
          <cell r="A277">
            <v>276</v>
          </cell>
          <cell r="B277">
            <v>44721.381203703706</v>
          </cell>
          <cell r="C277" t="str">
            <v>OSBC/BAL/MR/9522/2022-2023</v>
          </cell>
          <cell r="D277" t="str">
            <v>GOVT</v>
          </cell>
          <cell r="E277">
            <v>150.22</v>
          </cell>
          <cell r="F277">
            <v>150000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150150.22</v>
          </cell>
          <cell r="N277">
            <v>2022</v>
          </cell>
          <cell r="O277">
            <v>0</v>
          </cell>
          <cell r="P277">
            <v>0</v>
          </cell>
          <cell r="Q277" t="str">
            <v>-</v>
          </cell>
          <cell r="R277">
            <v>0</v>
          </cell>
          <cell r="S277" t="b">
            <v>1</v>
          </cell>
        </row>
        <row r="278">
          <cell r="A278">
            <v>277</v>
          </cell>
          <cell r="B278">
            <v>44721.487280092595</v>
          </cell>
          <cell r="C278" t="str">
            <v>INV(BAL) / 2022-2023 / 8583</v>
          </cell>
          <cell r="D278" t="str">
            <v>RETAIL</v>
          </cell>
          <cell r="E278">
            <v>150150.22</v>
          </cell>
          <cell r="F278">
            <v>0</v>
          </cell>
          <cell r="G278">
            <v>537</v>
          </cell>
          <cell r="H278">
            <v>0</v>
          </cell>
          <cell r="I278">
            <v>87063.59</v>
          </cell>
          <cell r="J278">
            <v>30472.18</v>
          </cell>
          <cell r="K278">
            <v>1175</v>
          </cell>
          <cell r="L278">
            <v>118710.77</v>
          </cell>
          <cell r="M278">
            <v>31439.45</v>
          </cell>
          <cell r="N278">
            <v>2022</v>
          </cell>
          <cell r="O278">
            <v>0.34999912133189087</v>
          </cell>
          <cell r="P278">
            <v>1.349588272204259E-2</v>
          </cell>
          <cell r="Q278" t="str">
            <v>Beer</v>
          </cell>
          <cell r="R278">
            <v>537</v>
          </cell>
          <cell r="S278" t="b">
            <v>1</v>
          </cell>
        </row>
        <row r="279">
          <cell r="A279">
            <v>278</v>
          </cell>
          <cell r="B279">
            <v>44723.399409722224</v>
          </cell>
          <cell r="C279" t="str">
            <v>OSBC/BAL/MR/9957/2022-2023</v>
          </cell>
          <cell r="D279" t="str">
            <v>GOVT</v>
          </cell>
          <cell r="E279">
            <v>31439.45</v>
          </cell>
          <cell r="F279">
            <v>90000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121439.45</v>
          </cell>
          <cell r="N279">
            <v>2022</v>
          </cell>
          <cell r="O279">
            <v>0</v>
          </cell>
          <cell r="P279">
            <v>0</v>
          </cell>
          <cell r="Q279" t="str">
            <v>-</v>
          </cell>
          <cell r="R279">
            <v>0</v>
          </cell>
          <cell r="S279" t="b">
            <v>1</v>
          </cell>
        </row>
        <row r="280">
          <cell r="A280">
            <v>279</v>
          </cell>
          <cell r="B280">
            <v>44723.691006944442</v>
          </cell>
          <cell r="C280" t="str">
            <v>INV(BAL) / 2022-2023 / 9009</v>
          </cell>
          <cell r="D280" t="str">
            <v>RETAIL</v>
          </cell>
          <cell r="E280">
            <v>121439.45</v>
          </cell>
          <cell r="F280">
            <v>0</v>
          </cell>
          <cell r="G280">
            <v>566.4</v>
          </cell>
          <cell r="H280">
            <v>0</v>
          </cell>
          <cell r="I280">
            <v>88968.320000000007</v>
          </cell>
          <cell r="J280">
            <v>31139.02</v>
          </cell>
          <cell r="K280">
            <v>1201</v>
          </cell>
          <cell r="L280">
            <v>121308.34</v>
          </cell>
          <cell r="M280">
            <v>131.11000000000001</v>
          </cell>
          <cell r="N280">
            <v>2022</v>
          </cell>
          <cell r="O280">
            <v>0.3500012139152453</v>
          </cell>
          <cell r="P280">
            <v>1.3499187126383863E-2</v>
          </cell>
          <cell r="Q280" t="str">
            <v>Beer</v>
          </cell>
          <cell r="R280">
            <v>566.4</v>
          </cell>
          <cell r="S280" t="b">
            <v>1</v>
          </cell>
        </row>
        <row r="281">
          <cell r="A281">
            <v>280</v>
          </cell>
          <cell r="B281">
            <v>44726.373842592591</v>
          </cell>
          <cell r="C281" t="str">
            <v>OSBC/BAL/MR/10419/2022-2023</v>
          </cell>
          <cell r="D281" t="str">
            <v>GOVT</v>
          </cell>
          <cell r="E281">
            <v>131.11000000000001</v>
          </cell>
          <cell r="F281">
            <v>65000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65131.11</v>
          </cell>
          <cell r="N281">
            <v>2022</v>
          </cell>
          <cell r="O281">
            <v>0</v>
          </cell>
          <cell r="P281">
            <v>0</v>
          </cell>
          <cell r="Q281" t="str">
            <v>-</v>
          </cell>
          <cell r="R281">
            <v>0</v>
          </cell>
          <cell r="S281" t="b">
            <v>1</v>
          </cell>
        </row>
        <row r="282">
          <cell r="A282">
            <v>281</v>
          </cell>
          <cell r="B282">
            <v>44729.377152777779</v>
          </cell>
          <cell r="C282" t="str">
            <v>OSBC/BAL/MR/10877/2022-2023</v>
          </cell>
          <cell r="D282" t="str">
            <v>GOVT</v>
          </cell>
          <cell r="E282">
            <v>65131.11</v>
          </cell>
          <cell r="F282">
            <v>150000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215131.11</v>
          </cell>
          <cell r="N282">
            <v>2022</v>
          </cell>
          <cell r="O282">
            <v>0</v>
          </cell>
          <cell r="P282">
            <v>0</v>
          </cell>
          <cell r="Q282" t="str">
            <v>-</v>
          </cell>
          <cell r="R282">
            <v>0</v>
          </cell>
          <cell r="S282" t="b">
            <v>1</v>
          </cell>
        </row>
        <row r="283">
          <cell r="A283">
            <v>282</v>
          </cell>
          <cell r="B283">
            <v>44729.470185185186</v>
          </cell>
          <cell r="C283" t="str">
            <v>INV(BAL) / 2022-2023 / 9831</v>
          </cell>
          <cell r="D283" t="str">
            <v>RETAIL</v>
          </cell>
          <cell r="E283">
            <v>215131.11</v>
          </cell>
          <cell r="F283">
            <v>0</v>
          </cell>
          <cell r="G283">
            <v>514.32000000000005</v>
          </cell>
          <cell r="H283">
            <v>0</v>
          </cell>
          <cell r="I283">
            <v>78412.83</v>
          </cell>
          <cell r="J283">
            <v>27444.61</v>
          </cell>
          <cell r="K283">
            <v>1059</v>
          </cell>
          <cell r="L283">
            <v>106916.44</v>
          </cell>
          <cell r="M283">
            <v>108214.67</v>
          </cell>
          <cell r="N283">
            <v>2022</v>
          </cell>
          <cell r="O283">
            <v>0.35000152398529677</v>
          </cell>
          <cell r="P283">
            <v>1.3505442923052261E-2</v>
          </cell>
          <cell r="Q283" t="str">
            <v>Beer</v>
          </cell>
          <cell r="R283">
            <v>514.32000000000005</v>
          </cell>
          <cell r="S283" t="b">
            <v>1</v>
          </cell>
        </row>
        <row r="284">
          <cell r="A284">
            <v>283</v>
          </cell>
          <cell r="B284">
            <v>44732.449444444443</v>
          </cell>
          <cell r="C284" t="str">
            <v>OSBC/BAL/MR/11330/2022-2023</v>
          </cell>
          <cell r="D284" t="str">
            <v>GOVT</v>
          </cell>
          <cell r="E284">
            <v>108214.67</v>
          </cell>
          <cell r="F284">
            <v>450000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558214.67000000004</v>
          </cell>
          <cell r="N284">
            <v>2022</v>
          </cell>
          <cell r="O284">
            <v>0</v>
          </cell>
          <cell r="P284">
            <v>0</v>
          </cell>
          <cell r="Q284" t="str">
            <v>-</v>
          </cell>
          <cell r="R284">
            <v>0</v>
          </cell>
          <cell r="S284" t="b">
            <v>1</v>
          </cell>
        </row>
        <row r="285">
          <cell r="A285">
            <v>284</v>
          </cell>
          <cell r="B285">
            <v>44732.717245370368</v>
          </cell>
          <cell r="C285" t="str">
            <v>INV(BAL) / 2022-2023 / 10361</v>
          </cell>
          <cell r="D285" t="str">
            <v>RETAIL</v>
          </cell>
          <cell r="E285">
            <v>558214.67000000004</v>
          </cell>
          <cell r="F285">
            <v>0</v>
          </cell>
          <cell r="G285">
            <v>786.72</v>
          </cell>
          <cell r="H285">
            <v>0</v>
          </cell>
          <cell r="I285">
            <v>122619.17</v>
          </cell>
          <cell r="J285">
            <v>42916.83</v>
          </cell>
          <cell r="K285">
            <v>1655</v>
          </cell>
          <cell r="L285">
            <v>167191</v>
          </cell>
          <cell r="M285">
            <v>391023.67</v>
          </cell>
          <cell r="N285">
            <v>2022</v>
          </cell>
          <cell r="O285">
            <v>0.35000098271746583</v>
          </cell>
          <cell r="P285">
            <v>1.3497073907774779E-2</v>
          </cell>
          <cell r="Q285" t="str">
            <v>Beer</v>
          </cell>
          <cell r="R285">
            <v>786.72</v>
          </cell>
          <cell r="S285" t="b">
            <v>1</v>
          </cell>
        </row>
        <row r="286">
          <cell r="A286">
            <v>285</v>
          </cell>
          <cell r="B286">
            <v>44732.717916666668</v>
          </cell>
          <cell r="C286" t="str">
            <v>INV(BAL) / 2022-2023 / 10362</v>
          </cell>
          <cell r="D286" t="str">
            <v>RETAIL</v>
          </cell>
          <cell r="E286">
            <v>391023.67</v>
          </cell>
          <cell r="F286">
            <v>0</v>
          </cell>
          <cell r="G286">
            <v>0</v>
          </cell>
          <cell r="H286">
            <v>258.39</v>
          </cell>
          <cell r="I286">
            <v>219127.04000000001</v>
          </cell>
          <cell r="J286">
            <v>76694.460000000006</v>
          </cell>
          <cell r="K286">
            <v>2958</v>
          </cell>
          <cell r="L286">
            <v>298779.5</v>
          </cell>
          <cell r="M286">
            <v>92244.17</v>
          </cell>
          <cell r="N286">
            <v>2022</v>
          </cell>
          <cell r="O286">
            <v>0.34999998174574898</v>
          </cell>
          <cell r="P286">
            <v>1.3499018651463553E-2</v>
          </cell>
          <cell r="Q286" t="str">
            <v>Liquor</v>
          </cell>
          <cell r="R286">
            <v>344.52</v>
          </cell>
          <cell r="S286" t="b">
            <v>1</v>
          </cell>
        </row>
        <row r="287">
          <cell r="A287">
            <v>286</v>
          </cell>
          <cell r="B287">
            <v>44739.684270833335</v>
          </cell>
          <cell r="C287" t="str">
            <v>INV(BAL) / 2022-2023 / 11542</v>
          </cell>
          <cell r="D287" t="str">
            <v>RETAIL</v>
          </cell>
          <cell r="E287">
            <v>92244.17</v>
          </cell>
          <cell r="F287">
            <v>0</v>
          </cell>
          <cell r="G287">
            <v>426.6</v>
          </cell>
          <cell r="H287">
            <v>0</v>
          </cell>
          <cell r="I287">
            <v>66825.37</v>
          </cell>
          <cell r="J287">
            <v>23388.83</v>
          </cell>
          <cell r="K287">
            <v>902</v>
          </cell>
          <cell r="L287">
            <v>91116.2</v>
          </cell>
          <cell r="M287">
            <v>1127.97</v>
          </cell>
          <cell r="N287">
            <v>2022</v>
          </cell>
          <cell r="O287">
            <v>0.34999925926336067</v>
          </cell>
          <cell r="P287">
            <v>1.3497867651163025E-2</v>
          </cell>
          <cell r="Q287" t="str">
            <v>Beer</v>
          </cell>
          <cell r="R287">
            <v>426.6</v>
          </cell>
          <cell r="S287" t="b">
            <v>1</v>
          </cell>
        </row>
        <row r="288">
          <cell r="A288">
            <v>287</v>
          </cell>
          <cell r="B288">
            <v>44744.469861111109</v>
          </cell>
          <cell r="C288" t="str">
            <v>OSBC/BAL/MR/13325/2022-2023</v>
          </cell>
          <cell r="D288" t="str">
            <v>GOVT</v>
          </cell>
          <cell r="E288">
            <v>1127.97</v>
          </cell>
          <cell r="F288">
            <v>300000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301127.96999999997</v>
          </cell>
          <cell r="N288">
            <v>2022</v>
          </cell>
          <cell r="O288">
            <v>0</v>
          </cell>
          <cell r="P288">
            <v>0</v>
          </cell>
          <cell r="Q288" t="str">
            <v>-</v>
          </cell>
          <cell r="R288">
            <v>0</v>
          </cell>
          <cell r="S288" t="b">
            <v>1</v>
          </cell>
        </row>
        <row r="289">
          <cell r="A289">
            <v>288</v>
          </cell>
          <cell r="B289">
            <v>44744.681388888886</v>
          </cell>
          <cell r="C289" t="str">
            <v>INV(BAL) / 2022-2023 / 12253</v>
          </cell>
          <cell r="D289" t="str">
            <v>RETAIL</v>
          </cell>
          <cell r="E289">
            <v>301127.96999999997</v>
          </cell>
          <cell r="F289">
            <v>0</v>
          </cell>
          <cell r="G289">
            <v>0</v>
          </cell>
          <cell r="H289">
            <v>265.97000000000003</v>
          </cell>
          <cell r="I289">
            <v>220595.28</v>
          </cell>
          <cell r="J289">
            <v>77208.36</v>
          </cell>
          <cell r="K289">
            <v>2978</v>
          </cell>
          <cell r="L289">
            <v>300781.64</v>
          </cell>
          <cell r="M289">
            <v>346.33</v>
          </cell>
          <cell r="N289">
            <v>2022</v>
          </cell>
          <cell r="O289">
            <v>0.35000005439826276</v>
          </cell>
          <cell r="P289">
            <v>1.3499835535918991E-2</v>
          </cell>
          <cell r="Q289" t="str">
            <v>Liquor</v>
          </cell>
          <cell r="R289">
            <v>354.62666666666672</v>
          </cell>
          <cell r="S289" t="b">
            <v>1</v>
          </cell>
        </row>
        <row r="290">
          <cell r="A290">
            <v>289</v>
          </cell>
          <cell r="B290">
            <v>44753.353425925925</v>
          </cell>
          <cell r="C290" t="str">
            <v>OSBC/BAL/MR/14350/2022-2023</v>
          </cell>
          <cell r="D290" t="str">
            <v>GOVT</v>
          </cell>
          <cell r="E290">
            <v>346.33</v>
          </cell>
          <cell r="F290">
            <v>340000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340346.33</v>
          </cell>
          <cell r="N290">
            <v>2022</v>
          </cell>
          <cell r="O290">
            <v>0</v>
          </cell>
          <cell r="P290">
            <v>0</v>
          </cell>
          <cell r="Q290" t="str">
            <v>-</v>
          </cell>
          <cell r="R290">
            <v>0</v>
          </cell>
          <cell r="S290" t="b">
            <v>1</v>
          </cell>
        </row>
        <row r="291">
          <cell r="A291">
            <v>290</v>
          </cell>
          <cell r="B291">
            <v>44753.683125000003</v>
          </cell>
          <cell r="C291" t="str">
            <v>INV(BAL) / 2022-2023 / 13136</v>
          </cell>
          <cell r="D291" t="str">
            <v>RETAIL</v>
          </cell>
          <cell r="E291">
            <v>340346.33</v>
          </cell>
          <cell r="F291">
            <v>0</v>
          </cell>
          <cell r="G291">
            <v>0</v>
          </cell>
          <cell r="H291">
            <v>281.51</v>
          </cell>
          <cell r="I291">
            <v>245484.55</v>
          </cell>
          <cell r="J291">
            <v>85919.58</v>
          </cell>
          <cell r="K291">
            <v>3314</v>
          </cell>
          <cell r="L291">
            <v>334718.13</v>
          </cell>
          <cell r="M291">
            <v>5628.2</v>
          </cell>
          <cell r="N291">
            <v>2022</v>
          </cell>
          <cell r="O291">
            <v>0.34999994908029858</v>
          </cell>
          <cell r="P291">
            <v>1.3499831252109349E-2</v>
          </cell>
          <cell r="Q291" t="str">
            <v>Liquor</v>
          </cell>
          <cell r="R291">
            <v>375.34666666666664</v>
          </cell>
          <cell r="S291" t="b">
            <v>1</v>
          </cell>
        </row>
        <row r="292">
          <cell r="A292">
            <v>291</v>
          </cell>
          <cell r="B292">
            <v>44760.453449074077</v>
          </cell>
          <cell r="C292" t="str">
            <v>OSBC/BAL/MR/15239/2022-2023</v>
          </cell>
          <cell r="D292" t="str">
            <v>GOVT</v>
          </cell>
          <cell r="E292">
            <v>5628.2</v>
          </cell>
          <cell r="F292">
            <v>150000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155628.20000000001</v>
          </cell>
          <cell r="N292">
            <v>2022</v>
          </cell>
          <cell r="O292">
            <v>0</v>
          </cell>
          <cell r="P292">
            <v>0</v>
          </cell>
          <cell r="Q292" t="str">
            <v>-</v>
          </cell>
          <cell r="R292">
            <v>0</v>
          </cell>
          <cell r="S292" t="b">
            <v>1</v>
          </cell>
        </row>
        <row r="293">
          <cell r="A293">
            <v>292</v>
          </cell>
          <cell r="B293">
            <v>44762.470682870371</v>
          </cell>
          <cell r="C293" t="str">
            <v>OSBC/BAL/MR/15471/2022-2023</v>
          </cell>
          <cell r="D293" t="str">
            <v>GOVT</v>
          </cell>
          <cell r="E293">
            <v>155628.20000000001</v>
          </cell>
          <cell r="F293">
            <v>75000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230628.2</v>
          </cell>
          <cell r="N293">
            <v>2022</v>
          </cell>
          <cell r="O293">
            <v>0</v>
          </cell>
          <cell r="P293">
            <v>0</v>
          </cell>
          <cell r="Q293" t="str">
            <v>-</v>
          </cell>
          <cell r="R293">
            <v>0</v>
          </cell>
          <cell r="S293" t="b">
            <v>1</v>
          </cell>
        </row>
        <row r="294">
          <cell r="A294">
            <v>293</v>
          </cell>
          <cell r="B294">
            <v>44762.706064814818</v>
          </cell>
          <cell r="C294" t="str">
            <v>INV(BAL) / 2022-2023 / 14040</v>
          </cell>
          <cell r="D294" t="str">
            <v>RETAIL</v>
          </cell>
          <cell r="E294">
            <v>230628.2</v>
          </cell>
          <cell r="F294">
            <v>0</v>
          </cell>
          <cell r="G294">
            <v>0</v>
          </cell>
          <cell r="H294">
            <v>40.44</v>
          </cell>
          <cell r="I294">
            <v>47578.3</v>
          </cell>
          <cell r="J294">
            <v>16652.41</v>
          </cell>
          <cell r="K294">
            <v>642</v>
          </cell>
          <cell r="L294">
            <v>64872.71</v>
          </cell>
          <cell r="M294">
            <v>165755.49</v>
          </cell>
          <cell r="N294">
            <v>2022</v>
          </cell>
          <cell r="O294">
            <v>0.35000010508992541</v>
          </cell>
          <cell r="P294">
            <v>1.3493546427678164E-2</v>
          </cell>
          <cell r="Q294" t="str">
            <v>Liquor</v>
          </cell>
          <cell r="R294">
            <v>53.919999999999995</v>
          </cell>
          <cell r="S294" t="b">
            <v>1</v>
          </cell>
        </row>
        <row r="295">
          <cell r="A295">
            <v>294</v>
          </cell>
          <cell r="B295">
            <v>44762.706666666665</v>
          </cell>
          <cell r="C295" t="str">
            <v>INV(BAL) / 2022-2023 / 14041</v>
          </cell>
          <cell r="D295" t="str">
            <v>RETAIL</v>
          </cell>
          <cell r="E295">
            <v>165755.49</v>
          </cell>
          <cell r="F295">
            <v>0</v>
          </cell>
          <cell r="G295">
            <v>736.2</v>
          </cell>
          <cell r="H295">
            <v>0</v>
          </cell>
          <cell r="I295">
            <v>121349.39</v>
          </cell>
          <cell r="J295">
            <v>42472.29</v>
          </cell>
          <cell r="K295">
            <v>1638</v>
          </cell>
          <cell r="L295">
            <v>165459.68</v>
          </cell>
          <cell r="M295">
            <v>295.81</v>
          </cell>
          <cell r="N295">
            <v>2022</v>
          </cell>
          <cell r="O295">
            <v>0.350000028842337</v>
          </cell>
          <cell r="P295">
            <v>1.3498213711663487E-2</v>
          </cell>
          <cell r="Q295" t="str">
            <v>Beer</v>
          </cell>
          <cell r="R295">
            <v>736.2</v>
          </cell>
          <cell r="S295" t="b">
            <v>1</v>
          </cell>
        </row>
        <row r="296">
          <cell r="A296">
            <v>295</v>
          </cell>
          <cell r="B296">
            <v>44771.456863425927</v>
          </cell>
          <cell r="C296" t="str">
            <v>OSBC/BAL/MR/16307/2022-2023</v>
          </cell>
          <cell r="D296" t="str">
            <v>GOVT</v>
          </cell>
          <cell r="E296">
            <v>295.81</v>
          </cell>
          <cell r="F296">
            <v>320000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320295.81</v>
          </cell>
          <cell r="N296">
            <v>2022</v>
          </cell>
          <cell r="O296">
            <v>0</v>
          </cell>
          <cell r="P296">
            <v>0</v>
          </cell>
          <cell r="Q296" t="str">
            <v>-</v>
          </cell>
          <cell r="R296">
            <v>0</v>
          </cell>
          <cell r="S296" t="b">
            <v>1</v>
          </cell>
        </row>
        <row r="297">
          <cell r="A297">
            <v>296</v>
          </cell>
          <cell r="B297">
            <v>44771.664525462962</v>
          </cell>
          <cell r="C297" t="str">
            <v>INV(BAL) / 2022-2023 / 14718</v>
          </cell>
          <cell r="D297" t="str">
            <v>RETAIL</v>
          </cell>
          <cell r="E297">
            <v>320295.81</v>
          </cell>
          <cell r="F297">
            <v>0</v>
          </cell>
          <cell r="G297">
            <v>0</v>
          </cell>
          <cell r="H297">
            <v>257.18</v>
          </cell>
          <cell r="I297">
            <v>234821.48</v>
          </cell>
          <cell r="J297">
            <v>82187.520000000004</v>
          </cell>
          <cell r="K297">
            <v>3170</v>
          </cell>
          <cell r="L297">
            <v>320179</v>
          </cell>
          <cell r="M297">
            <v>116.81</v>
          </cell>
          <cell r="N297">
            <v>2022</v>
          </cell>
          <cell r="O297">
            <v>0.35000000851710839</v>
          </cell>
          <cell r="P297">
            <v>1.3499616815293047E-2</v>
          </cell>
          <cell r="Q297" t="str">
            <v>Liquor</v>
          </cell>
          <cell r="R297">
            <v>342.90666666666669</v>
          </cell>
          <cell r="S297" t="b">
            <v>1</v>
          </cell>
        </row>
        <row r="298">
          <cell r="A298">
            <v>297</v>
          </cell>
          <cell r="B298">
            <v>44774.462141203701</v>
          </cell>
          <cell r="C298" t="str">
            <v>OSBC/BAL/MR/16560/2022-2023</v>
          </cell>
          <cell r="D298" t="str">
            <v>GOVT</v>
          </cell>
          <cell r="E298">
            <v>116.81</v>
          </cell>
          <cell r="F298">
            <v>130000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130116.81</v>
          </cell>
          <cell r="N298">
            <v>2022</v>
          </cell>
          <cell r="O298">
            <v>0</v>
          </cell>
          <cell r="P298">
            <v>0</v>
          </cell>
          <cell r="Q298" t="str">
            <v>-</v>
          </cell>
          <cell r="R298">
            <v>0</v>
          </cell>
          <cell r="S298" t="b">
            <v>1</v>
          </cell>
        </row>
        <row r="299">
          <cell r="A299">
            <v>298</v>
          </cell>
          <cell r="B299">
            <v>44774.664548611108</v>
          </cell>
          <cell r="C299" t="str">
            <v>INV(BAL) / 2022-2023 / 14913</v>
          </cell>
          <cell r="D299" t="str">
            <v>RETAIL</v>
          </cell>
          <cell r="E299">
            <v>130116.81</v>
          </cell>
          <cell r="F299">
            <v>0</v>
          </cell>
          <cell r="G299">
            <v>560.16</v>
          </cell>
          <cell r="H299">
            <v>0</v>
          </cell>
          <cell r="I299">
            <v>94682.58</v>
          </cell>
          <cell r="J299">
            <v>33138.9</v>
          </cell>
          <cell r="K299">
            <v>1278</v>
          </cell>
          <cell r="L299">
            <v>129099.48</v>
          </cell>
          <cell r="M299">
            <v>1017.33</v>
          </cell>
          <cell r="N299">
            <v>2022</v>
          </cell>
          <cell r="O299">
            <v>0.34999996831518532</v>
          </cell>
          <cell r="P299">
            <v>1.3497731050421312E-2</v>
          </cell>
          <cell r="Q299" t="str">
            <v>Beer</v>
          </cell>
          <cell r="R299">
            <v>560.16</v>
          </cell>
          <cell r="S299" t="b">
            <v>1</v>
          </cell>
        </row>
        <row r="300">
          <cell r="A300">
            <v>299</v>
          </cell>
          <cell r="B300">
            <v>44782.491979166669</v>
          </cell>
          <cell r="C300" t="str">
            <v>OSBC/BAL/MR/17354/2022-2023</v>
          </cell>
          <cell r="D300" t="str">
            <v>GOVT</v>
          </cell>
          <cell r="E300">
            <v>1017.33</v>
          </cell>
          <cell r="F300">
            <v>280000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281017.33</v>
          </cell>
          <cell r="N300">
            <v>2022</v>
          </cell>
          <cell r="O300">
            <v>0</v>
          </cell>
          <cell r="P300">
            <v>0</v>
          </cell>
          <cell r="Q300" t="str">
            <v>-</v>
          </cell>
          <cell r="R300">
            <v>0</v>
          </cell>
          <cell r="S300" t="b">
            <v>1</v>
          </cell>
        </row>
        <row r="301">
          <cell r="A301">
            <v>300</v>
          </cell>
          <cell r="B301">
            <v>44782.539618055554</v>
          </cell>
          <cell r="C301" t="str">
            <v>INV(BAL) / 2022-2023 / 15571</v>
          </cell>
          <cell r="D301" t="str">
            <v>RETAIL</v>
          </cell>
          <cell r="E301">
            <v>281017.33</v>
          </cell>
          <cell r="F301">
            <v>0</v>
          </cell>
          <cell r="G301">
            <v>293.39999999999998</v>
          </cell>
          <cell r="H301">
            <v>0</v>
          </cell>
          <cell r="I301">
            <v>49444.52</v>
          </cell>
          <cell r="J301">
            <v>17305.580000000002</v>
          </cell>
          <cell r="K301">
            <v>668</v>
          </cell>
          <cell r="L301">
            <v>67418.100000000006</v>
          </cell>
          <cell r="M301">
            <v>213599.23</v>
          </cell>
          <cell r="N301">
            <v>2022</v>
          </cell>
          <cell r="O301">
            <v>0.34999995955062368</v>
          </cell>
          <cell r="P301">
            <v>1.3510091714916033E-2</v>
          </cell>
          <cell r="Q301" t="str">
            <v>Beer</v>
          </cell>
          <cell r="R301">
            <v>293.39999999999998</v>
          </cell>
          <cell r="S301" t="b">
            <v>1</v>
          </cell>
        </row>
        <row r="302">
          <cell r="A302">
            <v>301</v>
          </cell>
          <cell r="B302">
            <v>44782.54</v>
          </cell>
          <cell r="C302" t="str">
            <v>INV(BAL) / 2022-2023 / 15572</v>
          </cell>
          <cell r="D302" t="str">
            <v>RETAIL</v>
          </cell>
          <cell r="E302">
            <v>213599.23</v>
          </cell>
          <cell r="F302">
            <v>0</v>
          </cell>
          <cell r="G302">
            <v>0</v>
          </cell>
          <cell r="H302">
            <v>123.93</v>
          </cell>
          <cell r="I302">
            <v>101349.23</v>
          </cell>
          <cell r="J302">
            <v>35472.230000000003</v>
          </cell>
          <cell r="K302">
            <v>1368</v>
          </cell>
          <cell r="L302">
            <v>138189.46</v>
          </cell>
          <cell r="M302">
            <v>75409.77</v>
          </cell>
          <cell r="N302">
            <v>2022</v>
          </cell>
          <cell r="O302">
            <v>0.34999999506656343</v>
          </cell>
          <cell r="P302">
            <v>1.3497882519679726E-2</v>
          </cell>
          <cell r="Q302" t="str">
            <v>Liquor</v>
          </cell>
          <cell r="R302">
            <v>165.24</v>
          </cell>
          <cell r="S302" t="b">
            <v>1</v>
          </cell>
        </row>
        <row r="303">
          <cell r="A303">
            <v>302</v>
          </cell>
          <cell r="B303">
            <v>44785.46979166667</v>
          </cell>
          <cell r="C303" t="str">
            <v>OSBC/BAL/MR/17631/2022-2023</v>
          </cell>
          <cell r="D303" t="str">
            <v>GOVT</v>
          </cell>
          <cell r="E303">
            <v>75409.77</v>
          </cell>
          <cell r="F303">
            <v>145000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220409.77</v>
          </cell>
          <cell r="N303">
            <v>2022</v>
          </cell>
          <cell r="O303">
            <v>0</v>
          </cell>
          <cell r="P303">
            <v>0</v>
          </cell>
          <cell r="Q303" t="str">
            <v>-</v>
          </cell>
          <cell r="R303">
            <v>0</v>
          </cell>
          <cell r="S303" t="b">
            <v>1</v>
          </cell>
        </row>
        <row r="304">
          <cell r="A304">
            <v>303</v>
          </cell>
          <cell r="B304">
            <v>44785.656886574077</v>
          </cell>
          <cell r="C304" t="str">
            <v>INV(BAL) / 2022-2023 / 15767</v>
          </cell>
          <cell r="D304" t="str">
            <v>RETAIL</v>
          </cell>
          <cell r="E304">
            <v>220409.77</v>
          </cell>
          <cell r="F304">
            <v>0</v>
          </cell>
          <cell r="G304">
            <v>0</v>
          </cell>
          <cell r="H304">
            <v>172.07</v>
          </cell>
          <cell r="I304">
            <v>161319.65</v>
          </cell>
          <cell r="J304">
            <v>56461.88</v>
          </cell>
          <cell r="K304">
            <v>2178</v>
          </cell>
          <cell r="L304">
            <v>219959.53</v>
          </cell>
          <cell r="M304">
            <v>450.24</v>
          </cell>
          <cell r="N304">
            <v>2022</v>
          </cell>
          <cell r="O304">
            <v>0.35000001549718213</v>
          </cell>
          <cell r="P304">
            <v>1.350114508678887E-2</v>
          </cell>
          <cell r="Q304" t="str">
            <v>Liquor</v>
          </cell>
          <cell r="R304">
            <v>229.42666666666665</v>
          </cell>
          <cell r="S304" t="b">
            <v>1</v>
          </cell>
        </row>
        <row r="305">
          <cell r="A305">
            <v>304</v>
          </cell>
          <cell r="B305">
            <v>44795.482870370368</v>
          </cell>
          <cell r="C305" t="str">
            <v>OSBC/BAL/MR/18449/2022-2023</v>
          </cell>
          <cell r="D305" t="str">
            <v>GOVT</v>
          </cell>
          <cell r="E305">
            <v>450.24</v>
          </cell>
          <cell r="F305">
            <v>499900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500350.24</v>
          </cell>
          <cell r="N305">
            <v>2022</v>
          </cell>
          <cell r="O305">
            <v>0</v>
          </cell>
          <cell r="P305">
            <v>0</v>
          </cell>
          <cell r="Q305" t="str">
            <v>-</v>
          </cell>
          <cell r="R305">
            <v>0</v>
          </cell>
          <cell r="S305" t="b">
            <v>1</v>
          </cell>
        </row>
        <row r="306">
          <cell r="A306">
            <v>305</v>
          </cell>
          <cell r="B306">
            <v>44795.68986111111</v>
          </cell>
          <cell r="C306" t="str">
            <v>INV(BAL) / 2022-2023 / 16467</v>
          </cell>
          <cell r="D306" t="str">
            <v>RETAIL</v>
          </cell>
          <cell r="E306">
            <v>500350.24</v>
          </cell>
          <cell r="F306">
            <v>0</v>
          </cell>
          <cell r="G306">
            <v>837.36</v>
          </cell>
          <cell r="H306">
            <v>0</v>
          </cell>
          <cell r="I306">
            <v>140714.45000000001</v>
          </cell>
          <cell r="J306">
            <v>49250.06</v>
          </cell>
          <cell r="K306">
            <v>1900</v>
          </cell>
          <cell r="L306">
            <v>191864.51</v>
          </cell>
          <cell r="M306">
            <v>308485.73</v>
          </cell>
          <cell r="N306">
            <v>2022</v>
          </cell>
          <cell r="O306">
            <v>0.35000001776647666</v>
          </cell>
          <cell r="P306">
            <v>1.3502522306699844E-2</v>
          </cell>
          <cell r="Q306" t="str">
            <v>Beer</v>
          </cell>
          <cell r="R306">
            <v>837.36</v>
          </cell>
          <cell r="S306" t="b">
            <v>1</v>
          </cell>
        </row>
        <row r="307">
          <cell r="A307">
            <v>306</v>
          </cell>
          <cell r="B307">
            <v>44795.691562499997</v>
          </cell>
          <cell r="C307" t="str">
            <v>INV(BAL) / 2022-2023 / 16468</v>
          </cell>
          <cell r="D307" t="str">
            <v>RETAIL</v>
          </cell>
          <cell r="E307">
            <v>308485.73</v>
          </cell>
          <cell r="F307">
            <v>0</v>
          </cell>
          <cell r="G307">
            <v>0</v>
          </cell>
          <cell r="H307">
            <v>243.07</v>
          </cell>
          <cell r="I307">
            <v>225654.72</v>
          </cell>
          <cell r="J307">
            <v>78979.149999999994</v>
          </cell>
          <cell r="K307">
            <v>3046</v>
          </cell>
          <cell r="L307">
            <v>307679.87</v>
          </cell>
          <cell r="M307">
            <v>805.86</v>
          </cell>
          <cell r="N307">
            <v>2022</v>
          </cell>
          <cell r="O307">
            <v>0.3499999911369015</v>
          </cell>
          <cell r="P307">
            <v>1.3498498945645808E-2</v>
          </cell>
          <cell r="Q307" t="str">
            <v>Liquor</v>
          </cell>
          <cell r="R307">
            <v>324.09333333333331</v>
          </cell>
          <cell r="S307" t="b">
            <v>1</v>
          </cell>
        </row>
        <row r="308">
          <cell r="A308">
            <v>307</v>
          </cell>
          <cell r="B308">
            <v>44806.287175925929</v>
          </cell>
          <cell r="C308" t="str">
            <v>OSBC/BAL/MR/19384/2022-2023</v>
          </cell>
          <cell r="D308" t="str">
            <v>GOVT</v>
          </cell>
          <cell r="E308">
            <v>805.86</v>
          </cell>
          <cell r="F308">
            <v>300000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300805.86</v>
          </cell>
          <cell r="N308">
            <v>2022</v>
          </cell>
          <cell r="O308">
            <v>0</v>
          </cell>
          <cell r="P308">
            <v>0</v>
          </cell>
          <cell r="Q308" t="str">
            <v>-</v>
          </cell>
          <cell r="R308">
            <v>0</v>
          </cell>
          <cell r="S308" t="b">
            <v>1</v>
          </cell>
        </row>
        <row r="309">
          <cell r="A309">
            <v>308</v>
          </cell>
          <cell r="B309">
            <v>44806.462199074071</v>
          </cell>
          <cell r="C309" t="str">
            <v>OSBC/BAL/MR/19449/2022-2023</v>
          </cell>
          <cell r="D309" t="str">
            <v>GOVT</v>
          </cell>
          <cell r="E309">
            <v>300805.86</v>
          </cell>
          <cell r="F309">
            <v>199500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500305.86</v>
          </cell>
          <cell r="N309">
            <v>2022</v>
          </cell>
          <cell r="O309">
            <v>0</v>
          </cell>
          <cell r="P309">
            <v>0</v>
          </cell>
          <cell r="Q309" t="str">
            <v>-</v>
          </cell>
          <cell r="R309">
            <v>0</v>
          </cell>
          <cell r="S309" t="b">
            <v>1</v>
          </cell>
        </row>
        <row r="310">
          <cell r="A310">
            <v>309</v>
          </cell>
          <cell r="B310">
            <v>44806.676412037035</v>
          </cell>
          <cell r="C310" t="str">
            <v>INV(BAL) / 2022-2023 / 17269</v>
          </cell>
          <cell r="D310" t="str">
            <v>RETAIL</v>
          </cell>
          <cell r="E310">
            <v>500305.86</v>
          </cell>
          <cell r="F310">
            <v>0</v>
          </cell>
          <cell r="G310">
            <v>582.6</v>
          </cell>
          <cell r="H310">
            <v>0</v>
          </cell>
          <cell r="I310">
            <v>98571.56</v>
          </cell>
          <cell r="J310">
            <v>34500.050000000003</v>
          </cell>
          <cell r="K310">
            <v>1331</v>
          </cell>
          <cell r="L310">
            <v>134402.60999999999</v>
          </cell>
          <cell r="M310">
            <v>365903.25</v>
          </cell>
          <cell r="N310">
            <v>2022</v>
          </cell>
          <cell r="O310">
            <v>0.35000004057965606</v>
          </cell>
          <cell r="P310">
            <v>1.3502880546883908E-2</v>
          </cell>
          <cell r="Q310" t="str">
            <v>Beer</v>
          </cell>
          <cell r="R310">
            <v>582.6</v>
          </cell>
          <cell r="S310" t="b">
            <v>1</v>
          </cell>
        </row>
        <row r="311">
          <cell r="A311">
            <v>310</v>
          </cell>
          <cell r="B311">
            <v>44806.678159722222</v>
          </cell>
          <cell r="C311" t="str">
            <v>INV(BAL) / 2022-2023 / 17270</v>
          </cell>
          <cell r="D311" t="str">
            <v>RETAIL</v>
          </cell>
          <cell r="E311">
            <v>365903.25</v>
          </cell>
          <cell r="F311">
            <v>0</v>
          </cell>
          <cell r="G311">
            <v>0</v>
          </cell>
          <cell r="H311">
            <v>287.97000000000003</v>
          </cell>
          <cell r="I311">
            <v>268260.88</v>
          </cell>
          <cell r="J311">
            <v>93891.31</v>
          </cell>
          <cell r="K311">
            <v>3622</v>
          </cell>
          <cell r="L311">
            <v>365774.19</v>
          </cell>
          <cell r="M311">
            <v>129.06</v>
          </cell>
          <cell r="N311">
            <v>2022</v>
          </cell>
          <cell r="O311">
            <v>0.3500000074554292</v>
          </cell>
          <cell r="P311">
            <v>1.3501782294906362E-2</v>
          </cell>
          <cell r="Q311" t="str">
            <v>Liquor</v>
          </cell>
          <cell r="R311">
            <v>383.96000000000004</v>
          </cell>
          <cell r="S311" t="b">
            <v>1</v>
          </cell>
        </row>
        <row r="312">
          <cell r="A312">
            <v>311</v>
          </cell>
          <cell r="B312">
            <v>44816.484699074077</v>
          </cell>
          <cell r="C312" t="str">
            <v>OSBC/BAL/MR/20415/2022-2023</v>
          </cell>
          <cell r="D312" t="str">
            <v>GOVT</v>
          </cell>
          <cell r="E312">
            <v>129.06</v>
          </cell>
          <cell r="F312">
            <v>100000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100129.06</v>
          </cell>
          <cell r="N312">
            <v>2022</v>
          </cell>
          <cell r="O312">
            <v>0</v>
          </cell>
          <cell r="P312">
            <v>0</v>
          </cell>
          <cell r="Q312" t="str">
            <v>-</v>
          </cell>
          <cell r="R312">
            <v>0</v>
          </cell>
          <cell r="S312" t="b">
            <v>1</v>
          </cell>
        </row>
        <row r="313">
          <cell r="A313">
            <v>312</v>
          </cell>
          <cell r="B313">
            <v>44816.495937500003</v>
          </cell>
          <cell r="C313" t="str">
            <v>OSBC/BAL/MR/20423/2022-2023</v>
          </cell>
          <cell r="D313" t="str">
            <v>GOVT</v>
          </cell>
          <cell r="E313">
            <v>100129.06</v>
          </cell>
          <cell r="F313">
            <v>150000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250129.06</v>
          </cell>
          <cell r="N313">
            <v>2022</v>
          </cell>
          <cell r="O313">
            <v>0</v>
          </cell>
          <cell r="P313">
            <v>0</v>
          </cell>
          <cell r="Q313" t="str">
            <v>-</v>
          </cell>
          <cell r="R313">
            <v>0</v>
          </cell>
          <cell r="S313" t="b">
            <v>1</v>
          </cell>
        </row>
        <row r="314">
          <cell r="A314">
            <v>313</v>
          </cell>
          <cell r="B314">
            <v>44816.524050925924</v>
          </cell>
          <cell r="C314" t="str">
            <v>INV(BAL) / 2022-2023 / 17977</v>
          </cell>
          <cell r="D314" t="str">
            <v>RETAIL</v>
          </cell>
          <cell r="E314">
            <v>250129.06</v>
          </cell>
          <cell r="F314">
            <v>0</v>
          </cell>
          <cell r="G314">
            <v>0</v>
          </cell>
          <cell r="H314">
            <v>211.68</v>
          </cell>
          <cell r="I314">
            <v>178174.62</v>
          </cell>
          <cell r="J314">
            <v>62361.120000000003</v>
          </cell>
          <cell r="K314">
            <v>2405</v>
          </cell>
          <cell r="L314">
            <v>242940.74</v>
          </cell>
          <cell r="M314">
            <v>7188.32</v>
          </cell>
          <cell r="N314">
            <v>2022</v>
          </cell>
          <cell r="O314">
            <v>0.35000001683741494</v>
          </cell>
          <cell r="P314">
            <v>1.3497994271013459E-2</v>
          </cell>
          <cell r="Q314" t="str">
            <v>Liquor</v>
          </cell>
          <cell r="R314">
            <v>282.24</v>
          </cell>
          <cell r="S314" t="b">
            <v>1</v>
          </cell>
        </row>
        <row r="315">
          <cell r="A315">
            <v>314</v>
          </cell>
          <cell r="B315">
            <v>44819.475138888891</v>
          </cell>
          <cell r="C315" t="str">
            <v>OSBC/BAL/MR/20754/2022-2023</v>
          </cell>
          <cell r="D315" t="str">
            <v>GOVT</v>
          </cell>
          <cell r="E315">
            <v>7188.32</v>
          </cell>
          <cell r="F315">
            <v>250000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257188.32</v>
          </cell>
          <cell r="N315">
            <v>2022</v>
          </cell>
          <cell r="O315">
            <v>0</v>
          </cell>
          <cell r="P315">
            <v>0</v>
          </cell>
          <cell r="Q315" t="str">
            <v>-</v>
          </cell>
          <cell r="R315">
            <v>0</v>
          </cell>
          <cell r="S315" t="b">
            <v>1</v>
          </cell>
        </row>
        <row r="316">
          <cell r="A316">
            <v>315</v>
          </cell>
          <cell r="B316">
            <v>44819.552372685182</v>
          </cell>
          <cell r="C316" t="str">
            <v>INV(BAL) / 2022-2023 / 18295</v>
          </cell>
          <cell r="D316" t="str">
            <v>RETAIL</v>
          </cell>
          <cell r="E316">
            <v>257188.32</v>
          </cell>
          <cell r="F316">
            <v>0</v>
          </cell>
          <cell r="G316">
            <v>0</v>
          </cell>
          <cell r="H316">
            <v>161.72</v>
          </cell>
          <cell r="I316">
            <v>137552.95000000001</v>
          </cell>
          <cell r="J316">
            <v>48143.53</v>
          </cell>
          <cell r="K316">
            <v>1857</v>
          </cell>
          <cell r="L316">
            <v>187553.48</v>
          </cell>
          <cell r="M316">
            <v>69634.84</v>
          </cell>
          <cell r="N316">
            <v>2022</v>
          </cell>
          <cell r="O316">
            <v>0.34999998182518072</v>
          </cell>
          <cell r="P316">
            <v>1.3500255719706483E-2</v>
          </cell>
          <cell r="Q316" t="str">
            <v>Liquor</v>
          </cell>
          <cell r="R316">
            <v>215.62666666666667</v>
          </cell>
          <cell r="S316" t="b">
            <v>1</v>
          </cell>
        </row>
        <row r="317">
          <cell r="A317">
            <v>316</v>
          </cell>
          <cell r="B317">
            <v>44819.637337962966</v>
          </cell>
          <cell r="C317" t="str">
            <v>INV(BAL) / 2022-2023 / 18307</v>
          </cell>
          <cell r="D317" t="str">
            <v>RETAIL</v>
          </cell>
          <cell r="E317">
            <v>69634.84</v>
          </cell>
          <cell r="F317">
            <v>0</v>
          </cell>
          <cell r="G317">
            <v>306.24</v>
          </cell>
          <cell r="H317">
            <v>0</v>
          </cell>
          <cell r="I317">
            <v>51031.8</v>
          </cell>
          <cell r="J317">
            <v>17861.13</v>
          </cell>
          <cell r="K317">
            <v>689</v>
          </cell>
          <cell r="L317">
            <v>69581.929999999993</v>
          </cell>
          <cell r="M317">
            <v>52.91</v>
          </cell>
          <cell r="N317">
            <v>2022</v>
          </cell>
          <cell r="O317">
            <v>0.35</v>
          </cell>
          <cell r="P317">
            <v>1.3501385410665506E-2</v>
          </cell>
          <cell r="Q317" t="str">
            <v>Beer</v>
          </cell>
          <cell r="R317">
            <v>306.24</v>
          </cell>
          <cell r="S317" t="b">
            <v>1</v>
          </cell>
        </row>
        <row r="318">
          <cell r="A318">
            <v>317</v>
          </cell>
          <cell r="B318">
            <v>44826.490682870368</v>
          </cell>
          <cell r="C318" t="str">
            <v>OSBC/BAL/MR/21475/2022-2023</v>
          </cell>
          <cell r="D318" t="str">
            <v>GOVT</v>
          </cell>
          <cell r="E318">
            <v>52.91</v>
          </cell>
          <cell r="F318">
            <v>300000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300052.90999999997</v>
          </cell>
          <cell r="N318">
            <v>2022</v>
          </cell>
          <cell r="O318">
            <v>0</v>
          </cell>
          <cell r="P318">
            <v>0</v>
          </cell>
          <cell r="Q318" t="str">
            <v>-</v>
          </cell>
          <cell r="R318">
            <v>0</v>
          </cell>
          <cell r="S318" t="b">
            <v>1</v>
          </cell>
        </row>
        <row r="319">
          <cell r="A319">
            <v>318</v>
          </cell>
          <cell r="B319">
            <v>44826.66170138889</v>
          </cell>
          <cell r="C319" t="str">
            <v>INV(BAL) / 2022-2023 / 18889</v>
          </cell>
          <cell r="D319" t="str">
            <v>RETAIL</v>
          </cell>
          <cell r="E319">
            <v>300052.90999999997</v>
          </cell>
          <cell r="F319">
            <v>0</v>
          </cell>
          <cell r="G319">
            <v>326.39999999999998</v>
          </cell>
          <cell r="H319">
            <v>0</v>
          </cell>
          <cell r="I319">
            <v>52539.76</v>
          </cell>
          <cell r="J319">
            <v>18388.919999999998</v>
          </cell>
          <cell r="K319">
            <v>709</v>
          </cell>
          <cell r="L319">
            <v>71637.679999999993</v>
          </cell>
          <cell r="M319">
            <v>228415.23</v>
          </cell>
          <cell r="N319">
            <v>2022</v>
          </cell>
          <cell r="O319">
            <v>0.35000007613281825</v>
          </cell>
          <cell r="P319">
            <v>1.3494542038258263E-2</v>
          </cell>
          <cell r="Q319" t="str">
            <v>Beer</v>
          </cell>
          <cell r="R319">
            <v>326.39999999999998</v>
          </cell>
          <cell r="S319" t="b">
            <v>1</v>
          </cell>
        </row>
        <row r="320">
          <cell r="A320">
            <v>319</v>
          </cell>
          <cell r="B320">
            <v>44826.67869212963</v>
          </cell>
          <cell r="C320" t="str">
            <v>INV(BAL) / 2022-2023 / 18897</v>
          </cell>
          <cell r="D320" t="str">
            <v>RETAIL</v>
          </cell>
          <cell r="E320">
            <v>228415.23</v>
          </cell>
          <cell r="F320">
            <v>0</v>
          </cell>
          <cell r="G320">
            <v>0</v>
          </cell>
          <cell r="H320">
            <v>188.33</v>
          </cell>
          <cell r="I320">
            <v>158759.26999999999</v>
          </cell>
          <cell r="J320">
            <v>55565.74</v>
          </cell>
          <cell r="K320">
            <v>2143</v>
          </cell>
          <cell r="L320">
            <v>216468.01</v>
          </cell>
          <cell r="M320">
            <v>11947.22</v>
          </cell>
          <cell r="N320">
            <v>2022</v>
          </cell>
          <cell r="O320">
            <v>0.34999997165519847</v>
          </cell>
          <cell r="P320">
            <v>1.3498424375471114E-2</v>
          </cell>
          <cell r="Q320" t="str">
            <v>Liquor</v>
          </cell>
          <cell r="R320">
            <v>251.10666666666668</v>
          </cell>
          <cell r="S320" t="b">
            <v>1</v>
          </cell>
        </row>
        <row r="321">
          <cell r="A321">
            <v>320</v>
          </cell>
          <cell r="B321">
            <v>44833.412777777776</v>
          </cell>
          <cell r="C321" t="str">
            <v>OSBC/BAL/MR/22121/2022-2023</v>
          </cell>
          <cell r="D321" t="str">
            <v>GOVT</v>
          </cell>
          <cell r="E321">
            <v>11947.22</v>
          </cell>
          <cell r="F321">
            <v>92000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103947.22</v>
          </cell>
          <cell r="N321">
            <v>2022</v>
          </cell>
          <cell r="O321">
            <v>0</v>
          </cell>
          <cell r="P321">
            <v>0</v>
          </cell>
          <cell r="Q321" t="str">
            <v>-</v>
          </cell>
          <cell r="R321">
            <v>0</v>
          </cell>
          <cell r="S321" t="b">
            <v>1</v>
          </cell>
        </row>
        <row r="322">
          <cell r="A322">
            <v>321</v>
          </cell>
          <cell r="B322">
            <v>44833.49417824074</v>
          </cell>
          <cell r="C322" t="str">
            <v>INV(BAL) / 2022-2023 / 19390</v>
          </cell>
          <cell r="D322" t="str">
            <v>RETAIL</v>
          </cell>
          <cell r="E322">
            <v>103947.22</v>
          </cell>
          <cell r="F322">
            <v>0</v>
          </cell>
          <cell r="G322">
            <v>406.32</v>
          </cell>
          <cell r="H322">
            <v>0</v>
          </cell>
          <cell r="I322">
            <v>66349.289999999994</v>
          </cell>
          <cell r="J322">
            <v>23222.27</v>
          </cell>
          <cell r="K322">
            <v>896</v>
          </cell>
          <cell r="L322">
            <v>90467.56</v>
          </cell>
          <cell r="M322">
            <v>13479.66</v>
          </cell>
          <cell r="N322">
            <v>2022</v>
          </cell>
          <cell r="O322">
            <v>0.3500002788273997</v>
          </cell>
          <cell r="P322">
            <v>1.3504289194353099E-2</v>
          </cell>
          <cell r="Q322" t="str">
            <v>Beer</v>
          </cell>
          <cell r="R322">
            <v>406.32</v>
          </cell>
          <cell r="S322" t="b">
            <v>1</v>
          </cell>
        </row>
        <row r="323">
          <cell r="A323">
            <v>322</v>
          </cell>
          <cell r="B323">
            <v>44835.466944444444</v>
          </cell>
          <cell r="C323" t="str">
            <v>OSBC/BAL/MR/22491/2022-2023</v>
          </cell>
          <cell r="D323" t="str">
            <v>GOVT</v>
          </cell>
          <cell r="E323">
            <v>13479.66</v>
          </cell>
          <cell r="F323">
            <v>185000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198479.66</v>
          </cell>
          <cell r="N323">
            <v>2022</v>
          </cell>
          <cell r="O323">
            <v>0</v>
          </cell>
          <cell r="P323">
            <v>0</v>
          </cell>
          <cell r="Q323" t="str">
            <v>-</v>
          </cell>
          <cell r="R323">
            <v>0</v>
          </cell>
          <cell r="S323" t="b">
            <v>1</v>
          </cell>
        </row>
        <row r="324">
          <cell r="A324">
            <v>323</v>
          </cell>
          <cell r="B324">
            <v>44835.505254629628</v>
          </cell>
          <cell r="C324" t="str">
            <v>INV(BAL) / 2022-2023 / 19651</v>
          </cell>
          <cell r="D324" t="str">
            <v>RETAIL</v>
          </cell>
          <cell r="E324">
            <v>198479.66</v>
          </cell>
          <cell r="F324">
            <v>0</v>
          </cell>
          <cell r="G324">
            <v>0</v>
          </cell>
          <cell r="H324">
            <v>166.05</v>
          </cell>
          <cell r="I324">
            <v>144523.85999999999</v>
          </cell>
          <cell r="J324">
            <v>50583.35</v>
          </cell>
          <cell r="K324">
            <v>1951</v>
          </cell>
          <cell r="L324">
            <v>197058.21</v>
          </cell>
          <cell r="M324">
            <v>1421.45</v>
          </cell>
          <cell r="N324">
            <v>2022</v>
          </cell>
          <cell r="O324">
            <v>0.34999999308072732</v>
          </cell>
          <cell r="P324">
            <v>1.3499501051245104E-2</v>
          </cell>
          <cell r="Q324" t="str">
            <v>Liquor</v>
          </cell>
          <cell r="R324">
            <v>221.4</v>
          </cell>
          <cell r="S324" t="b">
            <v>1</v>
          </cell>
        </row>
        <row r="325">
          <cell r="A325">
            <v>324</v>
          </cell>
          <cell r="B325">
            <v>44841.318414351852</v>
          </cell>
          <cell r="C325" t="str">
            <v>OSBC/BAL/MR/22731/2022-2023</v>
          </cell>
          <cell r="D325" t="str">
            <v>GOVT</v>
          </cell>
          <cell r="E325">
            <v>1421.45</v>
          </cell>
          <cell r="F325">
            <v>100000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101421.45</v>
          </cell>
          <cell r="N325">
            <v>2022</v>
          </cell>
          <cell r="O325">
            <v>0</v>
          </cell>
          <cell r="P325">
            <v>0</v>
          </cell>
          <cell r="Q325" t="str">
            <v>-</v>
          </cell>
          <cell r="R325">
            <v>0</v>
          </cell>
          <cell r="S325" t="b">
            <v>1</v>
          </cell>
        </row>
        <row r="326">
          <cell r="A326">
            <v>325</v>
          </cell>
          <cell r="B326">
            <v>44841.422500000001</v>
          </cell>
          <cell r="C326" t="str">
            <v>INV(BAL) / 2022-2023 / 19851</v>
          </cell>
          <cell r="D326" t="str">
            <v>RETAIL</v>
          </cell>
          <cell r="E326">
            <v>101421.45</v>
          </cell>
          <cell r="F326">
            <v>0</v>
          </cell>
          <cell r="G326">
            <v>444.72</v>
          </cell>
          <cell r="H326">
            <v>0</v>
          </cell>
          <cell r="I326">
            <v>74047.7</v>
          </cell>
          <cell r="J326">
            <v>25916.7</v>
          </cell>
          <cell r="K326">
            <v>1000</v>
          </cell>
          <cell r="L326">
            <v>100964.4</v>
          </cell>
          <cell r="M326">
            <v>457.05</v>
          </cell>
          <cell r="N326">
            <v>2022</v>
          </cell>
          <cell r="O326">
            <v>0.35000006752404195</v>
          </cell>
          <cell r="P326">
            <v>1.3504808387026201E-2</v>
          </cell>
          <cell r="Q326" t="str">
            <v>Beer</v>
          </cell>
          <cell r="R326">
            <v>444.72</v>
          </cell>
          <cell r="S326" t="b">
            <v>1</v>
          </cell>
        </row>
        <row r="327">
          <cell r="A327">
            <v>326</v>
          </cell>
          <cell r="B327">
            <v>44845.483680555553</v>
          </cell>
          <cell r="C327" t="str">
            <v>OSBC/BAL/MR/23195/2022-2023</v>
          </cell>
          <cell r="D327" t="str">
            <v>GOVT</v>
          </cell>
          <cell r="E327">
            <v>457.05</v>
          </cell>
          <cell r="F327">
            <v>499500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499957.05</v>
          </cell>
          <cell r="N327">
            <v>2022</v>
          </cell>
          <cell r="O327">
            <v>0</v>
          </cell>
          <cell r="P327">
            <v>0</v>
          </cell>
          <cell r="Q327" t="str">
            <v>-</v>
          </cell>
          <cell r="R327">
            <v>0</v>
          </cell>
          <cell r="S327" t="b">
            <v>1</v>
          </cell>
        </row>
        <row r="328">
          <cell r="A328">
            <v>327</v>
          </cell>
          <cell r="B328">
            <v>44845.642071759263</v>
          </cell>
          <cell r="C328" t="str">
            <v>INV(BAL) / 2022-2023 / 20204</v>
          </cell>
          <cell r="D328" t="str">
            <v>RETAIL</v>
          </cell>
          <cell r="E328">
            <v>499957.05</v>
          </cell>
          <cell r="F328">
            <v>0</v>
          </cell>
          <cell r="G328">
            <v>0</v>
          </cell>
          <cell r="H328">
            <v>417.22</v>
          </cell>
          <cell r="I328">
            <v>366031.84</v>
          </cell>
          <cell r="J328">
            <v>128111.14</v>
          </cell>
          <cell r="K328">
            <v>4941</v>
          </cell>
          <cell r="L328">
            <v>499083.98</v>
          </cell>
          <cell r="M328">
            <v>873.07</v>
          </cell>
          <cell r="N328">
            <v>2022</v>
          </cell>
          <cell r="O328">
            <v>0.34999998907198893</v>
          </cell>
          <cell r="P328">
            <v>1.3498825675930267E-2</v>
          </cell>
          <cell r="Q328" t="str">
            <v>Liquor</v>
          </cell>
          <cell r="R328">
            <v>556.29333333333341</v>
          </cell>
          <cell r="S328" t="b">
            <v>1</v>
          </cell>
        </row>
        <row r="329">
          <cell r="A329">
            <v>328</v>
          </cell>
          <cell r="B329">
            <v>44856.474953703706</v>
          </cell>
          <cell r="C329" t="str">
            <v>OSBC/BAL/MR/24347/2022-2023</v>
          </cell>
          <cell r="D329" t="str">
            <v>GOVT</v>
          </cell>
          <cell r="E329">
            <v>873.07</v>
          </cell>
          <cell r="F329">
            <v>50000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50873.07</v>
          </cell>
          <cell r="N329">
            <v>2022</v>
          </cell>
          <cell r="O329">
            <v>0</v>
          </cell>
          <cell r="P329">
            <v>0</v>
          </cell>
          <cell r="Q329" t="str">
            <v>-</v>
          </cell>
          <cell r="R329">
            <v>0</v>
          </cell>
          <cell r="S329" t="b">
            <v>1</v>
          </cell>
        </row>
        <row r="330">
          <cell r="A330">
            <v>329</v>
          </cell>
          <cell r="B330">
            <v>44856.479247685187</v>
          </cell>
          <cell r="C330" t="str">
            <v>OSBC/BAL/MR/24354/2022-2023</v>
          </cell>
          <cell r="D330" t="str">
            <v>GOVT</v>
          </cell>
          <cell r="E330">
            <v>50873.07</v>
          </cell>
          <cell r="F330">
            <v>9000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59873.07</v>
          </cell>
          <cell r="N330">
            <v>2022</v>
          </cell>
          <cell r="O330">
            <v>0</v>
          </cell>
          <cell r="P330">
            <v>0</v>
          </cell>
          <cell r="Q330" t="str">
            <v>-</v>
          </cell>
          <cell r="R330">
            <v>0</v>
          </cell>
          <cell r="S330" t="b">
            <v>1</v>
          </cell>
        </row>
        <row r="331">
          <cell r="A331">
            <v>330</v>
          </cell>
          <cell r="B331">
            <v>44856.643645833334</v>
          </cell>
          <cell r="C331" t="str">
            <v>INV(BAL) / 2022-2023 / 21111</v>
          </cell>
          <cell r="D331" t="str">
            <v>RETAIL</v>
          </cell>
          <cell r="E331">
            <v>59873.07</v>
          </cell>
          <cell r="F331">
            <v>0</v>
          </cell>
          <cell r="G331">
            <v>0</v>
          </cell>
          <cell r="H331">
            <v>51.84</v>
          </cell>
          <cell r="I331">
            <v>43492.08</v>
          </cell>
          <cell r="J331">
            <v>15222.23</v>
          </cell>
          <cell r="K331">
            <v>587</v>
          </cell>
          <cell r="L331">
            <v>59301.31</v>
          </cell>
          <cell r="M331">
            <v>571.76</v>
          </cell>
          <cell r="N331">
            <v>2022</v>
          </cell>
          <cell r="O331">
            <v>0.35000004598538398</v>
          </cell>
          <cell r="P331">
            <v>1.3496710205628242E-2</v>
          </cell>
          <cell r="Q331" t="str">
            <v>Liquor</v>
          </cell>
          <cell r="R331">
            <v>69.12</v>
          </cell>
          <cell r="S331" t="b">
            <v>1</v>
          </cell>
        </row>
        <row r="332">
          <cell r="A332">
            <v>331</v>
          </cell>
          <cell r="B332">
            <v>44866.461076388892</v>
          </cell>
          <cell r="C332" t="str">
            <v>OSBC/BAL/MR/25196/2022-2023</v>
          </cell>
          <cell r="D332" t="str">
            <v>GOVT</v>
          </cell>
          <cell r="E332">
            <v>571.76</v>
          </cell>
          <cell r="F332">
            <v>118000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118571.76</v>
          </cell>
          <cell r="N332">
            <v>2022</v>
          </cell>
          <cell r="O332">
            <v>0</v>
          </cell>
          <cell r="P332">
            <v>0</v>
          </cell>
          <cell r="Q332" t="str">
            <v>-</v>
          </cell>
          <cell r="R332">
            <v>0</v>
          </cell>
          <cell r="S332" t="b">
            <v>1</v>
          </cell>
        </row>
        <row r="333">
          <cell r="A333">
            <v>332</v>
          </cell>
          <cell r="B333">
            <v>44866.507060185184</v>
          </cell>
          <cell r="C333" t="str">
            <v>INV(BAL) / 2022-2023 / 21780</v>
          </cell>
          <cell r="D333" t="str">
            <v>RETAIL</v>
          </cell>
          <cell r="E333">
            <v>118571.76</v>
          </cell>
          <cell r="F333">
            <v>0</v>
          </cell>
          <cell r="G333">
            <v>0</v>
          </cell>
          <cell r="H333">
            <v>97.47</v>
          </cell>
          <cell r="I333">
            <v>86904.79</v>
          </cell>
          <cell r="J333">
            <v>30416.68</v>
          </cell>
          <cell r="K333">
            <v>1173</v>
          </cell>
          <cell r="L333">
            <v>118494.47</v>
          </cell>
          <cell r="M333">
            <v>77.290000000000006</v>
          </cell>
          <cell r="N333">
            <v>2022</v>
          </cell>
          <cell r="O333">
            <v>0.35000004027395959</v>
          </cell>
          <cell r="P333">
            <v>1.349752988299034E-2</v>
          </cell>
          <cell r="Q333" t="str">
            <v>Liquor</v>
          </cell>
          <cell r="R333">
            <v>129.96</v>
          </cell>
          <cell r="S333" t="b">
            <v>1</v>
          </cell>
        </row>
        <row r="334">
          <cell r="A334">
            <v>333</v>
          </cell>
          <cell r="B334">
            <v>44872.492326388892</v>
          </cell>
          <cell r="C334" t="str">
            <v>OSBC/BAL/MR/25670/2022-2023</v>
          </cell>
          <cell r="D334" t="str">
            <v>GOVT</v>
          </cell>
          <cell r="E334">
            <v>77.290000000000006</v>
          </cell>
          <cell r="F334">
            <v>237000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237077.29</v>
          </cell>
          <cell r="N334">
            <v>2022</v>
          </cell>
          <cell r="O334">
            <v>0</v>
          </cell>
          <cell r="P334">
            <v>0</v>
          </cell>
          <cell r="Q334" t="str">
            <v>-</v>
          </cell>
          <cell r="R334">
            <v>0</v>
          </cell>
          <cell r="S334" t="b">
            <v>1</v>
          </cell>
        </row>
        <row r="335">
          <cell r="A335">
            <v>334</v>
          </cell>
          <cell r="B335">
            <v>44872.631493055553</v>
          </cell>
          <cell r="C335" t="str">
            <v>INV(BAL) / 2022-2023 / 22078</v>
          </cell>
          <cell r="D335" t="str">
            <v>RETAIL</v>
          </cell>
          <cell r="E335">
            <v>237077.29</v>
          </cell>
          <cell r="F335">
            <v>0</v>
          </cell>
          <cell r="G335">
            <v>0</v>
          </cell>
          <cell r="H335">
            <v>196.33</v>
          </cell>
          <cell r="I335">
            <v>170337.35</v>
          </cell>
          <cell r="J335">
            <v>59618.07</v>
          </cell>
          <cell r="K335">
            <v>2300</v>
          </cell>
          <cell r="L335">
            <v>232255.42</v>
          </cell>
          <cell r="M335">
            <v>4821.87</v>
          </cell>
          <cell r="N335">
            <v>2022</v>
          </cell>
          <cell r="O335">
            <v>0.34999998532324239</v>
          </cell>
          <cell r="P335">
            <v>1.3502617012651659E-2</v>
          </cell>
          <cell r="Q335" t="str">
            <v>Liquor</v>
          </cell>
          <cell r="R335">
            <v>261.77333333333337</v>
          </cell>
          <cell r="S335" t="b">
            <v>1</v>
          </cell>
        </row>
        <row r="336">
          <cell r="A336">
            <v>335</v>
          </cell>
          <cell r="B336">
            <v>44876.458032407405</v>
          </cell>
          <cell r="C336" t="str">
            <v>OSBC/BAL/MR/26024/2022-2023</v>
          </cell>
          <cell r="D336" t="str">
            <v>GOVT</v>
          </cell>
          <cell r="E336">
            <v>4821.87</v>
          </cell>
          <cell r="F336">
            <v>260000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264821.87</v>
          </cell>
          <cell r="N336">
            <v>2022</v>
          </cell>
          <cell r="O336">
            <v>0</v>
          </cell>
          <cell r="P336">
            <v>0</v>
          </cell>
          <cell r="Q336" t="str">
            <v>-</v>
          </cell>
          <cell r="R336">
            <v>0</v>
          </cell>
          <cell r="S336" t="b">
            <v>1</v>
          </cell>
        </row>
        <row r="337">
          <cell r="A337">
            <v>336</v>
          </cell>
          <cell r="B337">
            <v>44876.675300925926</v>
          </cell>
          <cell r="C337" t="str">
            <v>INV(BAL) / 2022-2023 / 22428</v>
          </cell>
          <cell r="D337" t="str">
            <v>RETAIL</v>
          </cell>
          <cell r="E337">
            <v>264821.87</v>
          </cell>
          <cell r="F337">
            <v>0</v>
          </cell>
          <cell r="G337">
            <v>0</v>
          </cell>
          <cell r="H337">
            <v>159.02000000000001</v>
          </cell>
          <cell r="I337">
            <v>135994.28</v>
          </cell>
          <cell r="J337">
            <v>47598</v>
          </cell>
          <cell r="K337">
            <v>1836</v>
          </cell>
          <cell r="L337">
            <v>185428.28</v>
          </cell>
          <cell r="M337">
            <v>79393.59</v>
          </cell>
          <cell r="N337">
            <v>2022</v>
          </cell>
          <cell r="O337">
            <v>0.35000001470650088</v>
          </cell>
          <cell r="P337">
            <v>1.3500567817999404E-2</v>
          </cell>
          <cell r="Q337" t="str">
            <v>Liquor</v>
          </cell>
          <cell r="R337">
            <v>212.02666666666667</v>
          </cell>
          <cell r="S337" t="b">
            <v>1</v>
          </cell>
        </row>
        <row r="338">
          <cell r="A338">
            <v>337</v>
          </cell>
          <cell r="B338">
            <v>44876.676006944443</v>
          </cell>
          <cell r="C338" t="str">
            <v>INV(BAL) / 2022-2023 / 22429</v>
          </cell>
          <cell r="D338" t="str">
            <v>RETAIL</v>
          </cell>
          <cell r="E338">
            <v>79393.59</v>
          </cell>
          <cell r="F338">
            <v>0</v>
          </cell>
          <cell r="G338">
            <v>330</v>
          </cell>
          <cell r="H338">
            <v>0</v>
          </cell>
          <cell r="I338">
            <v>57936.53</v>
          </cell>
          <cell r="J338">
            <v>20277.79</v>
          </cell>
          <cell r="K338">
            <v>782</v>
          </cell>
          <cell r="L338">
            <v>78996.320000000007</v>
          </cell>
          <cell r="M338">
            <v>397.27</v>
          </cell>
          <cell r="N338">
            <v>2022</v>
          </cell>
          <cell r="O338">
            <v>0.35000007767120334</v>
          </cell>
          <cell r="P338">
            <v>1.3497529106420422E-2</v>
          </cell>
          <cell r="Q338" t="str">
            <v>Beer</v>
          </cell>
          <cell r="R338">
            <v>330</v>
          </cell>
          <cell r="S338" t="b">
            <v>1</v>
          </cell>
        </row>
        <row r="339">
          <cell r="A339">
            <v>338</v>
          </cell>
          <cell r="B339">
            <v>44880.470601851855</v>
          </cell>
          <cell r="C339" t="str">
            <v>OSBC/BAL/MR/26378/2022-2023</v>
          </cell>
          <cell r="D339" t="str">
            <v>GOVT</v>
          </cell>
          <cell r="E339">
            <v>397.27</v>
          </cell>
          <cell r="F339">
            <v>300000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300397.27</v>
          </cell>
          <cell r="N339">
            <v>2022</v>
          </cell>
          <cell r="O339">
            <v>0</v>
          </cell>
          <cell r="P339">
            <v>0</v>
          </cell>
          <cell r="Q339" t="str">
            <v>-</v>
          </cell>
          <cell r="R339">
            <v>0</v>
          </cell>
          <cell r="S339" t="b">
            <v>1</v>
          </cell>
        </row>
        <row r="340">
          <cell r="A340">
            <v>339</v>
          </cell>
          <cell r="B340">
            <v>44880.652453703704</v>
          </cell>
          <cell r="C340" t="str">
            <v>INV(BAL) / 2022-2023 / 22670</v>
          </cell>
          <cell r="D340" t="str">
            <v>RETAIL</v>
          </cell>
          <cell r="E340">
            <v>300397.27</v>
          </cell>
          <cell r="F340">
            <v>0</v>
          </cell>
          <cell r="G340">
            <v>0</v>
          </cell>
          <cell r="H340">
            <v>243</v>
          </cell>
          <cell r="I340">
            <v>218412.75</v>
          </cell>
          <cell r="J340">
            <v>76444.460000000006</v>
          </cell>
          <cell r="K340">
            <v>2949</v>
          </cell>
          <cell r="L340">
            <v>297806.21000000002</v>
          </cell>
          <cell r="M340">
            <v>2591.06</v>
          </cell>
          <cell r="N340">
            <v>2022</v>
          </cell>
          <cell r="O340">
            <v>0.34999998855378178</v>
          </cell>
          <cell r="P340">
            <v>1.3501959020249504E-2</v>
          </cell>
          <cell r="Q340" t="str">
            <v>Liquor</v>
          </cell>
          <cell r="R340">
            <v>324</v>
          </cell>
          <cell r="S340" t="b">
            <v>1</v>
          </cell>
        </row>
        <row r="341">
          <cell r="A341">
            <v>340</v>
          </cell>
          <cell r="B341">
            <v>44882.450254629628</v>
          </cell>
          <cell r="C341" t="str">
            <v>OSBC/BAL/MR/26541/2022-2023</v>
          </cell>
          <cell r="D341" t="str">
            <v>GOVT</v>
          </cell>
          <cell r="E341">
            <v>2591.06</v>
          </cell>
          <cell r="F341">
            <v>190000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192591.06</v>
          </cell>
          <cell r="N341">
            <v>2022</v>
          </cell>
          <cell r="O341">
            <v>0</v>
          </cell>
          <cell r="P341">
            <v>0</v>
          </cell>
          <cell r="Q341" t="str">
            <v>-</v>
          </cell>
          <cell r="R341">
            <v>0</v>
          </cell>
          <cell r="S341" t="b">
            <v>1</v>
          </cell>
        </row>
        <row r="342">
          <cell r="A342">
            <v>341</v>
          </cell>
          <cell r="B342">
            <v>44882.542824074073</v>
          </cell>
          <cell r="C342" t="str">
            <v>INV(BAL) / 2022-2023 / 22783</v>
          </cell>
          <cell r="D342" t="str">
            <v>RETAIL</v>
          </cell>
          <cell r="E342">
            <v>192591.06</v>
          </cell>
          <cell r="F342">
            <v>0</v>
          </cell>
          <cell r="G342">
            <v>0</v>
          </cell>
          <cell r="H342">
            <v>169.06</v>
          </cell>
          <cell r="I342">
            <v>139980.20000000001</v>
          </cell>
          <cell r="J342">
            <v>48993.07</v>
          </cell>
          <cell r="K342">
            <v>1890</v>
          </cell>
          <cell r="L342">
            <v>190863.27</v>
          </cell>
          <cell r="M342">
            <v>1727.79</v>
          </cell>
          <cell r="N342">
            <v>2022</v>
          </cell>
          <cell r="O342">
            <v>0.35</v>
          </cell>
          <cell r="P342">
            <v>1.3501909555780031E-2</v>
          </cell>
          <cell r="Q342" t="str">
            <v>Liquor</v>
          </cell>
          <cell r="R342">
            <v>225.41333333333333</v>
          </cell>
          <cell r="S342" t="b">
            <v>1</v>
          </cell>
        </row>
        <row r="343">
          <cell r="A343">
            <v>342</v>
          </cell>
          <cell r="B343">
            <v>44884.499374999999</v>
          </cell>
          <cell r="C343" t="str">
            <v>OSBC/BAL/MR/26798/2022-2023</v>
          </cell>
          <cell r="D343" t="str">
            <v>GOVT</v>
          </cell>
          <cell r="E343">
            <v>1727.79</v>
          </cell>
          <cell r="F343">
            <v>200000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201727.79</v>
          </cell>
          <cell r="N343">
            <v>2022</v>
          </cell>
          <cell r="O343">
            <v>0</v>
          </cell>
          <cell r="P343">
            <v>0</v>
          </cell>
          <cell r="Q343" t="str">
            <v>-</v>
          </cell>
          <cell r="R343">
            <v>0</v>
          </cell>
          <cell r="S343" t="b">
            <v>1</v>
          </cell>
        </row>
        <row r="344">
          <cell r="A344">
            <v>343</v>
          </cell>
          <cell r="B344">
            <v>44888.429224537038</v>
          </cell>
          <cell r="C344" t="str">
            <v>OSBC/BAL/MR/27069/2022-2023</v>
          </cell>
          <cell r="D344" t="str">
            <v>GOVT</v>
          </cell>
          <cell r="E344">
            <v>201727.79</v>
          </cell>
          <cell r="F344">
            <v>55000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256727.79</v>
          </cell>
          <cell r="N344">
            <v>2022</v>
          </cell>
          <cell r="O344">
            <v>0</v>
          </cell>
          <cell r="P344">
            <v>0</v>
          </cell>
          <cell r="Q344" t="str">
            <v>-</v>
          </cell>
          <cell r="R344">
            <v>0</v>
          </cell>
          <cell r="S344" t="b">
            <v>1</v>
          </cell>
        </row>
        <row r="345">
          <cell r="A345">
            <v>344</v>
          </cell>
          <cell r="B345">
            <v>44888.504571759258</v>
          </cell>
          <cell r="C345" t="str">
            <v>INV(BAL) / 2022-2023 / 23165</v>
          </cell>
          <cell r="D345" t="str">
            <v>RETAIL</v>
          </cell>
          <cell r="E345">
            <v>256727.79</v>
          </cell>
          <cell r="F345">
            <v>0</v>
          </cell>
          <cell r="G345">
            <v>0</v>
          </cell>
          <cell r="H345">
            <v>171.72</v>
          </cell>
          <cell r="I345">
            <v>146269.89000000001</v>
          </cell>
          <cell r="J345">
            <v>51194.46</v>
          </cell>
          <cell r="K345">
            <v>1975</v>
          </cell>
          <cell r="L345">
            <v>199439.35</v>
          </cell>
          <cell r="M345">
            <v>57288.44</v>
          </cell>
          <cell r="N345">
            <v>2022</v>
          </cell>
          <cell r="O345">
            <v>0.34999998974498436</v>
          </cell>
          <cell r="P345">
            <v>1.3502437172818E-2</v>
          </cell>
          <cell r="Q345" t="str">
            <v>Liquor</v>
          </cell>
          <cell r="R345">
            <v>228.96</v>
          </cell>
          <cell r="S345" t="b">
            <v>1</v>
          </cell>
        </row>
        <row r="346">
          <cell r="A346">
            <v>345</v>
          </cell>
          <cell r="B346">
            <v>44888.50509259259</v>
          </cell>
          <cell r="C346" t="str">
            <v>INV(BAL) / 2022-2023 / 23167</v>
          </cell>
          <cell r="D346" t="str">
            <v>RETAIL</v>
          </cell>
          <cell r="E346">
            <v>57288.44</v>
          </cell>
          <cell r="F346">
            <v>0</v>
          </cell>
          <cell r="G346">
            <v>252</v>
          </cell>
          <cell r="H346">
            <v>0</v>
          </cell>
          <cell r="I346">
            <v>41904.81</v>
          </cell>
          <cell r="J346">
            <v>14666.68</v>
          </cell>
          <cell r="K346">
            <v>566</v>
          </cell>
          <cell r="L346">
            <v>57137.49</v>
          </cell>
          <cell r="M346">
            <v>150.94999999999999</v>
          </cell>
          <cell r="N346">
            <v>2022</v>
          </cell>
          <cell r="O346">
            <v>0.34999991647736861</v>
          </cell>
          <cell r="P346">
            <v>1.3506802679692381E-2</v>
          </cell>
          <cell r="Q346" t="str">
            <v>Beer</v>
          </cell>
          <cell r="R346">
            <v>252</v>
          </cell>
          <cell r="S346" t="b">
            <v>1</v>
          </cell>
        </row>
        <row r="347">
          <cell r="A347">
            <v>346</v>
          </cell>
          <cell r="B347">
            <v>44896.498611111114</v>
          </cell>
          <cell r="C347" t="str">
            <v>OSBC/BAL/MR/27866/2022-2023</v>
          </cell>
          <cell r="D347" t="str">
            <v>GOVT</v>
          </cell>
          <cell r="E347">
            <v>150.94999999999999</v>
          </cell>
          <cell r="F347">
            <v>250000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250150.95</v>
          </cell>
          <cell r="N347">
            <v>2022</v>
          </cell>
          <cell r="O347">
            <v>0</v>
          </cell>
          <cell r="P347">
            <v>0</v>
          </cell>
          <cell r="Q347" t="str">
            <v>-</v>
          </cell>
          <cell r="R347">
            <v>0</v>
          </cell>
          <cell r="S347" t="b">
            <v>1</v>
          </cell>
        </row>
        <row r="348">
          <cell r="A348">
            <v>347</v>
          </cell>
          <cell r="B348">
            <v>44896.50068287037</v>
          </cell>
          <cell r="C348" t="str">
            <v>OSBC/BAL/MR/27867/2022-2023</v>
          </cell>
          <cell r="D348" t="str">
            <v>GOVT</v>
          </cell>
          <cell r="E348">
            <v>250150.95</v>
          </cell>
          <cell r="F348">
            <v>100000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350150.95</v>
          </cell>
          <cell r="N348">
            <v>2022</v>
          </cell>
          <cell r="O348">
            <v>0</v>
          </cell>
          <cell r="P348">
            <v>0</v>
          </cell>
          <cell r="Q348" t="str">
            <v>-</v>
          </cell>
          <cell r="R348">
            <v>0</v>
          </cell>
          <cell r="S348" t="b">
            <v>1</v>
          </cell>
        </row>
        <row r="349">
          <cell r="A349">
            <v>348</v>
          </cell>
          <cell r="B349">
            <v>44897.486608796295</v>
          </cell>
          <cell r="C349" t="str">
            <v>INV(BAL) / 2022-2023 / 23760</v>
          </cell>
          <cell r="D349" t="str">
            <v>RETAIL</v>
          </cell>
          <cell r="E349">
            <v>350150.95</v>
          </cell>
          <cell r="F349">
            <v>0</v>
          </cell>
          <cell r="G349">
            <v>0</v>
          </cell>
          <cell r="H349">
            <v>301.19</v>
          </cell>
          <cell r="I349">
            <v>255614.9</v>
          </cell>
          <cell r="J349">
            <v>89465.21</v>
          </cell>
          <cell r="K349">
            <v>3451</v>
          </cell>
          <cell r="L349">
            <v>348531.11</v>
          </cell>
          <cell r="M349">
            <v>1619.84</v>
          </cell>
          <cell r="N349">
            <v>2022</v>
          </cell>
          <cell r="O349">
            <v>0.34999998043932495</v>
          </cell>
          <cell r="P349">
            <v>1.3500777928047231E-2</v>
          </cell>
          <cell r="Q349" t="str">
            <v>Liquor</v>
          </cell>
          <cell r="R349">
            <v>401.58666666666664</v>
          </cell>
          <cell r="S349" t="b">
            <v>1</v>
          </cell>
        </row>
        <row r="350">
          <cell r="A350">
            <v>349</v>
          </cell>
          <cell r="B350">
            <v>44901.471400462964</v>
          </cell>
          <cell r="C350" t="str">
            <v>OSBC/BAL/MR/28319/2022-2023</v>
          </cell>
          <cell r="D350" t="str">
            <v>GOVT</v>
          </cell>
          <cell r="E350">
            <v>1619.84</v>
          </cell>
          <cell r="F350">
            <v>275000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276619.84000000003</v>
          </cell>
          <cell r="N350">
            <v>2022</v>
          </cell>
          <cell r="O350">
            <v>0</v>
          </cell>
          <cell r="P350">
            <v>0</v>
          </cell>
          <cell r="Q350" t="str">
            <v>-</v>
          </cell>
          <cell r="R350">
            <v>0</v>
          </cell>
          <cell r="S350" t="b">
            <v>1</v>
          </cell>
        </row>
        <row r="351">
          <cell r="A351">
            <v>350</v>
          </cell>
          <cell r="B351">
            <v>44901.632418981484</v>
          </cell>
          <cell r="C351" t="str">
            <v>INV(BAL) / 2022-2023 / 24068</v>
          </cell>
          <cell r="D351" t="str">
            <v>RETAIL</v>
          </cell>
          <cell r="E351">
            <v>276619.84000000003</v>
          </cell>
          <cell r="F351">
            <v>0</v>
          </cell>
          <cell r="G351">
            <v>0</v>
          </cell>
          <cell r="H351">
            <v>159.55000000000001</v>
          </cell>
          <cell r="I351">
            <v>147381</v>
          </cell>
          <cell r="J351">
            <v>51583.35</v>
          </cell>
          <cell r="K351">
            <v>1990</v>
          </cell>
          <cell r="L351">
            <v>200954.35</v>
          </cell>
          <cell r="M351">
            <v>75665.490000000005</v>
          </cell>
          <cell r="N351">
            <v>2022</v>
          </cell>
          <cell r="O351">
            <v>0.35</v>
          </cell>
          <cell r="P351">
            <v>1.3502418900672407E-2</v>
          </cell>
          <cell r="Q351" t="str">
            <v>Liquor</v>
          </cell>
          <cell r="R351">
            <v>212.73333333333335</v>
          </cell>
          <cell r="S351" t="b">
            <v>1</v>
          </cell>
        </row>
        <row r="352">
          <cell r="A352">
            <v>351</v>
          </cell>
          <cell r="B352">
            <v>44901.633935185186</v>
          </cell>
          <cell r="C352" t="str">
            <v>INV(BAL) / 2022-2023 / 24070</v>
          </cell>
          <cell r="D352" t="str">
            <v>RETAIL</v>
          </cell>
          <cell r="E352">
            <v>75665.490000000005</v>
          </cell>
          <cell r="F352">
            <v>0</v>
          </cell>
          <cell r="G352">
            <v>334.2</v>
          </cell>
          <cell r="H352">
            <v>0</v>
          </cell>
          <cell r="I352">
            <v>55317.51</v>
          </cell>
          <cell r="J352">
            <v>19361.13</v>
          </cell>
          <cell r="K352">
            <v>747</v>
          </cell>
          <cell r="L352">
            <v>75425.64</v>
          </cell>
          <cell r="M352">
            <v>239.85</v>
          </cell>
          <cell r="N352">
            <v>2022</v>
          </cell>
          <cell r="O352">
            <v>0.350000027116188</v>
          </cell>
          <cell r="P352">
            <v>1.3503861616330886E-2</v>
          </cell>
          <cell r="Q352" t="str">
            <v>Beer</v>
          </cell>
          <cell r="R352">
            <v>334.2</v>
          </cell>
          <cell r="S352" t="b">
            <v>1</v>
          </cell>
        </row>
        <row r="353">
          <cell r="A353">
            <v>352</v>
          </cell>
          <cell r="B353">
            <v>44914.474826388891</v>
          </cell>
          <cell r="C353" t="str">
            <v>OSBC/BAL/MR/29634/2022-2023</v>
          </cell>
          <cell r="D353" t="str">
            <v>GOVT</v>
          </cell>
          <cell r="E353">
            <v>239.85</v>
          </cell>
          <cell r="F353">
            <v>499000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499239.85</v>
          </cell>
          <cell r="N353">
            <v>2022</v>
          </cell>
          <cell r="O353">
            <v>0</v>
          </cell>
          <cell r="P353">
            <v>0</v>
          </cell>
          <cell r="Q353" t="str">
            <v>-</v>
          </cell>
          <cell r="R353">
            <v>0</v>
          </cell>
          <cell r="S353" t="b">
            <v>1</v>
          </cell>
        </row>
        <row r="354">
          <cell r="A354">
            <v>353</v>
          </cell>
          <cell r="B354">
            <v>44914.768194444441</v>
          </cell>
          <cell r="C354" t="str">
            <v>INV(BAL) / 2022-2023 / 25016</v>
          </cell>
          <cell r="D354" t="str">
            <v>RETAIL</v>
          </cell>
          <cell r="E354">
            <v>499239.85</v>
          </cell>
          <cell r="F354">
            <v>0</v>
          </cell>
          <cell r="G354">
            <v>286.8</v>
          </cell>
          <cell r="H354">
            <v>0</v>
          </cell>
          <cell r="I354">
            <v>47301.62</v>
          </cell>
          <cell r="J354">
            <v>16555.57</v>
          </cell>
          <cell r="K354">
            <v>639</v>
          </cell>
          <cell r="L354">
            <v>64496.19</v>
          </cell>
          <cell r="M354">
            <v>434743.66</v>
          </cell>
          <cell r="N354">
            <v>2022</v>
          </cell>
          <cell r="O354">
            <v>0.3500000634227749</v>
          </cell>
          <cell r="P354">
            <v>1.3509051064213021E-2</v>
          </cell>
          <cell r="Q354" t="str">
            <v>Beer</v>
          </cell>
          <cell r="R354">
            <v>286.8</v>
          </cell>
          <cell r="S354" t="b">
            <v>1</v>
          </cell>
        </row>
        <row r="355">
          <cell r="A355">
            <v>354</v>
          </cell>
          <cell r="B355">
            <v>44914.77716435185</v>
          </cell>
          <cell r="C355" t="str">
            <v>INV(BAL) / 2022-2023 / 25019</v>
          </cell>
          <cell r="D355" t="str">
            <v>RETAIL</v>
          </cell>
          <cell r="E355">
            <v>434743.66</v>
          </cell>
          <cell r="F355">
            <v>0</v>
          </cell>
          <cell r="G355">
            <v>0</v>
          </cell>
          <cell r="H355">
            <v>338.28</v>
          </cell>
          <cell r="I355">
            <v>316224.2</v>
          </cell>
          <cell r="J355">
            <v>110678.46</v>
          </cell>
          <cell r="K355">
            <v>4269</v>
          </cell>
          <cell r="L355">
            <v>431171.66</v>
          </cell>
          <cell r="M355">
            <v>3572</v>
          </cell>
          <cell r="N355">
            <v>2022</v>
          </cell>
          <cell r="O355">
            <v>0.34999996837686681</v>
          </cell>
          <cell r="P355">
            <v>1.3499915566234335E-2</v>
          </cell>
          <cell r="Q355" t="str">
            <v>Liquor</v>
          </cell>
          <cell r="R355">
            <v>451.03999999999996</v>
          </cell>
          <cell r="S355" t="b">
            <v>1</v>
          </cell>
        </row>
        <row r="356">
          <cell r="A356">
            <v>355</v>
          </cell>
          <cell r="B356">
            <v>44924.478773148148</v>
          </cell>
          <cell r="C356" t="str">
            <v>OSBC/BAL/MR/30913/2022-2023</v>
          </cell>
          <cell r="D356" t="str">
            <v>GOVT</v>
          </cell>
          <cell r="E356">
            <v>3572</v>
          </cell>
          <cell r="F356">
            <v>215000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218572</v>
          </cell>
          <cell r="N356">
            <v>2022</v>
          </cell>
          <cell r="O356">
            <v>0</v>
          </cell>
          <cell r="P356">
            <v>0</v>
          </cell>
          <cell r="Q356" t="str">
            <v>-</v>
          </cell>
          <cell r="R356">
            <v>0</v>
          </cell>
          <cell r="S356" t="b">
            <v>1</v>
          </cell>
        </row>
        <row r="357">
          <cell r="A357">
            <v>356</v>
          </cell>
          <cell r="B357">
            <v>44924.721238425926</v>
          </cell>
          <cell r="C357" t="str">
            <v>INV(BAL) / 2022-2023 / 25864</v>
          </cell>
          <cell r="D357" t="str">
            <v>RETAIL</v>
          </cell>
          <cell r="E357">
            <v>218572</v>
          </cell>
          <cell r="F357">
            <v>0</v>
          </cell>
          <cell r="G357">
            <v>0</v>
          </cell>
          <cell r="H357">
            <v>167.97</v>
          </cell>
          <cell r="I357">
            <v>160238.17000000001</v>
          </cell>
          <cell r="J357">
            <v>56083.360000000001</v>
          </cell>
          <cell r="K357">
            <v>2163</v>
          </cell>
          <cell r="L357">
            <v>218484.53</v>
          </cell>
          <cell r="M357">
            <v>87.47</v>
          </cell>
          <cell r="N357">
            <v>2022</v>
          </cell>
          <cell r="O357">
            <v>0.35000000312035512</v>
          </cell>
          <cell r="P357">
            <v>1.3498656406273235E-2</v>
          </cell>
          <cell r="Q357" t="str">
            <v>Liquor</v>
          </cell>
          <cell r="R357">
            <v>223.96</v>
          </cell>
          <cell r="S357" t="b">
            <v>1</v>
          </cell>
        </row>
        <row r="358">
          <cell r="A358">
            <v>357</v>
          </cell>
          <cell r="B358">
            <v>44929.468819444446</v>
          </cell>
          <cell r="C358" t="str">
            <v>OSBC/BAL/MR/31550/2022-2023</v>
          </cell>
          <cell r="D358" t="str">
            <v>GOVT</v>
          </cell>
          <cell r="E358">
            <v>87.47</v>
          </cell>
          <cell r="F358">
            <v>300000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300087.46999999997</v>
          </cell>
          <cell r="N358">
            <v>2023</v>
          </cell>
          <cell r="O358">
            <v>0</v>
          </cell>
          <cell r="P358">
            <v>0</v>
          </cell>
          <cell r="Q358" t="str">
            <v>-</v>
          </cell>
          <cell r="R358">
            <v>0</v>
          </cell>
          <cell r="S358" t="b">
            <v>1</v>
          </cell>
        </row>
        <row r="359">
          <cell r="A359">
            <v>358</v>
          </cell>
          <cell r="B359">
            <v>44929.652650462966</v>
          </cell>
          <cell r="C359" t="str">
            <v>INV(BAL) / 2022-2023 / 26297</v>
          </cell>
          <cell r="D359" t="str">
            <v>RETAIL</v>
          </cell>
          <cell r="E359">
            <v>300087.46999999997</v>
          </cell>
          <cell r="F359">
            <v>0</v>
          </cell>
          <cell r="G359">
            <v>0</v>
          </cell>
          <cell r="H359">
            <v>256.76</v>
          </cell>
          <cell r="I359">
            <v>219321.01</v>
          </cell>
          <cell r="J359">
            <v>76762.36</v>
          </cell>
          <cell r="K359">
            <v>2961</v>
          </cell>
          <cell r="L359">
            <v>299044.37</v>
          </cell>
          <cell r="M359">
            <v>1043.0999999999999</v>
          </cell>
          <cell r="N359">
            <v>2023</v>
          </cell>
          <cell r="O359">
            <v>0.3500000296369235</v>
          </cell>
          <cell r="P359">
            <v>1.3500758545658713E-2</v>
          </cell>
          <cell r="Q359" t="str">
            <v>Liquor</v>
          </cell>
          <cell r="R359">
            <v>342.34666666666664</v>
          </cell>
          <cell r="S359" t="b">
            <v>1</v>
          </cell>
        </row>
        <row r="360">
          <cell r="A360">
            <v>359</v>
          </cell>
          <cell r="B360">
            <v>44944.483402777776</v>
          </cell>
          <cell r="C360" t="str">
            <v>OSBC/BAL/MR/33421/2022-2023</v>
          </cell>
          <cell r="D360" t="str">
            <v>GOVT</v>
          </cell>
          <cell r="E360">
            <v>1043.0999999999999</v>
          </cell>
          <cell r="F360">
            <v>190000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191043.1</v>
          </cell>
          <cell r="N360">
            <v>2023</v>
          </cell>
          <cell r="O360">
            <v>0</v>
          </cell>
          <cell r="P360">
            <v>0</v>
          </cell>
          <cell r="Q360" t="str">
            <v>-</v>
          </cell>
          <cell r="R360">
            <v>0</v>
          </cell>
          <cell r="S360" t="b">
            <v>1</v>
          </cell>
        </row>
        <row r="361">
          <cell r="A361">
            <v>360</v>
          </cell>
          <cell r="B361">
            <v>44944.486111111109</v>
          </cell>
          <cell r="C361" t="str">
            <v>OSBC/BAL/MR/33429/2022-2023</v>
          </cell>
          <cell r="D361" t="str">
            <v>GOVT</v>
          </cell>
          <cell r="E361">
            <v>191043.1</v>
          </cell>
          <cell r="F361">
            <v>24000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215043.1</v>
          </cell>
          <cell r="N361">
            <v>2023</v>
          </cell>
          <cell r="O361">
            <v>0</v>
          </cell>
          <cell r="P361">
            <v>0</v>
          </cell>
          <cell r="Q361" t="str">
            <v>-</v>
          </cell>
          <cell r="R361">
            <v>0</v>
          </cell>
          <cell r="S361" t="b">
            <v>1</v>
          </cell>
        </row>
        <row r="362">
          <cell r="A362">
            <v>361</v>
          </cell>
          <cell r="B362">
            <v>44944.669386574074</v>
          </cell>
          <cell r="C362" t="str">
            <v>INV(BAL) / 2022-2023 / 27596</v>
          </cell>
          <cell r="D362" t="str">
            <v>RETAIL</v>
          </cell>
          <cell r="E362">
            <v>215043.1</v>
          </cell>
          <cell r="F362">
            <v>0</v>
          </cell>
          <cell r="G362">
            <v>0</v>
          </cell>
          <cell r="H362">
            <v>173.5</v>
          </cell>
          <cell r="I362">
            <v>154114.04999999999</v>
          </cell>
          <cell r="J362">
            <v>53939.88</v>
          </cell>
          <cell r="K362">
            <v>2081</v>
          </cell>
          <cell r="L362">
            <v>210134.93</v>
          </cell>
          <cell r="M362">
            <v>4908.17</v>
          </cell>
          <cell r="N362">
            <v>2023</v>
          </cell>
          <cell r="O362">
            <v>0.34999975667371014</v>
          </cell>
          <cell r="P362">
            <v>1.3502986911316652E-2</v>
          </cell>
          <cell r="Q362" t="str">
            <v>Liquor</v>
          </cell>
          <cell r="R362">
            <v>231.33333333333334</v>
          </cell>
          <cell r="S362" t="b">
            <v>1</v>
          </cell>
        </row>
        <row r="363">
          <cell r="A363">
            <v>362</v>
          </cell>
          <cell r="B363">
            <v>44950.497164351851</v>
          </cell>
          <cell r="C363" t="str">
            <v>OSBC/BAL/MR/34231/2022-2023</v>
          </cell>
          <cell r="D363" t="str">
            <v>GOVT</v>
          </cell>
          <cell r="E363">
            <v>4908.17</v>
          </cell>
          <cell r="F363">
            <v>225000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229908.17</v>
          </cell>
          <cell r="N363">
            <v>2023</v>
          </cell>
          <cell r="O363">
            <v>0</v>
          </cell>
          <cell r="P363">
            <v>0</v>
          </cell>
          <cell r="Q363" t="str">
            <v>-</v>
          </cell>
          <cell r="R363">
            <v>0</v>
          </cell>
          <cell r="S363" t="b">
            <v>1</v>
          </cell>
        </row>
        <row r="364">
          <cell r="A364">
            <v>363</v>
          </cell>
          <cell r="B364">
            <v>44951.443981481483</v>
          </cell>
          <cell r="C364" t="str">
            <v>OSBC/BAL/MR/34323/2022-2023</v>
          </cell>
          <cell r="D364" t="str">
            <v>GOVT</v>
          </cell>
          <cell r="E364">
            <v>229908.17</v>
          </cell>
          <cell r="F364">
            <v>100000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329908.17</v>
          </cell>
          <cell r="N364">
            <v>2023</v>
          </cell>
          <cell r="O364">
            <v>0</v>
          </cell>
          <cell r="P364">
            <v>0</v>
          </cell>
          <cell r="Q364" t="str">
            <v>-</v>
          </cell>
          <cell r="R364">
            <v>0</v>
          </cell>
          <cell r="S364" t="b">
            <v>1</v>
          </cell>
        </row>
        <row r="365">
          <cell r="A365">
            <v>364</v>
          </cell>
          <cell r="B365">
            <v>44951.447847222225</v>
          </cell>
          <cell r="C365" t="str">
            <v>OSBC/BAL/MR/34326/2022-2023</v>
          </cell>
          <cell r="D365" t="str">
            <v>GOVT</v>
          </cell>
          <cell r="E365">
            <v>329908.17</v>
          </cell>
          <cell r="F365">
            <v>200000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529908.17000000004</v>
          </cell>
          <cell r="N365">
            <v>2023</v>
          </cell>
          <cell r="O365">
            <v>0</v>
          </cell>
          <cell r="P365">
            <v>0</v>
          </cell>
          <cell r="Q365" t="str">
            <v>-</v>
          </cell>
          <cell r="R365">
            <v>0</v>
          </cell>
          <cell r="S365" t="b">
            <v>1</v>
          </cell>
        </row>
        <row r="366">
          <cell r="A366">
            <v>365</v>
          </cell>
          <cell r="B366">
            <v>44951.552974537037</v>
          </cell>
          <cell r="C366" t="str">
            <v>INV(BAL) / 2022-2023 / 28273</v>
          </cell>
          <cell r="D366" t="str">
            <v>RETAIL</v>
          </cell>
          <cell r="E366">
            <v>529908.17000000004</v>
          </cell>
          <cell r="F366">
            <v>0</v>
          </cell>
          <cell r="G366">
            <v>0</v>
          </cell>
          <cell r="H366">
            <v>192.29</v>
          </cell>
          <cell r="I366">
            <v>168322.85</v>
          </cell>
          <cell r="J366">
            <v>58912.99</v>
          </cell>
          <cell r="K366">
            <v>2272</v>
          </cell>
          <cell r="L366">
            <v>229507.84</v>
          </cell>
          <cell r="M366">
            <v>300400.33</v>
          </cell>
          <cell r="N366">
            <v>2023</v>
          </cell>
          <cell r="O366">
            <v>0.34999995544276963</v>
          </cell>
          <cell r="P366">
            <v>1.3497870312913546E-2</v>
          </cell>
          <cell r="Q366" t="str">
            <v>Liquor</v>
          </cell>
          <cell r="R366">
            <v>256.38666666666666</v>
          </cell>
          <cell r="S366" t="b">
            <v>1</v>
          </cell>
        </row>
        <row r="367">
          <cell r="A367">
            <v>366</v>
          </cell>
          <cell r="B367">
            <v>44951.556030092594</v>
          </cell>
          <cell r="C367" t="str">
            <v>INV(BAL) / 2022-2023 / 28278</v>
          </cell>
          <cell r="D367" t="str">
            <v>RETAIL</v>
          </cell>
          <cell r="E367">
            <v>300400.33</v>
          </cell>
          <cell r="F367">
            <v>0</v>
          </cell>
          <cell r="G367">
            <v>606</v>
          </cell>
          <cell r="H367">
            <v>0</v>
          </cell>
          <cell r="I367">
            <v>100476.24</v>
          </cell>
          <cell r="J367">
            <v>35166.68</v>
          </cell>
          <cell r="K367">
            <v>1356</v>
          </cell>
          <cell r="L367">
            <v>136998.92000000001</v>
          </cell>
          <cell r="M367">
            <v>163401.41</v>
          </cell>
          <cell r="N367">
            <v>2023</v>
          </cell>
          <cell r="O367">
            <v>0.34999996018959306</v>
          </cell>
          <cell r="P367">
            <v>1.349572794523362E-2</v>
          </cell>
          <cell r="Q367" t="str">
            <v>Beer</v>
          </cell>
          <cell r="R367">
            <v>606</v>
          </cell>
          <cell r="S367" t="b">
            <v>1</v>
          </cell>
        </row>
        <row r="368">
          <cell r="A368">
            <v>367</v>
          </cell>
          <cell r="B368">
            <v>44956.488275462965</v>
          </cell>
          <cell r="C368" t="str">
            <v>OSBC/BAL/MR/34998/2022-2023</v>
          </cell>
          <cell r="D368" t="str">
            <v>GOVT</v>
          </cell>
          <cell r="E368">
            <v>163401.41</v>
          </cell>
          <cell r="F368">
            <v>100000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263401.40999999997</v>
          </cell>
          <cell r="N368">
            <v>2023</v>
          </cell>
          <cell r="O368">
            <v>0</v>
          </cell>
          <cell r="P368">
            <v>0</v>
          </cell>
          <cell r="Q368" t="str">
            <v>-</v>
          </cell>
          <cell r="R368">
            <v>0</v>
          </cell>
          <cell r="S368" t="b">
            <v>1</v>
          </cell>
        </row>
        <row r="369">
          <cell r="A369">
            <v>368</v>
          </cell>
          <cell r="B369">
            <v>44956.752025462964</v>
          </cell>
          <cell r="C369" t="str">
            <v>INV(BAL) / 2022-2023 / 28771</v>
          </cell>
          <cell r="D369" t="str">
            <v>RETAIL</v>
          </cell>
          <cell r="E369">
            <v>263401.40999999997</v>
          </cell>
          <cell r="F369">
            <v>0</v>
          </cell>
          <cell r="G369">
            <v>0</v>
          </cell>
          <cell r="H369">
            <v>214.56</v>
          </cell>
          <cell r="I369">
            <v>191947.19</v>
          </cell>
          <cell r="J369">
            <v>67181.47</v>
          </cell>
          <cell r="K369">
            <v>2591</v>
          </cell>
          <cell r="L369">
            <v>261719.66</v>
          </cell>
          <cell r="M369">
            <v>1681.75</v>
          </cell>
          <cell r="N369">
            <v>2023</v>
          </cell>
          <cell r="O369">
            <v>0.3499997577458675</v>
          </cell>
          <cell r="P369">
            <v>1.3498504458439845E-2</v>
          </cell>
          <cell r="Q369" t="str">
            <v>Liquor</v>
          </cell>
          <cell r="R369">
            <v>286.08</v>
          </cell>
          <cell r="S369" t="b">
            <v>1</v>
          </cell>
        </row>
        <row r="370">
          <cell r="A370">
            <v>369</v>
          </cell>
          <cell r="B370">
            <v>44964.479317129626</v>
          </cell>
          <cell r="C370" t="str">
            <v>OSBC/BAL/MR/36231/2022-2023</v>
          </cell>
          <cell r="D370" t="str">
            <v>GOVT</v>
          </cell>
          <cell r="E370">
            <v>1681.75</v>
          </cell>
          <cell r="F370">
            <v>300000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301681.75</v>
          </cell>
          <cell r="N370">
            <v>2023</v>
          </cell>
          <cell r="O370">
            <v>0</v>
          </cell>
          <cell r="P370">
            <v>0</v>
          </cell>
          <cell r="Q370" t="str">
            <v>-</v>
          </cell>
          <cell r="R370">
            <v>0</v>
          </cell>
          <cell r="S370" t="b">
            <v>1</v>
          </cell>
        </row>
        <row r="371">
          <cell r="A371">
            <v>370</v>
          </cell>
          <cell r="B371">
            <v>44964.632986111108</v>
          </cell>
          <cell r="C371" t="str">
            <v>INV(BAL) / 2022-2023 / 29711</v>
          </cell>
          <cell r="D371" t="str">
            <v>RETAIL</v>
          </cell>
          <cell r="E371">
            <v>301681.75</v>
          </cell>
          <cell r="F371">
            <v>0</v>
          </cell>
          <cell r="G371">
            <v>0</v>
          </cell>
          <cell r="H371">
            <v>245.7</v>
          </cell>
          <cell r="I371">
            <v>221053.27</v>
          </cell>
          <cell r="J371">
            <v>77368.649999999994</v>
          </cell>
          <cell r="K371">
            <v>2984</v>
          </cell>
          <cell r="L371">
            <v>301405.92</v>
          </cell>
          <cell r="M371">
            <v>275.83</v>
          </cell>
          <cell r="N371">
            <v>2023</v>
          </cell>
          <cell r="O371">
            <v>0.3500000248808805</v>
          </cell>
          <cell r="P371">
            <v>1.3499008632625068E-2</v>
          </cell>
          <cell r="Q371" t="str">
            <v>Liquor</v>
          </cell>
          <cell r="R371">
            <v>327.59999999999997</v>
          </cell>
          <cell r="S371" t="b">
            <v>1</v>
          </cell>
        </row>
        <row r="372">
          <cell r="A372">
            <v>371</v>
          </cell>
          <cell r="B372">
            <v>44967.406527777777</v>
          </cell>
          <cell r="C372" t="str">
            <v>OSBC/BAL/MR/36630/2022-2023</v>
          </cell>
          <cell r="D372" t="str">
            <v>GOVT</v>
          </cell>
          <cell r="E372">
            <v>275.83</v>
          </cell>
          <cell r="F372">
            <v>120000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120275.83</v>
          </cell>
          <cell r="N372">
            <v>2023</v>
          </cell>
          <cell r="O372">
            <v>0</v>
          </cell>
          <cell r="P372">
            <v>0</v>
          </cell>
          <cell r="Q372" t="str">
            <v>-</v>
          </cell>
          <cell r="R372">
            <v>0</v>
          </cell>
          <cell r="S372" t="b">
            <v>1</v>
          </cell>
        </row>
        <row r="373">
          <cell r="A373">
            <v>372</v>
          </cell>
          <cell r="B373">
            <v>44967.495289351849</v>
          </cell>
          <cell r="C373" t="str">
            <v>INV(BAL) / 2022-2023 / 30016</v>
          </cell>
          <cell r="D373" t="str">
            <v>RETAIL</v>
          </cell>
          <cell r="E373">
            <v>120275.83</v>
          </cell>
          <cell r="F373">
            <v>0</v>
          </cell>
          <cell r="G373">
            <v>532.20000000000005</v>
          </cell>
          <cell r="H373">
            <v>0</v>
          </cell>
          <cell r="I373">
            <v>87222.36</v>
          </cell>
          <cell r="J373">
            <v>30527.87</v>
          </cell>
          <cell r="K373">
            <v>1178</v>
          </cell>
          <cell r="L373">
            <v>118928.23</v>
          </cell>
          <cell r="M373">
            <v>1347.6</v>
          </cell>
          <cell r="N373">
            <v>2023</v>
          </cell>
          <cell r="O373">
            <v>0.35000050445780184</v>
          </cell>
          <cell r="P373">
            <v>1.3505711150214234E-2</v>
          </cell>
          <cell r="Q373" t="str">
            <v>Beer</v>
          </cell>
          <cell r="R373">
            <v>532.20000000000005</v>
          </cell>
          <cell r="S373" t="b">
            <v>1</v>
          </cell>
        </row>
        <row r="374">
          <cell r="A374">
            <v>373</v>
          </cell>
          <cell r="B374">
            <v>44973.463703703703</v>
          </cell>
          <cell r="C374" t="str">
            <v>OSBC/BAL/MR/37495/2022-2023</v>
          </cell>
          <cell r="D374" t="str">
            <v>GOVT</v>
          </cell>
          <cell r="E374">
            <v>1347.6</v>
          </cell>
          <cell r="F374">
            <v>180000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181347.6</v>
          </cell>
          <cell r="N374">
            <v>2023</v>
          </cell>
          <cell r="O374">
            <v>0</v>
          </cell>
          <cell r="P374">
            <v>0</v>
          </cell>
          <cell r="Q374" t="str">
            <v>-</v>
          </cell>
          <cell r="R374">
            <v>0</v>
          </cell>
          <cell r="S374" t="b">
            <v>1</v>
          </cell>
        </row>
        <row r="375">
          <cell r="A375">
            <v>374</v>
          </cell>
          <cell r="B375">
            <v>44973.692847222221</v>
          </cell>
          <cell r="C375" t="str">
            <v>INV(BAL) / 2022-2023 / 30684</v>
          </cell>
          <cell r="D375" t="str">
            <v>RETAIL</v>
          </cell>
          <cell r="E375">
            <v>181347.6</v>
          </cell>
          <cell r="F375">
            <v>0</v>
          </cell>
          <cell r="G375">
            <v>0</v>
          </cell>
          <cell r="H375">
            <v>146.13</v>
          </cell>
          <cell r="I375">
            <v>132919.98000000001</v>
          </cell>
          <cell r="J375">
            <v>46521.99</v>
          </cell>
          <cell r="K375">
            <v>1794</v>
          </cell>
          <cell r="L375">
            <v>181235.97</v>
          </cell>
          <cell r="M375">
            <v>111.63</v>
          </cell>
          <cell r="N375">
            <v>2023</v>
          </cell>
          <cell r="O375">
            <v>0.34999997743002964</v>
          </cell>
          <cell r="P375">
            <v>1.3496842235456248E-2</v>
          </cell>
          <cell r="Q375" t="str">
            <v>Liquor</v>
          </cell>
          <cell r="R375">
            <v>194.84</v>
          </cell>
          <cell r="S375" t="b">
            <v>1</v>
          </cell>
        </row>
        <row r="376">
          <cell r="A376">
            <v>375</v>
          </cell>
          <cell r="B376">
            <v>44984.466516203705</v>
          </cell>
          <cell r="C376" t="str">
            <v>OSBC/BAL/MR/38856/2022-2023</v>
          </cell>
          <cell r="D376" t="str">
            <v>GOVT</v>
          </cell>
          <cell r="E376">
            <v>111.63</v>
          </cell>
          <cell r="F376">
            <v>240000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240111.63</v>
          </cell>
          <cell r="N376">
            <v>2023</v>
          </cell>
          <cell r="O376">
            <v>0</v>
          </cell>
          <cell r="P376">
            <v>0</v>
          </cell>
          <cell r="Q376" t="str">
            <v>-</v>
          </cell>
          <cell r="R376">
            <v>0</v>
          </cell>
          <cell r="S376" t="b">
            <v>1</v>
          </cell>
        </row>
        <row r="377">
          <cell r="A377">
            <v>376</v>
          </cell>
          <cell r="B377">
            <v>44984.52548611111</v>
          </cell>
          <cell r="C377" t="str">
            <v>INV(BAL) / 2022-2023 / 31623</v>
          </cell>
          <cell r="D377" t="str">
            <v>RETAIL</v>
          </cell>
          <cell r="E377">
            <v>240111.63</v>
          </cell>
          <cell r="F377">
            <v>0</v>
          </cell>
          <cell r="G377">
            <v>0</v>
          </cell>
          <cell r="H377">
            <v>192.87</v>
          </cell>
          <cell r="I377">
            <v>175965.71</v>
          </cell>
          <cell r="J377">
            <v>61588</v>
          </cell>
          <cell r="K377">
            <v>2376</v>
          </cell>
          <cell r="L377">
            <v>239929.71</v>
          </cell>
          <cell r="M377">
            <v>181.92</v>
          </cell>
          <cell r="N377">
            <v>2023</v>
          </cell>
          <cell r="O377">
            <v>0.35000000852438812</v>
          </cell>
          <cell r="P377">
            <v>1.3502630711403944E-2</v>
          </cell>
          <cell r="Q377" t="str">
            <v>Liquor</v>
          </cell>
          <cell r="R377">
            <v>257.16000000000003</v>
          </cell>
          <cell r="S377" t="b">
            <v>1</v>
          </cell>
        </row>
        <row r="378">
          <cell r="A378">
            <v>377</v>
          </cell>
          <cell r="B378">
            <v>44989.481365740743</v>
          </cell>
          <cell r="C378" t="str">
            <v>OSBC/BAL/MR/39753/2022-2023</v>
          </cell>
          <cell r="D378" t="str">
            <v>GOVT</v>
          </cell>
          <cell r="E378">
            <v>181.92</v>
          </cell>
          <cell r="F378">
            <v>238000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238181.92</v>
          </cell>
          <cell r="N378">
            <v>2023</v>
          </cell>
          <cell r="O378">
            <v>0</v>
          </cell>
          <cell r="P378">
            <v>0</v>
          </cell>
          <cell r="Q378" t="str">
            <v>-</v>
          </cell>
          <cell r="R378">
            <v>0</v>
          </cell>
          <cell r="S378" t="b">
            <v>1</v>
          </cell>
        </row>
        <row r="379">
          <cell r="A379">
            <v>378</v>
          </cell>
          <cell r="B379">
            <v>44989.520335648151</v>
          </cell>
          <cell r="C379" t="str">
            <v>INV(BAL) / 2022-2023 / 32258</v>
          </cell>
          <cell r="D379" t="str">
            <v>RETAIL</v>
          </cell>
          <cell r="E379">
            <v>238181.92</v>
          </cell>
          <cell r="F379">
            <v>0</v>
          </cell>
          <cell r="G379">
            <v>0</v>
          </cell>
          <cell r="H379">
            <v>198.71</v>
          </cell>
          <cell r="I379">
            <v>174322.36</v>
          </cell>
          <cell r="J379">
            <v>61012.83</v>
          </cell>
          <cell r="K379">
            <v>2353</v>
          </cell>
          <cell r="L379">
            <v>237688.19</v>
          </cell>
          <cell r="M379">
            <v>493.73</v>
          </cell>
          <cell r="N379">
            <v>2023</v>
          </cell>
          <cell r="O379">
            <v>0.35000002294599503</v>
          </cell>
          <cell r="P379">
            <v>1.3497981555550305E-2</v>
          </cell>
          <cell r="Q379" t="str">
            <v>Liquor</v>
          </cell>
          <cell r="R379">
            <v>264.94666666666666</v>
          </cell>
          <cell r="S379" t="b">
            <v>1</v>
          </cell>
        </row>
        <row r="380">
          <cell r="A380">
            <v>379</v>
          </cell>
          <cell r="B380">
            <v>44991.378194444442</v>
          </cell>
          <cell r="C380" t="str">
            <v>OSBC/BAL/MR/39916/2022-2023</v>
          </cell>
          <cell r="D380" t="str">
            <v>GOVT</v>
          </cell>
          <cell r="E380">
            <v>493.73</v>
          </cell>
          <cell r="F380">
            <v>135000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135493.73000000001</v>
          </cell>
          <cell r="N380">
            <v>2023</v>
          </cell>
          <cell r="O380">
            <v>0</v>
          </cell>
          <cell r="P380">
            <v>0</v>
          </cell>
          <cell r="Q380" t="str">
            <v>-</v>
          </cell>
          <cell r="R380">
            <v>0</v>
          </cell>
          <cell r="S380" t="b">
            <v>1</v>
          </cell>
        </row>
        <row r="381">
          <cell r="A381">
            <v>380</v>
          </cell>
          <cell r="B381">
            <v>44991.467986111114</v>
          </cell>
          <cell r="C381" t="str">
            <v>INV(BAL) / 2022-2023 / 32413</v>
          </cell>
          <cell r="D381" t="str">
            <v>RETAIL</v>
          </cell>
          <cell r="E381">
            <v>135493.73000000001</v>
          </cell>
          <cell r="F381">
            <v>0</v>
          </cell>
          <cell r="G381">
            <v>600.6</v>
          </cell>
          <cell r="H381">
            <v>0</v>
          </cell>
          <cell r="I381">
            <v>98333.48</v>
          </cell>
          <cell r="J381">
            <v>34416.720000000001</v>
          </cell>
          <cell r="K381">
            <v>1328</v>
          </cell>
          <cell r="L381">
            <v>134078.20000000001</v>
          </cell>
          <cell r="M381">
            <v>1415.53</v>
          </cell>
          <cell r="N381">
            <v>2023</v>
          </cell>
          <cell r="O381">
            <v>0.35000002033895272</v>
          </cell>
          <cell r="P381">
            <v>1.3505064602615508E-2</v>
          </cell>
          <cell r="Q381" t="str">
            <v>Beer</v>
          </cell>
          <cell r="R381">
            <v>600.6</v>
          </cell>
          <cell r="S381" t="b">
            <v>1</v>
          </cell>
        </row>
        <row r="382">
          <cell r="A382">
            <v>381</v>
          </cell>
          <cell r="B382">
            <v>44994.476099537038</v>
          </cell>
          <cell r="C382" t="str">
            <v>OSBC/BAL/MR/40419/2022-2023</v>
          </cell>
          <cell r="D382" t="str">
            <v>GOVT</v>
          </cell>
          <cell r="E382">
            <v>1415.53</v>
          </cell>
          <cell r="F382">
            <v>250000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251415.53</v>
          </cell>
          <cell r="N382">
            <v>2023</v>
          </cell>
          <cell r="O382">
            <v>0</v>
          </cell>
          <cell r="P382">
            <v>0</v>
          </cell>
          <cell r="Q382" t="str">
            <v>-</v>
          </cell>
          <cell r="R382">
            <v>0</v>
          </cell>
          <cell r="S382" t="b">
            <v>1</v>
          </cell>
        </row>
        <row r="383">
          <cell r="A383">
            <v>382</v>
          </cell>
          <cell r="B383">
            <v>44994.538124999999</v>
          </cell>
          <cell r="C383" t="str">
            <v>INV(BAL) / 2022-2023 / 32733</v>
          </cell>
          <cell r="D383" t="str">
            <v>RETAIL</v>
          </cell>
          <cell r="E383">
            <v>251415.53</v>
          </cell>
          <cell r="F383">
            <v>0</v>
          </cell>
          <cell r="G383">
            <v>0</v>
          </cell>
          <cell r="H383">
            <v>211.93</v>
          </cell>
          <cell r="I383">
            <v>184305.66</v>
          </cell>
          <cell r="J383">
            <v>64506.98</v>
          </cell>
          <cell r="K383">
            <v>2488</v>
          </cell>
          <cell r="L383">
            <v>251300.64</v>
          </cell>
          <cell r="M383">
            <v>114.89</v>
          </cell>
          <cell r="N383">
            <v>2023</v>
          </cell>
          <cell r="O383">
            <v>0.34999999457423064</v>
          </cell>
          <cell r="P383">
            <v>1.3499314128497192E-2</v>
          </cell>
          <cell r="Q383" t="str">
            <v>Liquor</v>
          </cell>
          <cell r="R383">
            <v>282.57333333333332</v>
          </cell>
          <cell r="S383" t="b">
            <v>1</v>
          </cell>
        </row>
        <row r="384">
          <cell r="A384">
            <v>383</v>
          </cell>
          <cell r="B384">
            <v>45015.9531712963</v>
          </cell>
          <cell r="C384" t="str">
            <v>OSBC/BAL/MR/43812/2022-2023</v>
          </cell>
          <cell r="D384" t="str">
            <v>GOVT</v>
          </cell>
          <cell r="E384">
            <v>114.89</v>
          </cell>
          <cell r="F384">
            <v>167228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167342.89000000001</v>
          </cell>
          <cell r="N384">
            <v>2023</v>
          </cell>
          <cell r="O384">
            <v>0</v>
          </cell>
          <cell r="P384">
            <v>0</v>
          </cell>
          <cell r="Q384" t="str">
            <v>-</v>
          </cell>
          <cell r="R384">
            <v>0</v>
          </cell>
          <cell r="S384" t="b">
            <v>1</v>
          </cell>
        </row>
        <row r="385">
          <cell r="A385">
            <v>384</v>
          </cell>
          <cell r="B385">
            <v>45016.476550925923</v>
          </cell>
          <cell r="C385" t="str">
            <v>OSBC/BAL/MR/43920/2022-2023</v>
          </cell>
          <cell r="D385" t="str">
            <v>GOVT</v>
          </cell>
          <cell r="E385">
            <v>167342.89000000001</v>
          </cell>
          <cell r="F385">
            <v>23000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190342.89</v>
          </cell>
          <cell r="N385">
            <v>2023</v>
          </cell>
          <cell r="O385">
            <v>0</v>
          </cell>
          <cell r="P385">
            <v>0</v>
          </cell>
          <cell r="Q385" t="str">
            <v>-</v>
          </cell>
          <cell r="R385">
            <v>0</v>
          </cell>
          <cell r="S385" t="b">
            <v>1</v>
          </cell>
        </row>
        <row r="386">
          <cell r="A386">
            <v>385</v>
          </cell>
          <cell r="B386">
            <v>45016.544999999998</v>
          </cell>
          <cell r="C386" t="str">
            <v>INV(BAL) / 2022-2023 / 35374</v>
          </cell>
          <cell r="D386" t="str">
            <v>RETAIL</v>
          </cell>
          <cell r="E386">
            <v>190342.89</v>
          </cell>
          <cell r="F386">
            <v>0</v>
          </cell>
          <cell r="G386">
            <v>0</v>
          </cell>
          <cell r="H386">
            <v>149.91</v>
          </cell>
          <cell r="I386">
            <v>138860.95000000001</v>
          </cell>
          <cell r="J386">
            <v>48601.32</v>
          </cell>
          <cell r="K386">
            <v>1875</v>
          </cell>
          <cell r="L386">
            <v>189337.27</v>
          </cell>
          <cell r="M386">
            <v>1005.62</v>
          </cell>
          <cell r="N386">
            <v>2023</v>
          </cell>
          <cell r="O386">
            <v>0.3499999099818919</v>
          </cell>
          <cell r="P386">
            <v>1.3502716206392077E-2</v>
          </cell>
          <cell r="Q386" t="str">
            <v>Liquor</v>
          </cell>
          <cell r="R386">
            <v>199.88</v>
          </cell>
          <cell r="S386" t="b">
            <v>1</v>
          </cell>
        </row>
        <row r="387">
          <cell r="A387">
            <v>386</v>
          </cell>
          <cell r="B387">
            <v>45026.484791666669</v>
          </cell>
          <cell r="C387" t="str">
            <v>OSBC/BAL/MR/248/2023-2024</v>
          </cell>
          <cell r="D387" t="str">
            <v>GOVT</v>
          </cell>
          <cell r="E387">
            <v>1005.62</v>
          </cell>
          <cell r="F387">
            <v>560930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561935.62</v>
          </cell>
          <cell r="N387">
            <v>2023</v>
          </cell>
          <cell r="O387">
            <v>0</v>
          </cell>
          <cell r="P387">
            <v>0</v>
          </cell>
          <cell r="Q387" t="str">
            <v>-</v>
          </cell>
          <cell r="R387">
            <v>0</v>
          </cell>
          <cell r="S387" t="b">
            <v>1</v>
          </cell>
        </row>
        <row r="388">
          <cell r="A388">
            <v>387</v>
          </cell>
          <cell r="B388">
            <v>45026.48574074074</v>
          </cell>
          <cell r="C388" t="str">
            <v>OSBC/BAL/MR/249/2023-2024</v>
          </cell>
          <cell r="D388" t="str">
            <v>GOVT</v>
          </cell>
          <cell r="E388">
            <v>561935.62</v>
          </cell>
          <cell r="F388">
            <v>490000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1051935.6200000001</v>
          </cell>
          <cell r="N388">
            <v>2023</v>
          </cell>
          <cell r="O388">
            <v>0</v>
          </cell>
          <cell r="P388">
            <v>0</v>
          </cell>
          <cell r="Q388" t="str">
            <v>-</v>
          </cell>
          <cell r="R388">
            <v>0</v>
          </cell>
          <cell r="S388" t="b">
            <v>1</v>
          </cell>
        </row>
        <row r="389">
          <cell r="A389">
            <v>388</v>
          </cell>
          <cell r="B389">
            <v>45026.939895833333</v>
          </cell>
          <cell r="C389" t="str">
            <v>INV(BAL) / 2023-2024 / 228</v>
          </cell>
          <cell r="D389" t="str">
            <v>RETAIL</v>
          </cell>
          <cell r="E389">
            <v>1051935.6200000001</v>
          </cell>
          <cell r="F389">
            <v>0</v>
          </cell>
          <cell r="G389">
            <v>679.8</v>
          </cell>
          <cell r="H389">
            <v>0</v>
          </cell>
          <cell r="I389">
            <v>117698.44</v>
          </cell>
          <cell r="J389">
            <v>41194.449999999997</v>
          </cell>
          <cell r="K389">
            <v>1589</v>
          </cell>
          <cell r="L389">
            <v>160481.89000000001</v>
          </cell>
          <cell r="M389">
            <v>891453.73</v>
          </cell>
          <cell r="N389">
            <v>2023</v>
          </cell>
          <cell r="O389">
            <v>0.34999996601484262</v>
          </cell>
          <cell r="P389">
            <v>1.3500603746319832E-2</v>
          </cell>
          <cell r="Q389" t="str">
            <v>Beer</v>
          </cell>
          <cell r="R389">
            <v>679.8</v>
          </cell>
          <cell r="S389" t="b">
            <v>1</v>
          </cell>
        </row>
        <row r="390">
          <cell r="A390">
            <v>389</v>
          </cell>
          <cell r="B390">
            <v>45026.942465277774</v>
          </cell>
          <cell r="C390" t="str">
            <v>INV(BAL) / 2023-2024 / 230</v>
          </cell>
          <cell r="D390" t="str">
            <v>RETAIL</v>
          </cell>
          <cell r="E390">
            <v>891453.73</v>
          </cell>
          <cell r="F390">
            <v>0</v>
          </cell>
          <cell r="G390">
            <v>0</v>
          </cell>
          <cell r="H390">
            <v>319.89999999999998</v>
          </cell>
          <cell r="I390">
            <v>316040.53999999998</v>
          </cell>
          <cell r="J390">
            <v>110614.19</v>
          </cell>
          <cell r="K390">
            <v>4267</v>
          </cell>
          <cell r="L390">
            <v>430921.73</v>
          </cell>
          <cell r="M390">
            <v>460532</v>
          </cell>
          <cell r="N390">
            <v>2023</v>
          </cell>
          <cell r="O390">
            <v>0.35000000316415109</v>
          </cell>
          <cell r="P390">
            <v>1.350143244281256E-2</v>
          </cell>
          <cell r="Q390" t="str">
            <v>Liquor</v>
          </cell>
          <cell r="R390">
            <v>426.5333333333333</v>
          </cell>
          <cell r="S390" t="b">
            <v>1</v>
          </cell>
        </row>
        <row r="391">
          <cell r="A391">
            <v>390</v>
          </cell>
          <cell r="B391">
            <v>45029.816342592596</v>
          </cell>
          <cell r="C391" t="str">
            <v>INV(BAL) / 2023-2024 / 560</v>
          </cell>
          <cell r="D391" t="str">
            <v>RETAIL</v>
          </cell>
          <cell r="E391">
            <v>460532</v>
          </cell>
          <cell r="F391">
            <v>0</v>
          </cell>
          <cell r="G391">
            <v>1334.4</v>
          </cell>
          <cell r="H391">
            <v>0</v>
          </cell>
          <cell r="I391">
            <v>215079.78</v>
          </cell>
          <cell r="J391">
            <v>75278.070000000007</v>
          </cell>
          <cell r="K391">
            <v>2904</v>
          </cell>
          <cell r="L391">
            <v>293261.84999999998</v>
          </cell>
          <cell r="M391">
            <v>167270.15</v>
          </cell>
          <cell r="N391">
            <v>2023</v>
          </cell>
          <cell r="O391">
            <v>0.35000068346731622</v>
          </cell>
          <cell r="P391">
            <v>1.3501966572589948E-2</v>
          </cell>
          <cell r="Q391" t="str">
            <v>Beer</v>
          </cell>
          <cell r="R391">
            <v>1334.4</v>
          </cell>
          <cell r="S391" t="b">
            <v>1</v>
          </cell>
        </row>
        <row r="392">
          <cell r="A392">
            <v>391</v>
          </cell>
          <cell r="B392">
            <v>45029.817129629628</v>
          </cell>
          <cell r="C392" t="str">
            <v>INV(BAL) / 2023-2024 / 561</v>
          </cell>
          <cell r="D392" t="str">
            <v>RETAIL</v>
          </cell>
          <cell r="E392">
            <v>167270.15</v>
          </cell>
          <cell r="F392">
            <v>0</v>
          </cell>
          <cell r="G392">
            <v>0</v>
          </cell>
          <cell r="H392">
            <v>126.74</v>
          </cell>
          <cell r="I392">
            <v>121694.11</v>
          </cell>
          <cell r="J392">
            <v>42592.94</v>
          </cell>
          <cell r="K392">
            <v>1643</v>
          </cell>
          <cell r="L392">
            <v>165930.04999999999</v>
          </cell>
          <cell r="M392">
            <v>1340.1</v>
          </cell>
          <cell r="N392">
            <v>2023</v>
          </cell>
          <cell r="O392">
            <v>0.35000001232598688</v>
          </cell>
          <cell r="P392">
            <v>1.3501064266791547E-2</v>
          </cell>
          <cell r="Q392" t="str">
            <v>Liquor</v>
          </cell>
          <cell r="R392">
            <v>168.98666666666665</v>
          </cell>
          <cell r="S392" t="b">
            <v>1</v>
          </cell>
        </row>
        <row r="393">
          <cell r="A393">
            <v>392</v>
          </cell>
          <cell r="B393">
            <v>45049.380162037036</v>
          </cell>
          <cell r="C393" t="str">
            <v>OSBC/BAL/MR/3166/2023-2024</v>
          </cell>
          <cell r="D393" t="str">
            <v>GOVT</v>
          </cell>
          <cell r="E393">
            <v>1340.1</v>
          </cell>
          <cell r="F393">
            <v>370000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371340.1</v>
          </cell>
          <cell r="N393">
            <v>2023</v>
          </cell>
          <cell r="O393">
            <v>0</v>
          </cell>
          <cell r="P393">
            <v>0</v>
          </cell>
          <cell r="Q393" t="str">
            <v>-</v>
          </cell>
          <cell r="R393">
            <v>0</v>
          </cell>
          <cell r="S393" t="b">
            <v>1</v>
          </cell>
        </row>
        <row r="394">
          <cell r="A394">
            <v>393</v>
          </cell>
          <cell r="B394">
            <v>45049.700300925928</v>
          </cell>
          <cell r="C394" t="str">
            <v>INV(BAL) / 2023-2024 / 2540</v>
          </cell>
          <cell r="D394" t="str">
            <v>RETAIL</v>
          </cell>
          <cell r="E394">
            <v>371340.1</v>
          </cell>
          <cell r="F394">
            <v>0</v>
          </cell>
          <cell r="G394">
            <v>0</v>
          </cell>
          <cell r="H394">
            <v>132.16999999999999</v>
          </cell>
          <cell r="I394">
            <v>150056.89000000001</v>
          </cell>
          <cell r="J394">
            <v>52519.91</v>
          </cell>
          <cell r="K394">
            <v>2026</v>
          </cell>
          <cell r="L394">
            <v>204602.8</v>
          </cell>
          <cell r="M394">
            <v>166737.29999999999</v>
          </cell>
          <cell r="N394">
            <v>2023</v>
          </cell>
          <cell r="O394">
            <v>0.34999999000379123</v>
          </cell>
          <cell r="P394">
            <v>1.3501545980327859E-2</v>
          </cell>
          <cell r="Q394" t="str">
            <v>Liquor</v>
          </cell>
          <cell r="R394">
            <v>176.22666666666666</v>
          </cell>
          <cell r="S394" t="b">
            <v>1</v>
          </cell>
        </row>
        <row r="395">
          <cell r="A395">
            <v>394</v>
          </cell>
          <cell r="B395">
            <v>45049.701215277775</v>
          </cell>
          <cell r="C395" t="str">
            <v>INV(BAL) / 2023-2024 / 2541</v>
          </cell>
          <cell r="D395" t="str">
            <v>RETAIL</v>
          </cell>
          <cell r="E395">
            <v>166737.29999999999</v>
          </cell>
          <cell r="F395">
            <v>0</v>
          </cell>
          <cell r="G395">
            <v>712.8</v>
          </cell>
          <cell r="H395">
            <v>0</v>
          </cell>
          <cell r="I395">
            <v>122222.24</v>
          </cell>
          <cell r="J395">
            <v>42777.78</v>
          </cell>
          <cell r="K395">
            <v>1650</v>
          </cell>
          <cell r="L395">
            <v>166650.01999999999</v>
          </cell>
          <cell r="M395">
            <v>87.28</v>
          </cell>
          <cell r="N395">
            <v>2023</v>
          </cell>
          <cell r="O395">
            <v>0.34999996727273203</v>
          </cell>
          <cell r="P395">
            <v>1.3499998036363921E-2</v>
          </cell>
          <cell r="Q395" t="str">
            <v>Beer</v>
          </cell>
          <cell r="R395">
            <v>712.8</v>
          </cell>
          <cell r="S395" t="b">
            <v>1</v>
          </cell>
        </row>
        <row r="396">
          <cell r="A396">
            <v>395</v>
          </cell>
          <cell r="B396">
            <v>45056.492939814816</v>
          </cell>
          <cell r="C396" t="str">
            <v>OSBC/BAL/MR/4084/2023-2024</v>
          </cell>
          <cell r="D396" t="str">
            <v>GOVT</v>
          </cell>
          <cell r="E396">
            <v>87.28</v>
          </cell>
          <cell r="F396">
            <v>130000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130087.28</v>
          </cell>
          <cell r="N396">
            <v>2023</v>
          </cell>
          <cell r="O396">
            <v>0</v>
          </cell>
          <cell r="P396">
            <v>0</v>
          </cell>
          <cell r="Q396" t="str">
            <v>-</v>
          </cell>
          <cell r="R396">
            <v>0</v>
          </cell>
          <cell r="S396" t="b">
            <v>1</v>
          </cell>
        </row>
        <row r="397">
          <cell r="A397">
            <v>396</v>
          </cell>
          <cell r="B397">
            <v>45056.498101851852</v>
          </cell>
          <cell r="C397" t="str">
            <v>OSBC/BAL/MR/4087/2023-2024</v>
          </cell>
          <cell r="D397" t="str">
            <v>GOVT</v>
          </cell>
          <cell r="E397">
            <v>130087.28</v>
          </cell>
          <cell r="F397">
            <v>38000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168087.28</v>
          </cell>
          <cell r="N397">
            <v>2023</v>
          </cell>
          <cell r="O397">
            <v>0</v>
          </cell>
          <cell r="P397">
            <v>0</v>
          </cell>
          <cell r="Q397" t="str">
            <v>-</v>
          </cell>
          <cell r="R397">
            <v>0</v>
          </cell>
          <cell r="S397" t="b">
            <v>1</v>
          </cell>
        </row>
        <row r="398">
          <cell r="A398">
            <v>397</v>
          </cell>
          <cell r="B398">
            <v>45056.6640625</v>
          </cell>
          <cell r="C398" t="str">
            <v>INV(BAL) / 2023-2024 / 3190</v>
          </cell>
          <cell r="D398" t="str">
            <v>RETAIL</v>
          </cell>
          <cell r="E398">
            <v>168087.28</v>
          </cell>
          <cell r="F398">
            <v>0</v>
          </cell>
          <cell r="G398">
            <v>0</v>
          </cell>
          <cell r="H398">
            <v>134.97999999999999</v>
          </cell>
          <cell r="I398">
            <v>123131.36</v>
          </cell>
          <cell r="J398">
            <v>43095.96</v>
          </cell>
          <cell r="K398">
            <v>1662</v>
          </cell>
          <cell r="L398">
            <v>167889.32</v>
          </cell>
          <cell r="M398">
            <v>197.96</v>
          </cell>
          <cell r="N398">
            <v>2023</v>
          </cell>
          <cell r="O398">
            <v>0.34999987005747357</v>
          </cell>
          <cell r="P398">
            <v>1.3497779931936104E-2</v>
          </cell>
          <cell r="Q398" t="str">
            <v>Liquor</v>
          </cell>
          <cell r="R398">
            <v>179.97333333333333</v>
          </cell>
          <cell r="S398" t="b">
            <v>1</v>
          </cell>
        </row>
        <row r="399">
          <cell r="A399">
            <v>398</v>
          </cell>
          <cell r="B399">
            <v>45058.479097222225</v>
          </cell>
          <cell r="C399" t="str">
            <v>OSBC/BAL/MR/4392/2023-2024</v>
          </cell>
          <cell r="D399" t="str">
            <v>GOVT</v>
          </cell>
          <cell r="E399">
            <v>197.96</v>
          </cell>
          <cell r="F399">
            <v>155000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155197.96</v>
          </cell>
          <cell r="N399">
            <v>2023</v>
          </cell>
          <cell r="O399">
            <v>0</v>
          </cell>
          <cell r="P399">
            <v>0</v>
          </cell>
          <cell r="Q399" t="str">
            <v>-</v>
          </cell>
          <cell r="R399">
            <v>0</v>
          </cell>
          <cell r="S399" t="b">
            <v>1</v>
          </cell>
        </row>
        <row r="400">
          <cell r="A400">
            <v>399</v>
          </cell>
          <cell r="B400">
            <v>45058.536157407405</v>
          </cell>
          <cell r="C400" t="str">
            <v>INV(BAL) / 2023-2024 / 3389</v>
          </cell>
          <cell r="D400" t="str">
            <v>RETAIL</v>
          </cell>
          <cell r="E400">
            <v>155197.96</v>
          </cell>
          <cell r="F400">
            <v>0</v>
          </cell>
          <cell r="G400">
            <v>0</v>
          </cell>
          <cell r="H400">
            <v>105.73</v>
          </cell>
          <cell r="I400">
            <v>113796.58</v>
          </cell>
          <cell r="J400">
            <v>39828.800000000003</v>
          </cell>
          <cell r="K400">
            <v>1536</v>
          </cell>
          <cell r="L400">
            <v>155161.38</v>
          </cell>
          <cell r="M400">
            <v>36.58</v>
          </cell>
          <cell r="N400">
            <v>2023</v>
          </cell>
          <cell r="O400">
            <v>0.34999997363716906</v>
          </cell>
          <cell r="P400">
            <v>1.3497769440874233E-2</v>
          </cell>
          <cell r="Q400" t="str">
            <v>Liquor</v>
          </cell>
          <cell r="R400">
            <v>140.97333333333333</v>
          </cell>
          <cell r="S400" t="b">
            <v>1</v>
          </cell>
        </row>
        <row r="401">
          <cell r="A401">
            <v>400</v>
          </cell>
          <cell r="B401">
            <v>45062.743402777778</v>
          </cell>
          <cell r="C401" t="str">
            <v>OSBC/BAL/MR/4952/2023-2024</v>
          </cell>
          <cell r="D401" t="str">
            <v>GOVT</v>
          </cell>
          <cell r="E401">
            <v>36.58</v>
          </cell>
          <cell r="F401">
            <v>160000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160036.57999999999</v>
          </cell>
          <cell r="N401">
            <v>2023</v>
          </cell>
          <cell r="O401">
            <v>0</v>
          </cell>
          <cell r="P401">
            <v>0</v>
          </cell>
          <cell r="Q401" t="str">
            <v>-</v>
          </cell>
          <cell r="R401">
            <v>0</v>
          </cell>
          <cell r="S401" t="b">
            <v>1</v>
          </cell>
        </row>
        <row r="402">
          <cell r="A402">
            <v>401</v>
          </cell>
          <cell r="B402">
            <v>45063.542638888888</v>
          </cell>
          <cell r="C402" t="str">
            <v>INV(BAL) / 2023-2024 / 3917</v>
          </cell>
          <cell r="D402" t="str">
            <v>RETAIL</v>
          </cell>
          <cell r="E402">
            <v>160036.57999999999</v>
          </cell>
          <cell r="F402">
            <v>0</v>
          </cell>
          <cell r="G402">
            <v>549</v>
          </cell>
          <cell r="H402">
            <v>0</v>
          </cell>
          <cell r="I402">
            <v>93888.85</v>
          </cell>
          <cell r="J402">
            <v>32861.1</v>
          </cell>
          <cell r="K402">
            <v>1268</v>
          </cell>
          <cell r="L402">
            <v>128017.95</v>
          </cell>
          <cell r="M402">
            <v>32018.63</v>
          </cell>
          <cell r="N402">
            <v>2023</v>
          </cell>
          <cell r="O402">
            <v>0.35000002662722995</v>
          </cell>
          <cell r="P402">
            <v>1.350533103771108E-2</v>
          </cell>
          <cell r="Q402" t="str">
            <v>Beer</v>
          </cell>
          <cell r="R402">
            <v>549</v>
          </cell>
          <cell r="S402" t="b">
            <v>1</v>
          </cell>
        </row>
        <row r="403">
          <cell r="A403">
            <v>402</v>
          </cell>
          <cell r="B403">
            <v>45064.498541666668</v>
          </cell>
          <cell r="C403" t="str">
            <v>OSBC/BAL/MR/5200/2023-2024</v>
          </cell>
          <cell r="D403" t="str">
            <v>GOVT</v>
          </cell>
          <cell r="E403">
            <v>32018.63</v>
          </cell>
          <cell r="F403">
            <v>55000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87018.63</v>
          </cell>
          <cell r="N403">
            <v>2023</v>
          </cell>
          <cell r="O403">
            <v>0</v>
          </cell>
          <cell r="P403">
            <v>0</v>
          </cell>
          <cell r="Q403" t="str">
            <v>-</v>
          </cell>
          <cell r="R403">
            <v>0</v>
          </cell>
          <cell r="S403" t="b">
            <v>1</v>
          </cell>
        </row>
        <row r="404">
          <cell r="A404">
            <v>403</v>
          </cell>
          <cell r="B404">
            <v>45066.463773148149</v>
          </cell>
          <cell r="C404" t="str">
            <v>OSBC/BAL/MR/5468/2023-2024</v>
          </cell>
          <cell r="D404" t="str">
            <v>GOVT</v>
          </cell>
          <cell r="E404">
            <v>87018.63</v>
          </cell>
          <cell r="F404">
            <v>80000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167018.63</v>
          </cell>
          <cell r="N404">
            <v>2023</v>
          </cell>
          <cell r="O404">
            <v>0</v>
          </cell>
          <cell r="P404">
            <v>0</v>
          </cell>
          <cell r="Q404" t="str">
            <v>-</v>
          </cell>
          <cell r="R404">
            <v>0</v>
          </cell>
          <cell r="S404" t="b">
            <v>1</v>
          </cell>
        </row>
        <row r="405">
          <cell r="A405">
            <v>404</v>
          </cell>
          <cell r="B405">
            <v>45066.945057870369</v>
          </cell>
          <cell r="C405" t="str">
            <v>INV(BAL) / 2023-2024 / 4358</v>
          </cell>
          <cell r="D405" t="str">
            <v>RETAIL</v>
          </cell>
          <cell r="E405">
            <v>167018.63</v>
          </cell>
          <cell r="F405">
            <v>0</v>
          </cell>
          <cell r="G405">
            <v>754.2</v>
          </cell>
          <cell r="H405">
            <v>0</v>
          </cell>
          <cell r="I405">
            <v>119047.91</v>
          </cell>
          <cell r="J405">
            <v>41666.949999999997</v>
          </cell>
          <cell r="K405">
            <v>1607</v>
          </cell>
          <cell r="L405">
            <v>162321.85999999999</v>
          </cell>
          <cell r="M405">
            <v>4696.7700000000004</v>
          </cell>
          <cell r="N405">
            <v>2023</v>
          </cell>
          <cell r="O405">
            <v>0.35000152459627387</v>
          </cell>
          <cell r="P405">
            <v>1.3498767009013429E-2</v>
          </cell>
          <cell r="Q405" t="str">
            <v>Beer</v>
          </cell>
          <cell r="R405">
            <v>754.2</v>
          </cell>
          <cell r="S405" t="b">
            <v>1</v>
          </cell>
        </row>
        <row r="406">
          <cell r="A406">
            <v>405</v>
          </cell>
          <cell r="B406">
            <v>45076.422754629632</v>
          </cell>
          <cell r="C406" t="str">
            <v>OSBC/BAL/MR/6988/2023-2024</v>
          </cell>
          <cell r="D406" t="str">
            <v>GOVT</v>
          </cell>
          <cell r="E406">
            <v>4696.7700000000004</v>
          </cell>
          <cell r="F406">
            <v>160000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164696.76999999999</v>
          </cell>
          <cell r="N406">
            <v>2023</v>
          </cell>
          <cell r="O406">
            <v>0</v>
          </cell>
          <cell r="P406">
            <v>0</v>
          </cell>
          <cell r="Q406" t="str">
            <v>-</v>
          </cell>
          <cell r="R406">
            <v>0</v>
          </cell>
          <cell r="S406" t="b">
            <v>1</v>
          </cell>
        </row>
        <row r="407">
          <cell r="A407">
            <v>406</v>
          </cell>
          <cell r="B407">
            <v>45076.703032407408</v>
          </cell>
          <cell r="C407" t="str">
            <v>INV(BAL) / 2023-2024 / 5613</v>
          </cell>
          <cell r="D407" t="str">
            <v>RETAIL</v>
          </cell>
          <cell r="E407">
            <v>164696.76999999999</v>
          </cell>
          <cell r="F407">
            <v>0</v>
          </cell>
          <cell r="G407">
            <v>0</v>
          </cell>
          <cell r="H407">
            <v>52.38</v>
          </cell>
          <cell r="I407">
            <v>53253.99</v>
          </cell>
          <cell r="J407">
            <v>18638.900000000001</v>
          </cell>
          <cell r="K407">
            <v>719</v>
          </cell>
          <cell r="L407">
            <v>72611.89</v>
          </cell>
          <cell r="M407">
            <v>92084.88</v>
          </cell>
          <cell r="N407">
            <v>2023</v>
          </cell>
          <cell r="O407">
            <v>0.35000006572277498</v>
          </cell>
          <cell r="P407">
            <v>1.3501335768456035E-2</v>
          </cell>
          <cell r="Q407" t="str">
            <v>Liquor</v>
          </cell>
          <cell r="R407">
            <v>69.84</v>
          </cell>
          <cell r="S407" t="b">
            <v>1</v>
          </cell>
        </row>
        <row r="408">
          <cell r="A408">
            <v>407</v>
          </cell>
          <cell r="B408">
            <v>45076.703576388885</v>
          </cell>
          <cell r="C408" t="str">
            <v>INV(BAL) / 2023-2024 / 5614</v>
          </cell>
          <cell r="D408" t="str">
            <v>RETAIL</v>
          </cell>
          <cell r="E408">
            <v>92084.88</v>
          </cell>
          <cell r="F408">
            <v>0</v>
          </cell>
          <cell r="G408">
            <v>397.8</v>
          </cell>
          <cell r="H408">
            <v>0</v>
          </cell>
          <cell r="I408">
            <v>66587.27</v>
          </cell>
          <cell r="J408">
            <v>23305.54</v>
          </cell>
          <cell r="K408">
            <v>899</v>
          </cell>
          <cell r="L408">
            <v>90791.81</v>
          </cell>
          <cell r="M408">
            <v>1293.07</v>
          </cell>
          <cell r="N408">
            <v>2023</v>
          </cell>
          <cell r="O408">
            <v>0.34999993241951499</v>
          </cell>
          <cell r="P408">
            <v>1.3501079110166252E-2</v>
          </cell>
          <cell r="Q408" t="str">
            <v>Beer</v>
          </cell>
          <cell r="R408">
            <v>397.8</v>
          </cell>
          <cell r="S408" t="b">
            <v>1</v>
          </cell>
        </row>
        <row r="409">
          <cell r="A409">
            <v>408</v>
          </cell>
          <cell r="B409">
            <v>45079.468310185184</v>
          </cell>
          <cell r="C409" t="str">
            <v>OSBC/BAL/MR/7520/2023-2024</v>
          </cell>
          <cell r="D409" t="str">
            <v>GOVT</v>
          </cell>
          <cell r="E409">
            <v>1293.07</v>
          </cell>
          <cell r="F409">
            <v>320000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321293.07</v>
          </cell>
          <cell r="N409">
            <v>2023</v>
          </cell>
          <cell r="O409">
            <v>0</v>
          </cell>
          <cell r="P409">
            <v>0</v>
          </cell>
          <cell r="Q409" t="str">
            <v>-</v>
          </cell>
          <cell r="R409">
            <v>0</v>
          </cell>
          <cell r="S409" t="b">
            <v>1</v>
          </cell>
        </row>
        <row r="410">
          <cell r="A410">
            <v>409</v>
          </cell>
          <cell r="B410">
            <v>45079.530868055554</v>
          </cell>
          <cell r="C410" t="str">
            <v>INV(BAL) / 2023-2024 / 6031</v>
          </cell>
          <cell r="D410" t="str">
            <v>RETAIL</v>
          </cell>
          <cell r="E410">
            <v>321293.07</v>
          </cell>
          <cell r="F410">
            <v>0</v>
          </cell>
          <cell r="G410">
            <v>418.8</v>
          </cell>
          <cell r="H410">
            <v>0</v>
          </cell>
          <cell r="I410">
            <v>71984.12</v>
          </cell>
          <cell r="J410">
            <v>25194.44</v>
          </cell>
          <cell r="K410">
            <v>972</v>
          </cell>
          <cell r="L410">
            <v>98150.56</v>
          </cell>
          <cell r="M410">
            <v>223142.51</v>
          </cell>
          <cell r="N410">
            <v>2023</v>
          </cell>
          <cell r="O410">
            <v>0.34999997221609436</v>
          </cell>
          <cell r="P410">
            <v>1.350297815684904E-2</v>
          </cell>
          <cell r="Q410" t="str">
            <v>Beer</v>
          </cell>
          <cell r="R410">
            <v>418.8</v>
          </cell>
          <cell r="S410" t="b">
            <v>1</v>
          </cell>
        </row>
        <row r="411">
          <cell r="A411">
            <v>410</v>
          </cell>
          <cell r="B411">
            <v>45079.531608796293</v>
          </cell>
          <cell r="C411" t="str">
            <v>INV(BAL) / 2023-2024 / 6032</v>
          </cell>
          <cell r="D411" t="str">
            <v>RETAIL</v>
          </cell>
          <cell r="E411">
            <v>223142.51</v>
          </cell>
          <cell r="F411">
            <v>0</v>
          </cell>
          <cell r="G411">
            <v>0</v>
          </cell>
          <cell r="H411">
            <v>102.02</v>
          </cell>
          <cell r="I411">
            <v>99411.42</v>
          </cell>
          <cell r="J411">
            <v>34794</v>
          </cell>
          <cell r="K411">
            <v>1342</v>
          </cell>
          <cell r="L411">
            <v>135547.42000000001</v>
          </cell>
          <cell r="M411">
            <v>87595.09</v>
          </cell>
          <cell r="N411">
            <v>2023</v>
          </cell>
          <cell r="O411">
            <v>0.35000003017761944</v>
          </cell>
          <cell r="P411">
            <v>1.3499455092785115E-2</v>
          </cell>
          <cell r="Q411" t="str">
            <v>Liquor</v>
          </cell>
          <cell r="R411">
            <v>136.02666666666667</v>
          </cell>
          <cell r="S411" t="b">
            <v>1</v>
          </cell>
        </row>
        <row r="412">
          <cell r="A412">
            <v>411</v>
          </cell>
          <cell r="B412">
            <v>45083.819444444445</v>
          </cell>
          <cell r="C412" t="str">
            <v>INV(BAL) / 2023-2024 / 6795</v>
          </cell>
          <cell r="D412" t="str">
            <v>RETAIL</v>
          </cell>
          <cell r="E412">
            <v>87595.09</v>
          </cell>
          <cell r="F412">
            <v>0</v>
          </cell>
          <cell r="G412">
            <v>383.4</v>
          </cell>
          <cell r="H412">
            <v>0</v>
          </cell>
          <cell r="I412">
            <v>63254.080000000002</v>
          </cell>
          <cell r="J412">
            <v>22139.02</v>
          </cell>
          <cell r="K412">
            <v>854</v>
          </cell>
          <cell r="L412">
            <v>86247.1</v>
          </cell>
          <cell r="M412">
            <v>1347.99</v>
          </cell>
          <cell r="N412">
            <v>2023</v>
          </cell>
          <cell r="O412">
            <v>0.35000145445163378</v>
          </cell>
          <cell r="P412">
            <v>1.3501105383241681E-2</v>
          </cell>
          <cell r="Q412" t="str">
            <v>Beer</v>
          </cell>
          <cell r="R412">
            <v>383.4</v>
          </cell>
          <cell r="S412" t="b">
            <v>1</v>
          </cell>
        </row>
        <row r="413">
          <cell r="A413">
            <v>412</v>
          </cell>
          <cell r="B413">
            <v>45089.46056712963</v>
          </cell>
          <cell r="C413" t="str">
            <v>OSBC/BAL/MR/9064/2023-2024</v>
          </cell>
          <cell r="D413" t="str">
            <v>GOVT</v>
          </cell>
          <cell r="E413">
            <v>1347.99</v>
          </cell>
          <cell r="F413">
            <v>150000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151347.99</v>
          </cell>
          <cell r="N413">
            <v>2023</v>
          </cell>
          <cell r="O413">
            <v>0</v>
          </cell>
          <cell r="P413">
            <v>0</v>
          </cell>
          <cell r="Q413" t="str">
            <v>-</v>
          </cell>
          <cell r="R413">
            <v>0</v>
          </cell>
          <cell r="S413" t="b">
            <v>1</v>
          </cell>
        </row>
        <row r="414">
          <cell r="A414">
            <v>413</v>
          </cell>
          <cell r="B414">
            <v>45089.726180555554</v>
          </cell>
          <cell r="C414" t="str">
            <v>INV(BAL) / 2023-2024 / 7633</v>
          </cell>
          <cell r="D414" t="str">
            <v>RETAIL</v>
          </cell>
          <cell r="E414">
            <v>151347.99</v>
          </cell>
          <cell r="F414">
            <v>0</v>
          </cell>
          <cell r="G414">
            <v>583.79999999999995</v>
          </cell>
          <cell r="H414">
            <v>0</v>
          </cell>
          <cell r="I414">
            <v>94920.71</v>
          </cell>
          <cell r="J414">
            <v>33222.26</v>
          </cell>
          <cell r="K414">
            <v>1281</v>
          </cell>
          <cell r="L414">
            <v>129423.97</v>
          </cell>
          <cell r="M414">
            <v>21924.02</v>
          </cell>
          <cell r="N414">
            <v>2023</v>
          </cell>
          <cell r="O414">
            <v>0.35000012115375034</v>
          </cell>
          <cell r="P414">
            <v>1.3495474275318841E-2</v>
          </cell>
          <cell r="Q414" t="str">
            <v>Beer</v>
          </cell>
          <cell r="R414">
            <v>583.79999999999995</v>
          </cell>
          <cell r="S414" t="b">
            <v>1</v>
          </cell>
        </row>
        <row r="415">
          <cell r="A415">
            <v>414</v>
          </cell>
          <cell r="B415">
            <v>45094.381724537037</v>
          </cell>
          <cell r="C415" t="str">
            <v>OSBC/BAL/MR/9835/2023-2024</v>
          </cell>
          <cell r="D415" t="str">
            <v>GOVT</v>
          </cell>
          <cell r="E415">
            <v>21924.02</v>
          </cell>
          <cell r="F415">
            <v>340000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361924.02</v>
          </cell>
          <cell r="N415">
            <v>2023</v>
          </cell>
          <cell r="O415">
            <v>0</v>
          </cell>
          <cell r="P415">
            <v>0</v>
          </cell>
          <cell r="Q415" t="str">
            <v>-</v>
          </cell>
          <cell r="R415">
            <v>0</v>
          </cell>
          <cell r="S415" t="b">
            <v>1</v>
          </cell>
        </row>
        <row r="416">
          <cell r="A416">
            <v>415</v>
          </cell>
          <cell r="B416">
            <v>45094.522719907407</v>
          </cell>
          <cell r="C416" t="str">
            <v>OSBC/BAL/MR/9979/2023-2024</v>
          </cell>
          <cell r="D416" t="str">
            <v>GOVT</v>
          </cell>
          <cell r="E416">
            <v>361924.02</v>
          </cell>
          <cell r="F416">
            <v>80000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441924.02</v>
          </cell>
          <cell r="N416">
            <v>2023</v>
          </cell>
          <cell r="O416">
            <v>0</v>
          </cell>
          <cell r="P416">
            <v>0</v>
          </cell>
          <cell r="Q416" t="str">
            <v>-</v>
          </cell>
          <cell r="R416">
            <v>0</v>
          </cell>
          <cell r="S416" t="b">
            <v>1</v>
          </cell>
        </row>
        <row r="417">
          <cell r="A417">
            <v>416</v>
          </cell>
          <cell r="B417">
            <v>45094.952592592592</v>
          </cell>
          <cell r="C417" t="str">
            <v>INV(BAL) / 2023-2024 / 8765</v>
          </cell>
          <cell r="D417" t="str">
            <v>RETAIL</v>
          </cell>
          <cell r="E417">
            <v>441924.02</v>
          </cell>
          <cell r="F417">
            <v>0</v>
          </cell>
          <cell r="G417">
            <v>0</v>
          </cell>
          <cell r="H417">
            <v>248.4</v>
          </cell>
          <cell r="I417">
            <v>215763.31</v>
          </cell>
          <cell r="J417">
            <v>75517.16</v>
          </cell>
          <cell r="K417">
            <v>2913</v>
          </cell>
          <cell r="L417">
            <v>294193.46999999997</v>
          </cell>
          <cell r="M417">
            <v>147730.54999999999</v>
          </cell>
          <cell r="N417">
            <v>2023</v>
          </cell>
          <cell r="O417">
            <v>0.35000000695206246</v>
          </cell>
          <cell r="P417">
            <v>1.3500905228048272E-2</v>
          </cell>
          <cell r="Q417" t="str">
            <v>Liquor</v>
          </cell>
          <cell r="R417">
            <v>331.2</v>
          </cell>
          <cell r="S417" t="b">
            <v>1</v>
          </cell>
        </row>
        <row r="418">
          <cell r="A418">
            <v>417</v>
          </cell>
          <cell r="B418">
            <v>45094.9528587963</v>
          </cell>
          <cell r="C418" t="str">
            <v>INV(BAL) / 2023-2024 / 8766</v>
          </cell>
          <cell r="D418" t="str">
            <v>RETAIL</v>
          </cell>
          <cell r="E418">
            <v>147730.54999999999</v>
          </cell>
          <cell r="F418">
            <v>0</v>
          </cell>
          <cell r="G418">
            <v>336.6</v>
          </cell>
          <cell r="H418">
            <v>0</v>
          </cell>
          <cell r="I418">
            <v>62063.56</v>
          </cell>
          <cell r="J418">
            <v>21722.22</v>
          </cell>
          <cell r="K418">
            <v>838</v>
          </cell>
          <cell r="L418">
            <v>84623.78</v>
          </cell>
          <cell r="M418">
            <v>63106.77</v>
          </cell>
          <cell r="N418">
            <v>2023</v>
          </cell>
          <cell r="O418">
            <v>0.34999958107462742</v>
          </cell>
          <cell r="P418">
            <v>1.3502287010284296E-2</v>
          </cell>
          <cell r="Q418" t="str">
            <v>Beer</v>
          </cell>
          <cell r="R418">
            <v>336.6</v>
          </cell>
          <cell r="S418" t="b">
            <v>1</v>
          </cell>
        </row>
        <row r="419">
          <cell r="A419">
            <v>418</v>
          </cell>
          <cell r="B419">
            <v>45096.432719907411</v>
          </cell>
          <cell r="C419" t="str">
            <v>OSBC/BAL/MR/10200/2023-2024</v>
          </cell>
          <cell r="D419" t="str">
            <v>GOVT</v>
          </cell>
          <cell r="E419">
            <v>63106.77</v>
          </cell>
          <cell r="F419">
            <v>120000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183106.77</v>
          </cell>
          <cell r="N419">
            <v>2023</v>
          </cell>
          <cell r="O419">
            <v>0</v>
          </cell>
          <cell r="P419">
            <v>0</v>
          </cell>
          <cell r="Q419" t="str">
            <v>-</v>
          </cell>
          <cell r="R419">
            <v>0</v>
          </cell>
          <cell r="S419" t="b">
            <v>1</v>
          </cell>
        </row>
        <row r="420">
          <cell r="A420">
            <v>419</v>
          </cell>
          <cell r="B420">
            <v>45096.902256944442</v>
          </cell>
          <cell r="C420" t="str">
            <v>INV(BAL) / 2023-2024 / 9177</v>
          </cell>
          <cell r="D420" t="str">
            <v>RETAIL</v>
          </cell>
          <cell r="E420">
            <v>183106.77</v>
          </cell>
          <cell r="F420">
            <v>0</v>
          </cell>
          <cell r="G420">
            <v>475.8</v>
          </cell>
          <cell r="H420">
            <v>0</v>
          </cell>
          <cell r="I420">
            <v>73016</v>
          </cell>
          <cell r="J420">
            <v>25555.64</v>
          </cell>
          <cell r="K420">
            <v>986</v>
          </cell>
          <cell r="L420">
            <v>99557.64</v>
          </cell>
          <cell r="M420">
            <v>83549.13</v>
          </cell>
          <cell r="N420">
            <v>2023</v>
          </cell>
          <cell r="O420">
            <v>0.35000054782513423</v>
          </cell>
          <cell r="P420">
            <v>1.3503889558452942E-2</v>
          </cell>
          <cell r="Q420" t="str">
            <v>Beer</v>
          </cell>
          <cell r="R420">
            <v>475.8</v>
          </cell>
          <cell r="S420" t="b">
            <v>1</v>
          </cell>
        </row>
        <row r="421">
          <cell r="A421">
            <v>420</v>
          </cell>
          <cell r="B421">
            <v>45099.461192129631</v>
          </cell>
          <cell r="C421" t="str">
            <v>OSBC/BAL/MR/10723/2023-2024</v>
          </cell>
          <cell r="D421" t="str">
            <v>GOVT</v>
          </cell>
          <cell r="E421">
            <v>83549.13</v>
          </cell>
          <cell r="F421">
            <v>100000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183549.13</v>
          </cell>
          <cell r="N421">
            <v>2023</v>
          </cell>
          <cell r="O421">
            <v>0</v>
          </cell>
          <cell r="P421">
            <v>0</v>
          </cell>
          <cell r="Q421" t="str">
            <v>-</v>
          </cell>
          <cell r="R421">
            <v>0</v>
          </cell>
          <cell r="S421" t="b">
            <v>1</v>
          </cell>
        </row>
        <row r="422">
          <cell r="A422">
            <v>421</v>
          </cell>
          <cell r="B422">
            <v>45099.718344907407</v>
          </cell>
          <cell r="C422" t="str">
            <v>INV(BAL) / 2023-2024 / 9656</v>
          </cell>
          <cell r="D422" t="str">
            <v>RETAIL</v>
          </cell>
          <cell r="E422">
            <v>183549.13</v>
          </cell>
          <cell r="F422">
            <v>0</v>
          </cell>
          <cell r="G422">
            <v>774</v>
          </cell>
          <cell r="H422">
            <v>0</v>
          </cell>
          <cell r="I422">
            <v>120952.59</v>
          </cell>
          <cell r="J422">
            <v>42333.56</v>
          </cell>
          <cell r="K422">
            <v>1633</v>
          </cell>
          <cell r="L422">
            <v>164919.15</v>
          </cell>
          <cell r="M422">
            <v>18629.98</v>
          </cell>
          <cell r="N422">
            <v>2023</v>
          </cell>
          <cell r="O422">
            <v>0.35000126909229473</v>
          </cell>
          <cell r="P422">
            <v>1.3501157767684017E-2</v>
          </cell>
          <cell r="Q422" t="str">
            <v>Beer</v>
          </cell>
          <cell r="R422">
            <v>774</v>
          </cell>
          <cell r="S422" t="b">
            <v>1</v>
          </cell>
        </row>
        <row r="423">
          <cell r="A423">
            <v>422</v>
          </cell>
          <cell r="B423">
            <v>45101.492766203701</v>
          </cell>
          <cell r="C423" t="str">
            <v>OSBC/BAL/MR/11127/2023-2024</v>
          </cell>
          <cell r="D423" t="str">
            <v>GOVT</v>
          </cell>
          <cell r="E423">
            <v>18629.98</v>
          </cell>
          <cell r="F423">
            <v>202000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220629.98</v>
          </cell>
          <cell r="N423">
            <v>2023</v>
          </cell>
          <cell r="O423">
            <v>0</v>
          </cell>
          <cell r="P423">
            <v>0</v>
          </cell>
          <cell r="Q423" t="str">
            <v>-</v>
          </cell>
          <cell r="R423">
            <v>0</v>
          </cell>
          <cell r="S423" t="b">
            <v>1</v>
          </cell>
        </row>
        <row r="424">
          <cell r="A424">
            <v>423</v>
          </cell>
          <cell r="B424">
            <v>45101.78056712963</v>
          </cell>
          <cell r="C424" t="str">
            <v>INV(BAL) / 2023-2024 / 10078</v>
          </cell>
          <cell r="D424" t="str">
            <v>RETAIL</v>
          </cell>
          <cell r="E424">
            <v>220629.98</v>
          </cell>
          <cell r="F424">
            <v>0</v>
          </cell>
          <cell r="G424">
            <v>492</v>
          </cell>
          <cell r="H424">
            <v>0</v>
          </cell>
          <cell r="I424">
            <v>76031.92</v>
          </cell>
          <cell r="J424">
            <v>26611.24</v>
          </cell>
          <cell r="K424">
            <v>1026</v>
          </cell>
          <cell r="L424">
            <v>103669.16</v>
          </cell>
          <cell r="M424">
            <v>116960.82</v>
          </cell>
          <cell r="N424">
            <v>2023</v>
          </cell>
          <cell r="O424">
            <v>0.3500008943612104</v>
          </cell>
          <cell r="P424">
            <v>1.3494332380400232E-2</v>
          </cell>
          <cell r="Q424" t="str">
            <v>Beer</v>
          </cell>
          <cell r="R424">
            <v>492</v>
          </cell>
          <cell r="S424" t="b">
            <v>1</v>
          </cell>
        </row>
        <row r="425">
          <cell r="A425">
            <v>424</v>
          </cell>
          <cell r="B425">
            <v>45101.781412037039</v>
          </cell>
          <cell r="C425" t="str">
            <v>INV(BAL) / 2023-2024 / 10079</v>
          </cell>
          <cell r="D425" t="str">
            <v>RETAIL</v>
          </cell>
          <cell r="E425">
            <v>116960.82</v>
          </cell>
          <cell r="F425">
            <v>0</v>
          </cell>
          <cell r="G425">
            <v>0</v>
          </cell>
          <cell r="H425">
            <v>86.64</v>
          </cell>
          <cell r="I425">
            <v>85142.9</v>
          </cell>
          <cell r="J425">
            <v>29800.01</v>
          </cell>
          <cell r="K425">
            <v>1149</v>
          </cell>
          <cell r="L425">
            <v>116091.91</v>
          </cell>
          <cell r="M425">
            <v>868.91</v>
          </cell>
          <cell r="N425">
            <v>2023</v>
          </cell>
          <cell r="O425">
            <v>0.34999994127519735</v>
          </cell>
          <cell r="P425">
            <v>1.3494959650188097E-2</v>
          </cell>
          <cell r="Q425" t="str">
            <v>Liquor</v>
          </cell>
          <cell r="R425">
            <v>115.52</v>
          </cell>
          <cell r="S425" t="b">
            <v>1</v>
          </cell>
        </row>
        <row r="426">
          <cell r="A426">
            <v>425</v>
          </cell>
          <cell r="B426">
            <v>45106.466979166667</v>
          </cell>
          <cell r="C426" t="str">
            <v>OSBC/BAL/MR/11791/2023-2024</v>
          </cell>
          <cell r="D426" t="str">
            <v>GOVT</v>
          </cell>
          <cell r="E426">
            <v>868.91</v>
          </cell>
          <cell r="F426">
            <v>350000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350868.91</v>
          </cell>
          <cell r="N426">
            <v>2023</v>
          </cell>
          <cell r="O426">
            <v>0</v>
          </cell>
          <cell r="P426">
            <v>0</v>
          </cell>
          <cell r="Q426" t="str">
            <v>-</v>
          </cell>
          <cell r="R426">
            <v>0</v>
          </cell>
          <cell r="S426" t="b">
            <v>1</v>
          </cell>
        </row>
        <row r="427">
          <cell r="A427">
            <v>426</v>
          </cell>
          <cell r="B427">
            <v>45106.728449074071</v>
          </cell>
          <cell r="C427" t="str">
            <v>INV(BAL) / 2023-2024 / 10673</v>
          </cell>
          <cell r="D427" t="str">
            <v>RETAIL</v>
          </cell>
          <cell r="E427">
            <v>350868.91</v>
          </cell>
          <cell r="F427">
            <v>0</v>
          </cell>
          <cell r="G427">
            <v>0</v>
          </cell>
          <cell r="H427">
            <v>256.93</v>
          </cell>
          <cell r="I427">
            <v>257010.63</v>
          </cell>
          <cell r="J427">
            <v>89953.72</v>
          </cell>
          <cell r="K427">
            <v>3470</v>
          </cell>
          <cell r="L427">
            <v>350434.35</v>
          </cell>
          <cell r="M427">
            <v>434.56</v>
          </cell>
          <cell r="N427">
            <v>2023</v>
          </cell>
          <cell r="O427">
            <v>0.34999999805455517</v>
          </cell>
          <cell r="P427">
            <v>1.350138708270549E-2</v>
          </cell>
          <cell r="Q427" t="str">
            <v>Liquor</v>
          </cell>
          <cell r="R427">
            <v>342.57333333333332</v>
          </cell>
          <cell r="S427" t="b">
            <v>1</v>
          </cell>
        </row>
        <row r="428">
          <cell r="A428">
            <v>427</v>
          </cell>
          <cell r="B428">
            <v>45111.491631944446</v>
          </cell>
          <cell r="C428" t="str">
            <v>OSBC/BAL/MR/12476/2023-2024</v>
          </cell>
          <cell r="D428" t="str">
            <v>GOVT</v>
          </cell>
          <cell r="E428">
            <v>434.56</v>
          </cell>
          <cell r="F428">
            <v>320000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320434.56</v>
          </cell>
          <cell r="N428">
            <v>2023</v>
          </cell>
          <cell r="O428">
            <v>0</v>
          </cell>
          <cell r="P428">
            <v>0</v>
          </cell>
          <cell r="Q428" t="str">
            <v>-</v>
          </cell>
          <cell r="R428">
            <v>0</v>
          </cell>
          <cell r="S428" t="b">
            <v>1</v>
          </cell>
        </row>
        <row r="429">
          <cell r="A429">
            <v>428</v>
          </cell>
          <cell r="B429">
            <v>45111.735046296293</v>
          </cell>
          <cell r="C429" t="str">
            <v>INV(BAL) / 2023-2024 / 11228</v>
          </cell>
          <cell r="D429" t="str">
            <v>RETAIL</v>
          </cell>
          <cell r="E429">
            <v>320434.56</v>
          </cell>
          <cell r="F429">
            <v>0</v>
          </cell>
          <cell r="G429">
            <v>0</v>
          </cell>
          <cell r="H429">
            <v>106.38</v>
          </cell>
          <cell r="I429">
            <v>101269.85</v>
          </cell>
          <cell r="J429">
            <v>35444.449999999997</v>
          </cell>
          <cell r="K429">
            <v>1367</v>
          </cell>
          <cell r="L429">
            <v>138081.29999999999</v>
          </cell>
          <cell r="M429">
            <v>182353.26</v>
          </cell>
          <cell r="N429">
            <v>2023</v>
          </cell>
          <cell r="O429">
            <v>0.3500000246865182</v>
          </cell>
          <cell r="P429">
            <v>1.3498588178021395E-2</v>
          </cell>
          <cell r="Q429" t="str">
            <v>Liquor</v>
          </cell>
          <cell r="R429">
            <v>141.84</v>
          </cell>
          <cell r="S429" t="b">
            <v>1</v>
          </cell>
        </row>
        <row r="430">
          <cell r="A430">
            <v>429</v>
          </cell>
          <cell r="B430">
            <v>45111.736504629633</v>
          </cell>
          <cell r="C430" t="str">
            <v>INV(BAL) / 2023-2024 / 11229</v>
          </cell>
          <cell r="D430" t="str">
            <v>RETAIL</v>
          </cell>
          <cell r="E430">
            <v>182353.26</v>
          </cell>
          <cell r="F430">
            <v>0</v>
          </cell>
          <cell r="G430">
            <v>791.4</v>
          </cell>
          <cell r="H430">
            <v>0</v>
          </cell>
          <cell r="I430">
            <v>133492.13</v>
          </cell>
          <cell r="J430">
            <v>46722.18</v>
          </cell>
          <cell r="K430">
            <v>1802</v>
          </cell>
          <cell r="L430">
            <v>182016.31</v>
          </cell>
          <cell r="M430">
            <v>336.95</v>
          </cell>
          <cell r="N430">
            <v>2023</v>
          </cell>
          <cell r="O430">
            <v>0.34999950933437046</v>
          </cell>
          <cell r="P430">
            <v>1.3498923120037113E-2</v>
          </cell>
          <cell r="Q430" t="str">
            <v>Beer</v>
          </cell>
          <cell r="R430">
            <v>791.4</v>
          </cell>
          <cell r="S430" t="b">
            <v>1</v>
          </cell>
        </row>
        <row r="431">
          <cell r="A431">
            <v>430</v>
          </cell>
          <cell r="B431">
            <v>45120.497824074075</v>
          </cell>
          <cell r="C431" t="str">
            <v>OSBC/BAL/MR/13748/2023-2024</v>
          </cell>
          <cell r="D431" t="str">
            <v>GOVT</v>
          </cell>
          <cell r="E431">
            <v>336.95</v>
          </cell>
          <cell r="F431">
            <v>275000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275336.95</v>
          </cell>
          <cell r="N431">
            <v>2023</v>
          </cell>
          <cell r="O431">
            <v>0</v>
          </cell>
          <cell r="P431">
            <v>0</v>
          </cell>
          <cell r="Q431" t="str">
            <v>-</v>
          </cell>
          <cell r="R431">
            <v>0</v>
          </cell>
          <cell r="S431" t="b">
            <v>1</v>
          </cell>
        </row>
        <row r="432">
          <cell r="A432">
            <v>431</v>
          </cell>
          <cell r="B432">
            <v>45121.354618055557</v>
          </cell>
          <cell r="C432" t="str">
            <v>OSBC/BAL/MR/13811/2023-2024</v>
          </cell>
          <cell r="D432" t="str">
            <v>GOVT</v>
          </cell>
          <cell r="E432">
            <v>275336.95</v>
          </cell>
          <cell r="F432">
            <v>74000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349336.95</v>
          </cell>
          <cell r="N432">
            <v>2023</v>
          </cell>
          <cell r="O432">
            <v>0</v>
          </cell>
          <cell r="P432">
            <v>0</v>
          </cell>
          <cell r="Q432" t="str">
            <v>-</v>
          </cell>
          <cell r="R432">
            <v>0</v>
          </cell>
          <cell r="S432" t="b">
            <v>1</v>
          </cell>
        </row>
        <row r="433">
          <cell r="A433">
            <v>432</v>
          </cell>
          <cell r="B433">
            <v>45121.500694444447</v>
          </cell>
          <cell r="C433" t="str">
            <v>INV(BAL) / 2023-2024 / 12401</v>
          </cell>
          <cell r="D433" t="str">
            <v>RETAIL</v>
          </cell>
          <cell r="E433">
            <v>349336.95</v>
          </cell>
          <cell r="F433">
            <v>0</v>
          </cell>
          <cell r="G433">
            <v>231.6</v>
          </cell>
          <cell r="H433">
            <v>0</v>
          </cell>
          <cell r="I433">
            <v>40317.480000000003</v>
          </cell>
          <cell r="J433">
            <v>14111.1</v>
          </cell>
          <cell r="K433">
            <v>544</v>
          </cell>
          <cell r="L433">
            <v>54972.58</v>
          </cell>
          <cell r="M433">
            <v>294364.37</v>
          </cell>
          <cell r="N433">
            <v>2023</v>
          </cell>
          <cell r="O433">
            <v>0.34999955354352502</v>
          </cell>
          <cell r="P433">
            <v>1.3492906798738413E-2</v>
          </cell>
          <cell r="Q433" t="str">
            <v>Beer</v>
          </cell>
          <cell r="R433">
            <v>231.6</v>
          </cell>
          <cell r="S433" t="b">
            <v>1</v>
          </cell>
        </row>
        <row r="434">
          <cell r="A434">
            <v>433</v>
          </cell>
          <cell r="B434">
            <v>45121.501967592594</v>
          </cell>
          <cell r="C434" t="str">
            <v>INV(BAL) / 2023-2024 / 12402</v>
          </cell>
          <cell r="D434" t="str">
            <v>RETAIL</v>
          </cell>
          <cell r="E434">
            <v>294364.37</v>
          </cell>
          <cell r="F434">
            <v>0</v>
          </cell>
          <cell r="G434">
            <v>0</v>
          </cell>
          <cell r="H434">
            <v>245.74</v>
          </cell>
          <cell r="I434">
            <v>215251.77</v>
          </cell>
          <cell r="J434">
            <v>75338.12</v>
          </cell>
          <cell r="K434">
            <v>2906</v>
          </cell>
          <cell r="L434">
            <v>293495.89</v>
          </cell>
          <cell r="M434">
            <v>868.48</v>
          </cell>
          <cell r="N434">
            <v>2023</v>
          </cell>
          <cell r="O434">
            <v>0.35000000232286127</v>
          </cell>
          <cell r="P434">
            <v>1.3500469705777566E-2</v>
          </cell>
          <cell r="Q434" t="str">
            <v>Liquor</v>
          </cell>
          <cell r="R434">
            <v>327.65333333333336</v>
          </cell>
          <cell r="S434" t="b">
            <v>1</v>
          </cell>
        </row>
        <row r="435">
          <cell r="A435">
            <v>434</v>
          </cell>
          <cell r="B435">
            <v>45134.455370370371</v>
          </cell>
          <cell r="C435" t="str">
            <v>OSBC/BAL/MR/15321/2023-2024</v>
          </cell>
          <cell r="D435" t="str">
            <v>GOVT</v>
          </cell>
          <cell r="E435">
            <v>868.48</v>
          </cell>
          <cell r="F435">
            <v>330000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330868.47999999998</v>
          </cell>
          <cell r="N435">
            <v>2023</v>
          </cell>
          <cell r="O435">
            <v>0</v>
          </cell>
          <cell r="P435">
            <v>0</v>
          </cell>
          <cell r="Q435" t="str">
            <v>-</v>
          </cell>
          <cell r="R435">
            <v>0</v>
          </cell>
          <cell r="S435" t="b">
            <v>1</v>
          </cell>
        </row>
        <row r="436">
          <cell r="A436">
            <v>435</v>
          </cell>
          <cell r="B436">
            <v>45134.735300925924</v>
          </cell>
          <cell r="C436" t="str">
            <v>INV(BAL) / 2023-2024 / 13615</v>
          </cell>
          <cell r="D436" t="str">
            <v>RETAIL</v>
          </cell>
          <cell r="E436">
            <v>330868.47999999998</v>
          </cell>
          <cell r="F436">
            <v>0</v>
          </cell>
          <cell r="G436">
            <v>0</v>
          </cell>
          <cell r="H436">
            <v>259.25</v>
          </cell>
          <cell r="I436">
            <v>242364.07</v>
          </cell>
          <cell r="J436">
            <v>84827.43</v>
          </cell>
          <cell r="K436">
            <v>3272</v>
          </cell>
          <cell r="L436">
            <v>330463.5</v>
          </cell>
          <cell r="M436">
            <v>404.98</v>
          </cell>
          <cell r="N436">
            <v>2023</v>
          </cell>
          <cell r="O436">
            <v>0.35000002269313263</v>
          </cell>
          <cell r="P436">
            <v>1.3500350938982003E-2</v>
          </cell>
          <cell r="Q436" t="str">
            <v>Liquor</v>
          </cell>
          <cell r="R436">
            <v>345.66666666666669</v>
          </cell>
          <cell r="S436" t="b">
            <v>1</v>
          </cell>
        </row>
        <row r="437">
          <cell r="A437">
            <v>436</v>
          </cell>
          <cell r="B437">
            <v>45145.460868055554</v>
          </cell>
          <cell r="C437" t="str">
            <v>OSBC/BAL/MR/16420/2023-2024</v>
          </cell>
          <cell r="D437" t="str">
            <v>GOVT</v>
          </cell>
          <cell r="E437">
            <v>404.98</v>
          </cell>
          <cell r="F437">
            <v>230000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230404.98</v>
          </cell>
          <cell r="N437">
            <v>2023</v>
          </cell>
          <cell r="O437">
            <v>0</v>
          </cell>
          <cell r="P437">
            <v>0</v>
          </cell>
          <cell r="Q437" t="str">
            <v>-</v>
          </cell>
          <cell r="R437">
            <v>0</v>
          </cell>
          <cell r="S437" t="b">
            <v>1</v>
          </cell>
        </row>
        <row r="438">
          <cell r="A438">
            <v>437</v>
          </cell>
          <cell r="B438">
            <v>45145.687939814816</v>
          </cell>
          <cell r="C438" t="str">
            <v>INV(BAL) / 2023-2024 / 14414</v>
          </cell>
          <cell r="D438" t="str">
            <v>RETAIL</v>
          </cell>
          <cell r="E438">
            <v>230404.98</v>
          </cell>
          <cell r="F438">
            <v>0</v>
          </cell>
          <cell r="G438">
            <v>0</v>
          </cell>
          <cell r="H438">
            <v>108.13</v>
          </cell>
          <cell r="I438">
            <v>104284.44</v>
          </cell>
          <cell r="J438">
            <v>36499.550000000003</v>
          </cell>
          <cell r="K438">
            <v>1408</v>
          </cell>
          <cell r="L438">
            <v>142191.99</v>
          </cell>
          <cell r="M438">
            <v>88212.99</v>
          </cell>
          <cell r="N438">
            <v>2023</v>
          </cell>
          <cell r="O438">
            <v>0.34999996164336694</v>
          </cell>
          <cell r="P438">
            <v>1.35015348406723E-2</v>
          </cell>
          <cell r="Q438" t="str">
            <v>Liquor</v>
          </cell>
          <cell r="R438">
            <v>144.17333333333332</v>
          </cell>
          <cell r="S438" t="b">
            <v>1</v>
          </cell>
        </row>
        <row r="439">
          <cell r="A439">
            <v>438</v>
          </cell>
          <cell r="B439">
            <v>45145.688622685186</v>
          </cell>
          <cell r="C439" t="str">
            <v>INV(BAL) / 2023-2024 / 14415</v>
          </cell>
          <cell r="D439" t="str">
            <v>RETAIL</v>
          </cell>
          <cell r="E439">
            <v>88212.99</v>
          </cell>
          <cell r="F439">
            <v>0</v>
          </cell>
          <cell r="G439">
            <v>417</v>
          </cell>
          <cell r="H439">
            <v>0</v>
          </cell>
          <cell r="I439">
            <v>64603.29</v>
          </cell>
          <cell r="J439">
            <v>22611.15</v>
          </cell>
          <cell r="K439">
            <v>872</v>
          </cell>
          <cell r="L439">
            <v>88086.44</v>
          </cell>
          <cell r="M439">
            <v>126.55</v>
          </cell>
          <cell r="N439">
            <v>2023</v>
          </cell>
          <cell r="O439">
            <v>0.34999997678136829</v>
          </cell>
          <cell r="P439">
            <v>1.3497764587531068E-2</v>
          </cell>
          <cell r="Q439" t="str">
            <v>Beer</v>
          </cell>
          <cell r="R439">
            <v>417</v>
          </cell>
          <cell r="S439" t="b">
            <v>1</v>
          </cell>
        </row>
        <row r="440">
          <cell r="A440">
            <v>439</v>
          </cell>
          <cell r="B440">
            <v>45155.457777777781</v>
          </cell>
          <cell r="C440" t="str">
            <v>OSBC/BAL/MR/17600/2023-2024</v>
          </cell>
          <cell r="D440" t="str">
            <v>GOVT</v>
          </cell>
          <cell r="E440">
            <v>126.55</v>
          </cell>
          <cell r="F440">
            <v>345000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345126.55</v>
          </cell>
          <cell r="N440">
            <v>2023</v>
          </cell>
          <cell r="O440">
            <v>0</v>
          </cell>
          <cell r="P440">
            <v>0</v>
          </cell>
          <cell r="Q440" t="str">
            <v>-</v>
          </cell>
          <cell r="R440">
            <v>0</v>
          </cell>
          <cell r="S440" t="b">
            <v>1</v>
          </cell>
        </row>
        <row r="441">
          <cell r="A441">
            <v>440</v>
          </cell>
          <cell r="B441">
            <v>45155.733483796299</v>
          </cell>
          <cell r="C441" t="str">
            <v>INV(BAL) / 2023-2024 / 15294</v>
          </cell>
          <cell r="D441" t="str">
            <v>RETAIL</v>
          </cell>
          <cell r="E441">
            <v>345126.55</v>
          </cell>
          <cell r="F441">
            <v>0</v>
          </cell>
          <cell r="G441">
            <v>0</v>
          </cell>
          <cell r="H441">
            <v>268.10000000000002</v>
          </cell>
          <cell r="I441">
            <v>228424.1</v>
          </cell>
          <cell r="J441">
            <v>79948.350000000006</v>
          </cell>
          <cell r="K441">
            <v>3084</v>
          </cell>
          <cell r="L441">
            <v>311456.45</v>
          </cell>
          <cell r="M441">
            <v>33670.1</v>
          </cell>
          <cell r="N441">
            <v>2023</v>
          </cell>
          <cell r="O441">
            <v>0.34999962788514871</v>
          </cell>
          <cell r="P441">
            <v>1.3501202368751809E-2</v>
          </cell>
          <cell r="Q441" t="str">
            <v>Liquor</v>
          </cell>
          <cell r="R441">
            <v>357.4666666666667</v>
          </cell>
          <cell r="S441" t="b">
            <v>1</v>
          </cell>
        </row>
        <row r="442">
          <cell r="A442">
            <v>441</v>
          </cell>
          <cell r="B442">
            <v>45162.377881944441</v>
          </cell>
          <cell r="C442" t="str">
            <v>OSBC/BAL/MR/18299/2023-2024</v>
          </cell>
          <cell r="D442" t="str">
            <v>GOVT</v>
          </cell>
          <cell r="E442">
            <v>33670.1</v>
          </cell>
          <cell r="F442">
            <v>255000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288670.09999999998</v>
          </cell>
          <cell r="N442">
            <v>2023</v>
          </cell>
          <cell r="O442">
            <v>0</v>
          </cell>
          <cell r="P442">
            <v>0</v>
          </cell>
          <cell r="Q442" t="str">
            <v>-</v>
          </cell>
          <cell r="R442">
            <v>0</v>
          </cell>
          <cell r="S442" t="b">
            <v>1</v>
          </cell>
        </row>
        <row r="443">
          <cell r="A443">
            <v>442</v>
          </cell>
          <cell r="B443">
            <v>45162.545231481483</v>
          </cell>
          <cell r="C443" t="str">
            <v>INV(BAL) / 2023-2024 / 15834</v>
          </cell>
          <cell r="D443" t="str">
            <v>RETAIL</v>
          </cell>
          <cell r="E443">
            <v>288670.09999999998</v>
          </cell>
          <cell r="F443">
            <v>0</v>
          </cell>
          <cell r="G443">
            <v>401.4</v>
          </cell>
          <cell r="H443">
            <v>0</v>
          </cell>
          <cell r="I443">
            <v>64841.279999999999</v>
          </cell>
          <cell r="J443">
            <v>22694.45</v>
          </cell>
          <cell r="K443">
            <v>875</v>
          </cell>
          <cell r="L443">
            <v>88410.73</v>
          </cell>
          <cell r="M443">
            <v>200259.37</v>
          </cell>
          <cell r="N443">
            <v>2023</v>
          </cell>
          <cell r="O443">
            <v>0.35000003084454845</v>
          </cell>
          <cell r="P443">
            <v>1.3494489929871834E-2</v>
          </cell>
          <cell r="Q443" t="str">
            <v>Beer</v>
          </cell>
          <cell r="R443">
            <v>401.4</v>
          </cell>
          <cell r="S443" t="b">
            <v>1</v>
          </cell>
        </row>
        <row r="444">
          <cell r="A444">
            <v>443</v>
          </cell>
          <cell r="B444">
            <v>45162.546180555553</v>
          </cell>
          <cell r="C444" t="str">
            <v>INV(BAL) / 2023-2024 / 15835</v>
          </cell>
          <cell r="D444" t="str">
            <v>RETAIL</v>
          </cell>
          <cell r="E444">
            <v>200259.37</v>
          </cell>
          <cell r="F444">
            <v>0</v>
          </cell>
          <cell r="G444">
            <v>0</v>
          </cell>
          <cell r="H444">
            <v>139.87</v>
          </cell>
          <cell r="I444">
            <v>145830.37</v>
          </cell>
          <cell r="J444">
            <v>51040.63</v>
          </cell>
          <cell r="K444">
            <v>1969</v>
          </cell>
          <cell r="L444">
            <v>198840</v>
          </cell>
          <cell r="M444">
            <v>1419.37</v>
          </cell>
          <cell r="N444">
            <v>2023</v>
          </cell>
          <cell r="O444">
            <v>0.35000000342864107</v>
          </cell>
          <cell r="P444">
            <v>1.3501988646123576E-2</v>
          </cell>
          <cell r="Q444" t="str">
            <v>Liquor</v>
          </cell>
          <cell r="R444">
            <v>186.49333333333334</v>
          </cell>
          <cell r="S444" t="b">
            <v>1</v>
          </cell>
        </row>
        <row r="445">
          <cell r="A445">
            <v>444</v>
          </cell>
          <cell r="B445">
            <v>45170.374884259261</v>
          </cell>
          <cell r="C445" t="str">
            <v>OSBC/BAL/MR/19285/2023-2024</v>
          </cell>
          <cell r="D445" t="str">
            <v>GOVT</v>
          </cell>
          <cell r="E445">
            <v>1419.37</v>
          </cell>
          <cell r="F445">
            <v>300000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301419.37</v>
          </cell>
          <cell r="N445">
            <v>2023</v>
          </cell>
          <cell r="O445">
            <v>0</v>
          </cell>
          <cell r="P445">
            <v>0</v>
          </cell>
          <cell r="Q445" t="str">
            <v>-</v>
          </cell>
          <cell r="R445">
            <v>0</v>
          </cell>
          <cell r="S445" t="b">
            <v>1</v>
          </cell>
        </row>
        <row r="446">
          <cell r="A446">
            <v>445</v>
          </cell>
          <cell r="B446">
            <v>45170.682847222219</v>
          </cell>
          <cell r="C446" t="str">
            <v>INV(BAL) / 2023-2024 / 16615</v>
          </cell>
          <cell r="D446" t="str">
            <v>RETAIL</v>
          </cell>
          <cell r="E446">
            <v>301419.37</v>
          </cell>
          <cell r="F446">
            <v>0</v>
          </cell>
          <cell r="G446">
            <v>0</v>
          </cell>
          <cell r="H446">
            <v>214.4</v>
          </cell>
          <cell r="I446">
            <v>205162.19</v>
          </cell>
          <cell r="J446">
            <v>71806.77</v>
          </cell>
          <cell r="K446">
            <v>2770</v>
          </cell>
          <cell r="L446">
            <v>279738.96000000002</v>
          </cell>
          <cell r="M446">
            <v>21680.41</v>
          </cell>
          <cell r="N446">
            <v>2023</v>
          </cell>
          <cell r="O446">
            <v>0.35000001705967365</v>
          </cell>
          <cell r="P446">
            <v>1.3501513119936963E-2</v>
          </cell>
          <cell r="Q446" t="str">
            <v>Liquor</v>
          </cell>
          <cell r="R446">
            <v>285.86666666666667</v>
          </cell>
          <cell r="S446" t="b">
            <v>1</v>
          </cell>
        </row>
        <row r="447">
          <cell r="A447">
            <v>446</v>
          </cell>
          <cell r="B447">
            <v>45180.295497685183</v>
          </cell>
          <cell r="C447" t="str">
            <v>OSBC/BAL/MR/20220/2023-2024</v>
          </cell>
          <cell r="D447" t="str">
            <v>GOVT</v>
          </cell>
          <cell r="E447">
            <v>21680.41</v>
          </cell>
          <cell r="F447">
            <v>310000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331680.40999999997</v>
          </cell>
          <cell r="N447">
            <v>2023</v>
          </cell>
          <cell r="O447">
            <v>0</v>
          </cell>
          <cell r="P447">
            <v>0</v>
          </cell>
          <cell r="Q447" t="str">
            <v>-</v>
          </cell>
          <cell r="R447">
            <v>0</v>
          </cell>
          <cell r="S447" t="b">
            <v>1</v>
          </cell>
        </row>
        <row r="448">
          <cell r="A448">
            <v>447</v>
          </cell>
          <cell r="B448">
            <v>45180.637673611112</v>
          </cell>
          <cell r="C448" t="str">
            <v>INV(BAL) / 2023-2024 / 17340</v>
          </cell>
          <cell r="D448" t="str">
            <v>RETAIL</v>
          </cell>
          <cell r="E448">
            <v>331680.40999999997</v>
          </cell>
          <cell r="F448">
            <v>0</v>
          </cell>
          <cell r="G448">
            <v>435.6</v>
          </cell>
          <cell r="H448">
            <v>0</v>
          </cell>
          <cell r="I448">
            <v>76031.73</v>
          </cell>
          <cell r="J448">
            <v>26611.11</v>
          </cell>
          <cell r="K448">
            <v>1026</v>
          </cell>
          <cell r="L448">
            <v>103668.84</v>
          </cell>
          <cell r="M448">
            <v>228011.57</v>
          </cell>
          <cell r="N448">
            <v>2023</v>
          </cell>
          <cell r="O448">
            <v>0.35000005918581628</v>
          </cell>
          <cell r="P448">
            <v>1.3494366102152352E-2</v>
          </cell>
          <cell r="Q448" t="str">
            <v>Beer</v>
          </cell>
          <cell r="R448">
            <v>435.6</v>
          </cell>
          <cell r="S448" t="b">
            <v>1</v>
          </cell>
        </row>
        <row r="449">
          <cell r="A449">
            <v>448</v>
          </cell>
          <cell r="B449">
            <v>45180.638680555552</v>
          </cell>
          <cell r="C449" t="str">
            <v>INV(BAL) / 2023-2024 / 17341</v>
          </cell>
          <cell r="D449" t="str">
            <v>RETAIL</v>
          </cell>
          <cell r="E449">
            <v>228011.57</v>
          </cell>
          <cell r="F449">
            <v>0</v>
          </cell>
          <cell r="G449">
            <v>0</v>
          </cell>
          <cell r="H449">
            <v>112.55</v>
          </cell>
          <cell r="I449">
            <v>115925.6</v>
          </cell>
          <cell r="J449">
            <v>40573.96</v>
          </cell>
          <cell r="K449">
            <v>1565</v>
          </cell>
          <cell r="L449">
            <v>158064.56</v>
          </cell>
          <cell r="M449">
            <v>69947.009999999995</v>
          </cell>
          <cell r="N449">
            <v>2023</v>
          </cell>
          <cell r="O449">
            <v>0.35</v>
          </cell>
          <cell r="P449">
            <v>1.3500037955378276E-2</v>
          </cell>
          <cell r="Q449" t="str">
            <v>Liquor</v>
          </cell>
          <cell r="R449">
            <v>150.06666666666666</v>
          </cell>
          <cell r="S449" t="b">
            <v>1</v>
          </cell>
        </row>
        <row r="450">
          <cell r="A450">
            <v>449</v>
          </cell>
          <cell r="B450">
            <v>45185.491944444446</v>
          </cell>
          <cell r="C450" t="str">
            <v>INV(BAL) / 2023-2024 / 17796</v>
          </cell>
          <cell r="D450" t="str">
            <v>RETAIL</v>
          </cell>
          <cell r="E450">
            <v>69947.009999999995</v>
          </cell>
          <cell r="F450">
            <v>0</v>
          </cell>
          <cell r="G450">
            <v>0</v>
          </cell>
          <cell r="H450">
            <v>75.25</v>
          </cell>
          <cell r="I450">
            <v>50276.24</v>
          </cell>
          <cell r="J450">
            <v>17596.68</v>
          </cell>
          <cell r="K450">
            <v>679</v>
          </cell>
          <cell r="L450">
            <v>68551.92</v>
          </cell>
          <cell r="M450">
            <v>1395.09</v>
          </cell>
          <cell r="N450">
            <v>2023</v>
          </cell>
          <cell r="O450">
            <v>0.34999992043955558</v>
          </cell>
          <cell r="P450">
            <v>1.3505385446485258E-2</v>
          </cell>
          <cell r="Q450" t="str">
            <v>Liquor</v>
          </cell>
          <cell r="R450">
            <v>100.33333333333333</v>
          </cell>
          <cell r="S450" t="b">
            <v>1</v>
          </cell>
        </row>
        <row r="451">
          <cell r="A451">
            <v>450</v>
          </cell>
          <cell r="B451">
            <v>45186.927453703705</v>
          </cell>
          <cell r="C451" t="str">
            <v>OSBC/BAL/MR/21099/2023-2024</v>
          </cell>
          <cell r="D451" t="str">
            <v>GOVT</v>
          </cell>
          <cell r="E451">
            <v>1395.09</v>
          </cell>
          <cell r="F451">
            <v>150000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151395.09</v>
          </cell>
          <cell r="N451">
            <v>2023</v>
          </cell>
          <cell r="O451">
            <v>0</v>
          </cell>
          <cell r="P451">
            <v>0</v>
          </cell>
          <cell r="Q451" t="str">
            <v>-</v>
          </cell>
          <cell r="R451">
            <v>0</v>
          </cell>
          <cell r="S451" t="b">
            <v>1</v>
          </cell>
        </row>
        <row r="452">
          <cell r="A452">
            <v>451</v>
          </cell>
          <cell r="B452">
            <v>45187.451168981483</v>
          </cell>
          <cell r="C452" t="str">
            <v>INV(BAL) / 2023-2024 / 17956</v>
          </cell>
          <cell r="D452" t="str">
            <v>RETAIL</v>
          </cell>
          <cell r="E452">
            <v>151395.09</v>
          </cell>
          <cell r="F452">
            <v>0</v>
          </cell>
          <cell r="G452">
            <v>0</v>
          </cell>
          <cell r="H452">
            <v>107.62</v>
          </cell>
          <cell r="I452">
            <v>110288.39</v>
          </cell>
          <cell r="J452">
            <v>38600.93</v>
          </cell>
          <cell r="K452">
            <v>1489</v>
          </cell>
          <cell r="L452">
            <v>150378.32</v>
          </cell>
          <cell r="M452">
            <v>1016.77</v>
          </cell>
          <cell r="N452">
            <v>2023</v>
          </cell>
          <cell r="O452">
            <v>0.34999994106360605</v>
          </cell>
          <cell r="P452">
            <v>1.3500967780924175E-2</v>
          </cell>
          <cell r="Q452" t="str">
            <v>Liquor</v>
          </cell>
          <cell r="R452">
            <v>143.49333333333334</v>
          </cell>
          <cell r="S452" t="b">
            <v>1</v>
          </cell>
        </row>
        <row r="453">
          <cell r="A453">
            <v>452</v>
          </cell>
          <cell r="B453">
            <v>45197.289826388886</v>
          </cell>
          <cell r="C453" t="str">
            <v>OSBC/BAL/MR/22327/2023-2024</v>
          </cell>
          <cell r="D453" t="str">
            <v>GOVT</v>
          </cell>
          <cell r="E453">
            <v>1016.77</v>
          </cell>
          <cell r="F453">
            <v>270000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271016.77</v>
          </cell>
          <cell r="N453">
            <v>2023</v>
          </cell>
          <cell r="O453">
            <v>0</v>
          </cell>
          <cell r="P453">
            <v>0</v>
          </cell>
          <cell r="Q453" t="str">
            <v>-</v>
          </cell>
          <cell r="R453">
            <v>0</v>
          </cell>
          <cell r="S453" t="b">
            <v>1</v>
          </cell>
        </row>
        <row r="454">
          <cell r="A454">
            <v>453</v>
          </cell>
          <cell r="B454">
            <v>45197.384768518517</v>
          </cell>
          <cell r="C454" t="str">
            <v>OSBC/BAL/MR/22335/2023-2024</v>
          </cell>
          <cell r="D454" t="str">
            <v>GOVT</v>
          </cell>
          <cell r="E454">
            <v>271016.77</v>
          </cell>
          <cell r="F454">
            <v>25000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296016.77</v>
          </cell>
          <cell r="N454">
            <v>2023</v>
          </cell>
          <cell r="O454">
            <v>0</v>
          </cell>
          <cell r="P454">
            <v>0</v>
          </cell>
          <cell r="Q454" t="str">
            <v>-</v>
          </cell>
          <cell r="R454">
            <v>0</v>
          </cell>
          <cell r="S454" t="b">
            <v>1</v>
          </cell>
        </row>
        <row r="455">
          <cell r="A455">
            <v>454</v>
          </cell>
          <cell r="B455">
            <v>45197.550787037035</v>
          </cell>
          <cell r="C455" t="str">
            <v>INV(BAL) / 2023-2024 / 18989</v>
          </cell>
          <cell r="D455" t="str">
            <v>RETAIL</v>
          </cell>
          <cell r="E455">
            <v>296016.77</v>
          </cell>
          <cell r="F455">
            <v>0</v>
          </cell>
          <cell r="G455">
            <v>0</v>
          </cell>
          <cell r="H455">
            <v>145.04</v>
          </cell>
          <cell r="I455">
            <v>131025.17</v>
          </cell>
          <cell r="J455">
            <v>45858.81</v>
          </cell>
          <cell r="K455">
            <v>1769</v>
          </cell>
          <cell r="L455">
            <v>178652.98</v>
          </cell>
          <cell r="M455">
            <v>117363.79</v>
          </cell>
          <cell r="N455">
            <v>2023</v>
          </cell>
          <cell r="O455">
            <v>0.35000000381606067</v>
          </cell>
          <cell r="P455">
            <v>1.3501222704004124E-2</v>
          </cell>
          <cell r="Q455" t="str">
            <v>Liquor</v>
          </cell>
          <cell r="R455">
            <v>193.38666666666666</v>
          </cell>
          <cell r="S455" t="b">
            <v>1</v>
          </cell>
        </row>
        <row r="456">
          <cell r="A456">
            <v>455</v>
          </cell>
          <cell r="B456">
            <v>45197.551134259258</v>
          </cell>
          <cell r="C456" t="str">
            <v>INV(BAL) / 2023-2024 / 18990</v>
          </cell>
          <cell r="D456" t="str">
            <v>RETAIL</v>
          </cell>
          <cell r="E456">
            <v>117363.79</v>
          </cell>
          <cell r="F456">
            <v>0</v>
          </cell>
          <cell r="G456">
            <v>487.2</v>
          </cell>
          <cell r="H456">
            <v>0</v>
          </cell>
          <cell r="I456">
            <v>85476.18</v>
          </cell>
          <cell r="J456">
            <v>29916.66</v>
          </cell>
          <cell r="K456">
            <v>1154</v>
          </cell>
          <cell r="L456">
            <v>116546.84</v>
          </cell>
          <cell r="M456">
            <v>816.95</v>
          </cell>
          <cell r="N456">
            <v>2023</v>
          </cell>
          <cell r="O456">
            <v>0.34999996490250268</v>
          </cell>
          <cell r="P456">
            <v>1.3500837309294824E-2</v>
          </cell>
          <cell r="Q456" t="str">
            <v>Beer</v>
          </cell>
          <cell r="R456">
            <v>487.2</v>
          </cell>
          <cell r="S456" t="b">
            <v>1</v>
          </cell>
        </row>
        <row r="457">
          <cell r="A457">
            <v>456</v>
          </cell>
          <cell r="B457">
            <v>45208.375578703701</v>
          </cell>
          <cell r="C457" t="str">
            <v>OSBC/BAL/MR/23482/2023-2024</v>
          </cell>
          <cell r="D457" t="str">
            <v>GOVT</v>
          </cell>
          <cell r="E457">
            <v>816.95</v>
          </cell>
          <cell r="F457">
            <v>250000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250816.95</v>
          </cell>
          <cell r="N457">
            <v>2023</v>
          </cell>
          <cell r="O457">
            <v>0</v>
          </cell>
          <cell r="P457">
            <v>0</v>
          </cell>
          <cell r="Q457" t="str">
            <v>-</v>
          </cell>
          <cell r="R457">
            <v>0</v>
          </cell>
          <cell r="S457" t="b">
            <v>1</v>
          </cell>
        </row>
        <row r="458">
          <cell r="A458">
            <v>457</v>
          </cell>
          <cell r="B458">
            <v>45208.545995370368</v>
          </cell>
          <cell r="C458" t="str">
            <v>INV(BAL) / 2023-2024 / 19819</v>
          </cell>
          <cell r="D458" t="str">
            <v>RETAIL</v>
          </cell>
          <cell r="E458">
            <v>250816.95</v>
          </cell>
          <cell r="F458">
            <v>0</v>
          </cell>
          <cell r="G458">
            <v>0</v>
          </cell>
          <cell r="H458">
            <v>205.07</v>
          </cell>
          <cell r="I458">
            <v>182440.58</v>
          </cell>
          <cell r="J458">
            <v>63854.2</v>
          </cell>
          <cell r="K458">
            <v>2463</v>
          </cell>
          <cell r="L458">
            <v>248757.78</v>
          </cell>
          <cell r="M458">
            <v>2059.17</v>
          </cell>
          <cell r="N458">
            <v>2023</v>
          </cell>
          <cell r="O458">
            <v>0.34999998355628997</v>
          </cell>
          <cell r="P458">
            <v>1.3500285956117878E-2</v>
          </cell>
          <cell r="Q458" t="str">
            <v>Liquor</v>
          </cell>
          <cell r="R458">
            <v>273.42666666666668</v>
          </cell>
          <cell r="S458" t="b">
            <v>1</v>
          </cell>
        </row>
        <row r="459">
          <cell r="A459">
            <v>458</v>
          </cell>
          <cell r="B459">
            <v>45216.36341435185</v>
          </cell>
          <cell r="C459" t="str">
            <v>OSBC/BAL/MR/24404/2023-2024</v>
          </cell>
          <cell r="D459" t="str">
            <v>GOVT</v>
          </cell>
          <cell r="E459">
            <v>2059.17</v>
          </cell>
          <cell r="F459">
            <v>195000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197059.17</v>
          </cell>
          <cell r="N459">
            <v>2023</v>
          </cell>
          <cell r="O459">
            <v>0</v>
          </cell>
          <cell r="P459">
            <v>0</v>
          </cell>
          <cell r="Q459" t="str">
            <v>-</v>
          </cell>
          <cell r="R459">
            <v>0</v>
          </cell>
          <cell r="S459" t="b">
            <v>1</v>
          </cell>
        </row>
        <row r="460">
          <cell r="A460">
            <v>459</v>
          </cell>
          <cell r="B460">
            <v>45216.559386574074</v>
          </cell>
          <cell r="C460" t="str">
            <v>INV(BAL) / 2023-2024 / 20552</v>
          </cell>
          <cell r="D460" t="str">
            <v>RETAIL</v>
          </cell>
          <cell r="E460">
            <v>197059.17</v>
          </cell>
          <cell r="F460">
            <v>0</v>
          </cell>
          <cell r="G460">
            <v>0</v>
          </cell>
          <cell r="H460">
            <v>83.67</v>
          </cell>
          <cell r="I460">
            <v>69850.649999999994</v>
          </cell>
          <cell r="J460">
            <v>24447.74</v>
          </cell>
          <cell r="K460">
            <v>943</v>
          </cell>
          <cell r="L460">
            <v>95241.39</v>
          </cell>
          <cell r="M460">
            <v>101817.78</v>
          </cell>
          <cell r="N460">
            <v>2023</v>
          </cell>
          <cell r="O460">
            <v>0.35000017895323815</v>
          </cell>
          <cell r="P460">
            <v>1.3500232281303039E-2</v>
          </cell>
          <cell r="Q460" t="str">
            <v>Liquor</v>
          </cell>
          <cell r="R460">
            <v>111.56</v>
          </cell>
          <cell r="S460" t="b">
            <v>1</v>
          </cell>
        </row>
        <row r="461">
          <cell r="A461">
            <v>460</v>
          </cell>
          <cell r="B461">
            <v>45216.602708333332</v>
          </cell>
          <cell r="C461" t="str">
            <v>INV(BAL) / 2023-2024 / 20553</v>
          </cell>
          <cell r="D461" t="str">
            <v>RETAIL</v>
          </cell>
          <cell r="E461">
            <v>101817.78</v>
          </cell>
          <cell r="F461">
            <v>0</v>
          </cell>
          <cell r="G461">
            <v>411</v>
          </cell>
          <cell r="H461">
            <v>0</v>
          </cell>
          <cell r="I461">
            <v>74285.740000000005</v>
          </cell>
          <cell r="J461">
            <v>26000.01</v>
          </cell>
          <cell r="K461">
            <v>1003</v>
          </cell>
          <cell r="L461">
            <v>101288.75</v>
          </cell>
          <cell r="M461">
            <v>529.03</v>
          </cell>
          <cell r="N461">
            <v>2023</v>
          </cell>
          <cell r="O461">
            <v>0.35000001346153375</v>
          </cell>
          <cell r="P461">
            <v>1.350191840318209E-2</v>
          </cell>
          <cell r="Q461" t="str">
            <v>Beer</v>
          </cell>
          <cell r="R461">
            <v>411</v>
          </cell>
          <cell r="S461" t="b">
            <v>1</v>
          </cell>
        </row>
        <row r="462">
          <cell r="A462">
            <v>461</v>
          </cell>
          <cell r="B462">
            <v>45225.376273148147</v>
          </cell>
          <cell r="C462" t="str">
            <v>OSBC/BAL/MR/25363/2023-2024</v>
          </cell>
          <cell r="D462" t="str">
            <v>GOVT</v>
          </cell>
          <cell r="E462">
            <v>529.03</v>
          </cell>
          <cell r="F462">
            <v>280000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280529.03000000003</v>
          </cell>
          <cell r="N462">
            <v>2023</v>
          </cell>
          <cell r="O462">
            <v>0</v>
          </cell>
          <cell r="P462">
            <v>0</v>
          </cell>
          <cell r="Q462" t="str">
            <v>-</v>
          </cell>
          <cell r="R462">
            <v>0</v>
          </cell>
          <cell r="S462" t="b">
            <v>1</v>
          </cell>
        </row>
        <row r="463">
          <cell r="A463">
            <v>462</v>
          </cell>
          <cell r="B463">
            <v>45225.635567129626</v>
          </cell>
          <cell r="C463" t="str">
            <v>INV(BAL) / 2023-2024 / 21306</v>
          </cell>
          <cell r="D463" t="str">
            <v>RETAIL</v>
          </cell>
          <cell r="E463">
            <v>280529.03000000003</v>
          </cell>
          <cell r="F463">
            <v>0</v>
          </cell>
          <cell r="G463">
            <v>0</v>
          </cell>
          <cell r="H463">
            <v>128.86000000000001</v>
          </cell>
          <cell r="I463">
            <v>124955.78</v>
          </cell>
          <cell r="J463">
            <v>43734.52</v>
          </cell>
          <cell r="K463">
            <v>1687</v>
          </cell>
          <cell r="L463">
            <v>170377.3</v>
          </cell>
          <cell r="M463">
            <v>110151.73</v>
          </cell>
          <cell r="N463">
            <v>2023</v>
          </cell>
          <cell r="O463">
            <v>0.34999997599150673</v>
          </cell>
          <cell r="P463">
            <v>1.3500776034529975E-2</v>
          </cell>
          <cell r="Q463" t="str">
            <v>Liquor</v>
          </cell>
          <cell r="R463">
            <v>171.81333333333336</v>
          </cell>
          <cell r="S463" t="b">
            <v>1</v>
          </cell>
        </row>
        <row r="464">
          <cell r="A464">
            <v>463</v>
          </cell>
          <cell r="B464">
            <v>45225.636180555557</v>
          </cell>
          <cell r="C464" t="str">
            <v>INV(BAL) / 2023-2024 / 21307</v>
          </cell>
          <cell r="D464" t="str">
            <v>RETAIL</v>
          </cell>
          <cell r="E464">
            <v>110151.73</v>
          </cell>
          <cell r="F464">
            <v>0</v>
          </cell>
          <cell r="G464">
            <v>439.2</v>
          </cell>
          <cell r="H464">
            <v>0</v>
          </cell>
          <cell r="I464">
            <v>77619.08</v>
          </cell>
          <cell r="J464">
            <v>27166.68</v>
          </cell>
          <cell r="K464">
            <v>1048</v>
          </cell>
          <cell r="L464">
            <v>105833.76</v>
          </cell>
          <cell r="M464">
            <v>4317.97</v>
          </cell>
          <cell r="N464">
            <v>2023</v>
          </cell>
          <cell r="O464">
            <v>0.3500000257668604</v>
          </cell>
          <cell r="P464">
            <v>1.3501834858130243E-2</v>
          </cell>
          <cell r="Q464" t="str">
            <v>Beer</v>
          </cell>
          <cell r="R464">
            <v>439.2</v>
          </cell>
          <cell r="S464" t="b">
            <v>1</v>
          </cell>
        </row>
        <row r="465">
          <cell r="A465">
            <v>464</v>
          </cell>
          <cell r="B465">
            <v>45239.447534722225</v>
          </cell>
          <cell r="C465" t="str">
            <v>OSBC/BAL/MR/26953/2023-2024</v>
          </cell>
          <cell r="D465" t="str">
            <v>GOVT</v>
          </cell>
          <cell r="E465">
            <v>4317.97</v>
          </cell>
          <cell r="F465">
            <v>330000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334317.96999999997</v>
          </cell>
          <cell r="N465">
            <v>2023</v>
          </cell>
          <cell r="O465">
            <v>0</v>
          </cell>
          <cell r="P465">
            <v>0</v>
          </cell>
          <cell r="Q465" t="str">
            <v>-</v>
          </cell>
          <cell r="R465">
            <v>0</v>
          </cell>
          <cell r="S465" t="b">
            <v>1</v>
          </cell>
        </row>
        <row r="466">
          <cell r="A466">
            <v>465</v>
          </cell>
          <cell r="B466">
            <v>45239.498495370368</v>
          </cell>
          <cell r="C466" t="str">
            <v>INV(BAL) / 2023-2024 / 22402</v>
          </cell>
          <cell r="D466" t="str">
            <v>RETAIL</v>
          </cell>
          <cell r="E466">
            <v>334317.96999999997</v>
          </cell>
          <cell r="F466">
            <v>0</v>
          </cell>
          <cell r="G466">
            <v>0</v>
          </cell>
          <cell r="H466">
            <v>222.5</v>
          </cell>
          <cell r="I466">
            <v>209658.42</v>
          </cell>
          <cell r="J466">
            <v>73380.44</v>
          </cell>
          <cell r="K466">
            <v>2830</v>
          </cell>
          <cell r="L466">
            <v>285868.86</v>
          </cell>
          <cell r="M466">
            <v>48449.11</v>
          </cell>
          <cell r="N466">
            <v>2023</v>
          </cell>
          <cell r="O466">
            <v>0.34999996661235927</v>
          </cell>
          <cell r="P466">
            <v>1.3498146175097569E-2</v>
          </cell>
          <cell r="Q466" t="str">
            <v>Liquor</v>
          </cell>
          <cell r="R466">
            <v>296.66666666666669</v>
          </cell>
          <cell r="S466" t="b">
            <v>1</v>
          </cell>
        </row>
        <row r="467">
          <cell r="A467">
            <v>466</v>
          </cell>
          <cell r="B467">
            <v>45244.335034722222</v>
          </cell>
          <cell r="C467" t="str">
            <v>OSBC/BAL/MR/27546/2023-2024</v>
          </cell>
          <cell r="D467" t="str">
            <v>GOVT</v>
          </cell>
          <cell r="E467">
            <v>48449.11</v>
          </cell>
          <cell r="F467">
            <v>150000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198449.11</v>
          </cell>
          <cell r="N467">
            <v>2023</v>
          </cell>
          <cell r="O467">
            <v>0</v>
          </cell>
          <cell r="P467">
            <v>0</v>
          </cell>
          <cell r="Q467" t="str">
            <v>-</v>
          </cell>
          <cell r="R467">
            <v>0</v>
          </cell>
          <cell r="S467" t="b">
            <v>1</v>
          </cell>
        </row>
        <row r="468">
          <cell r="A468">
            <v>467</v>
          </cell>
          <cell r="B468">
            <v>45244.343993055554</v>
          </cell>
          <cell r="C468" t="str">
            <v>OSBC/BAL/MR/27548/2023-2024</v>
          </cell>
          <cell r="D468" t="str">
            <v>GOVT</v>
          </cell>
          <cell r="E468">
            <v>198449.11</v>
          </cell>
          <cell r="F468">
            <v>10000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208449.11</v>
          </cell>
          <cell r="N468">
            <v>2023</v>
          </cell>
          <cell r="O468">
            <v>0</v>
          </cell>
          <cell r="P468">
            <v>0</v>
          </cell>
          <cell r="Q468" t="str">
            <v>-</v>
          </cell>
          <cell r="R468">
            <v>0</v>
          </cell>
          <cell r="S468" t="b">
            <v>1</v>
          </cell>
        </row>
        <row r="469">
          <cell r="A469">
            <v>468</v>
          </cell>
          <cell r="B469">
            <v>45244.631099537037</v>
          </cell>
          <cell r="C469" t="str">
            <v>INV(BAL) / 2023-2024 / 22895</v>
          </cell>
          <cell r="D469" t="str">
            <v>RETAIL</v>
          </cell>
          <cell r="E469">
            <v>208449.11</v>
          </cell>
          <cell r="F469">
            <v>0</v>
          </cell>
          <cell r="G469">
            <v>0</v>
          </cell>
          <cell r="H469">
            <v>95.41</v>
          </cell>
          <cell r="I469">
            <v>98911.52</v>
          </cell>
          <cell r="J469">
            <v>34619.03</v>
          </cell>
          <cell r="K469">
            <v>1335</v>
          </cell>
          <cell r="L469">
            <v>134865.54999999999</v>
          </cell>
          <cell r="M469">
            <v>73583.56</v>
          </cell>
          <cell r="N469">
            <v>2023</v>
          </cell>
          <cell r="O469">
            <v>0.34999997977990832</v>
          </cell>
          <cell r="P469">
            <v>1.3496911178798992E-2</v>
          </cell>
          <cell r="Q469" t="str">
            <v>Liquor</v>
          </cell>
          <cell r="R469">
            <v>127.21333333333332</v>
          </cell>
          <cell r="S469" t="b">
            <v>1</v>
          </cell>
        </row>
        <row r="470">
          <cell r="A470">
            <v>469</v>
          </cell>
          <cell r="B470">
            <v>45244.631620370368</v>
          </cell>
          <cell r="C470" t="str">
            <v>INV(BAL) / 2023-2024 / 22896</v>
          </cell>
          <cell r="D470" t="str">
            <v>RETAIL</v>
          </cell>
          <cell r="E470">
            <v>73583.56</v>
          </cell>
          <cell r="F470">
            <v>0</v>
          </cell>
          <cell r="G470">
            <v>301.2</v>
          </cell>
          <cell r="H470">
            <v>0</v>
          </cell>
          <cell r="I470">
            <v>53650.79</v>
          </cell>
          <cell r="J470">
            <v>18777.78</v>
          </cell>
          <cell r="K470">
            <v>724</v>
          </cell>
          <cell r="L470">
            <v>73152.570000000007</v>
          </cell>
          <cell r="M470">
            <v>430.99</v>
          </cell>
          <cell r="N470">
            <v>2023</v>
          </cell>
          <cell r="O470">
            <v>0.3500000652366908</v>
          </cell>
          <cell r="P470">
            <v>1.3494675474489751E-2</v>
          </cell>
          <cell r="Q470" t="str">
            <v>Beer</v>
          </cell>
          <cell r="R470">
            <v>301.2</v>
          </cell>
          <cell r="S470" t="b">
            <v>1</v>
          </cell>
        </row>
        <row r="471">
          <cell r="A471">
            <v>470</v>
          </cell>
          <cell r="B471">
            <v>45250.373124999998</v>
          </cell>
          <cell r="C471" t="str">
            <v>OSBC/BAL/MR/28275/2023-2024</v>
          </cell>
          <cell r="D471" t="str">
            <v>GOVT</v>
          </cell>
          <cell r="E471">
            <v>430.99</v>
          </cell>
          <cell r="F471">
            <v>195000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195430.99</v>
          </cell>
          <cell r="N471">
            <v>2023</v>
          </cell>
          <cell r="O471">
            <v>0</v>
          </cell>
          <cell r="P471">
            <v>0</v>
          </cell>
          <cell r="Q471" t="str">
            <v>-</v>
          </cell>
          <cell r="R471">
            <v>0</v>
          </cell>
          <cell r="S471" t="b">
            <v>1</v>
          </cell>
        </row>
        <row r="472">
          <cell r="A472">
            <v>471</v>
          </cell>
          <cell r="B472">
            <v>45250.480995370373</v>
          </cell>
          <cell r="C472" t="str">
            <v>INV(BAL) / 2023-2024 / 23357</v>
          </cell>
          <cell r="D472" t="str">
            <v>RETAIL</v>
          </cell>
          <cell r="E472">
            <v>195430.99</v>
          </cell>
          <cell r="F472">
            <v>0</v>
          </cell>
          <cell r="G472">
            <v>0</v>
          </cell>
          <cell r="H472">
            <v>74.78</v>
          </cell>
          <cell r="I472">
            <v>76009.279999999999</v>
          </cell>
          <cell r="J472">
            <v>26603.25</v>
          </cell>
          <cell r="K472">
            <v>1026</v>
          </cell>
          <cell r="L472">
            <v>103638.53</v>
          </cell>
          <cell r="M472">
            <v>91792.46</v>
          </cell>
          <cell r="N472">
            <v>2023</v>
          </cell>
          <cell r="O472">
            <v>0.3500000263125766</v>
          </cell>
          <cell r="P472">
            <v>1.349835178020368E-2</v>
          </cell>
          <cell r="Q472" t="str">
            <v>Liquor</v>
          </cell>
          <cell r="R472">
            <v>99.706666666666663</v>
          </cell>
          <cell r="S472" t="b">
            <v>1</v>
          </cell>
        </row>
        <row r="473">
          <cell r="A473">
            <v>472</v>
          </cell>
          <cell r="B473">
            <v>45250.481539351851</v>
          </cell>
          <cell r="C473" t="str">
            <v>INV(BAL) / 2023-2024 / 23358</v>
          </cell>
          <cell r="D473" t="str">
            <v>RETAIL</v>
          </cell>
          <cell r="E473">
            <v>91792.46</v>
          </cell>
          <cell r="F473">
            <v>0</v>
          </cell>
          <cell r="G473">
            <v>189</v>
          </cell>
          <cell r="H473">
            <v>0</v>
          </cell>
          <cell r="I473">
            <v>31746.05</v>
          </cell>
          <cell r="J473">
            <v>11111.12</v>
          </cell>
          <cell r="K473">
            <v>429</v>
          </cell>
          <cell r="L473">
            <v>43286.17</v>
          </cell>
          <cell r="M473">
            <v>48506.29</v>
          </cell>
          <cell r="N473">
            <v>2023</v>
          </cell>
          <cell r="O473">
            <v>0.35000007874995476</v>
          </cell>
          <cell r="P473">
            <v>1.3513492229741969E-2</v>
          </cell>
          <cell r="Q473" t="str">
            <v>Beer</v>
          </cell>
          <cell r="R473">
            <v>189</v>
          </cell>
          <cell r="S473" t="b">
            <v>1</v>
          </cell>
        </row>
        <row r="474">
          <cell r="A474">
            <v>473</v>
          </cell>
          <cell r="B474">
            <v>45258.411354166667</v>
          </cell>
          <cell r="C474" t="str">
            <v>OSBC/BAL/MR/29148/2023-2024</v>
          </cell>
          <cell r="D474" t="str">
            <v>GOVT</v>
          </cell>
          <cell r="E474">
            <v>48506.29</v>
          </cell>
          <cell r="F474">
            <v>255000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303506.28999999998</v>
          </cell>
          <cell r="N474">
            <v>2023</v>
          </cell>
          <cell r="O474">
            <v>0</v>
          </cell>
          <cell r="P474">
            <v>0</v>
          </cell>
          <cell r="Q474" t="str">
            <v>-</v>
          </cell>
          <cell r="R474">
            <v>0</v>
          </cell>
          <cell r="S474" t="b">
            <v>1</v>
          </cell>
        </row>
        <row r="475">
          <cell r="A475">
            <v>474</v>
          </cell>
          <cell r="B475">
            <v>45258.659780092596</v>
          </cell>
          <cell r="C475" t="str">
            <v>INV(BAL) / 2023-2024 / 24049</v>
          </cell>
          <cell r="D475" t="str">
            <v>RETAIL</v>
          </cell>
          <cell r="E475">
            <v>303506.28999999998</v>
          </cell>
          <cell r="F475">
            <v>0</v>
          </cell>
          <cell r="G475">
            <v>207.6</v>
          </cell>
          <cell r="H475">
            <v>0</v>
          </cell>
          <cell r="I475">
            <v>36984.129999999997</v>
          </cell>
          <cell r="J475">
            <v>12944.45</v>
          </cell>
          <cell r="K475">
            <v>499</v>
          </cell>
          <cell r="L475">
            <v>50427.58</v>
          </cell>
          <cell r="M475">
            <v>253078.71</v>
          </cell>
          <cell r="N475">
            <v>2023</v>
          </cell>
          <cell r="O475">
            <v>0.35000012167380984</v>
          </cell>
          <cell r="P475">
            <v>1.3492273577883272E-2</v>
          </cell>
          <cell r="Q475" t="str">
            <v>Beer</v>
          </cell>
          <cell r="R475">
            <v>207.6</v>
          </cell>
          <cell r="S475" t="b">
            <v>1</v>
          </cell>
        </row>
        <row r="476">
          <cell r="A476">
            <v>475</v>
          </cell>
          <cell r="B476">
            <v>45258.660578703704</v>
          </cell>
          <cell r="C476" t="str">
            <v>INV(BAL) / 2023-2024 / 24050</v>
          </cell>
          <cell r="D476" t="str">
            <v>RETAIL</v>
          </cell>
          <cell r="E476">
            <v>253078.71</v>
          </cell>
          <cell r="F476">
            <v>0</v>
          </cell>
          <cell r="G476">
            <v>0</v>
          </cell>
          <cell r="H476">
            <v>166.61</v>
          </cell>
          <cell r="I476">
            <v>153784.09</v>
          </cell>
          <cell r="J476">
            <v>53824.43</v>
          </cell>
          <cell r="K476">
            <v>2076</v>
          </cell>
          <cell r="L476">
            <v>209684.52</v>
          </cell>
          <cell r="M476">
            <v>43394.19</v>
          </cell>
          <cell r="N476">
            <v>2023</v>
          </cell>
          <cell r="O476">
            <v>0.34999999024606515</v>
          </cell>
          <cell r="P476">
            <v>1.349944587895926E-2</v>
          </cell>
          <cell r="Q476" t="str">
            <v>Liquor</v>
          </cell>
          <cell r="R476">
            <v>222.14666666666668</v>
          </cell>
          <cell r="S476" t="b">
            <v>1</v>
          </cell>
        </row>
        <row r="477">
          <cell r="A477">
            <v>476</v>
          </cell>
          <cell r="B477">
            <v>45268.470856481479</v>
          </cell>
          <cell r="C477" t="str">
            <v>OSBC/BAL/MR/30591/2023-2024</v>
          </cell>
          <cell r="D477" t="str">
            <v>GOVT</v>
          </cell>
          <cell r="E477">
            <v>43394.19</v>
          </cell>
          <cell r="F477">
            <v>200000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243394.19</v>
          </cell>
          <cell r="N477">
            <v>2023</v>
          </cell>
          <cell r="O477">
            <v>0</v>
          </cell>
          <cell r="P477">
            <v>0</v>
          </cell>
          <cell r="Q477" t="str">
            <v>-</v>
          </cell>
          <cell r="R477">
            <v>0</v>
          </cell>
          <cell r="S477" t="b">
            <v>1</v>
          </cell>
        </row>
        <row r="478">
          <cell r="A478">
            <v>477</v>
          </cell>
          <cell r="B478">
            <v>45268.635810185187</v>
          </cell>
          <cell r="C478" t="str">
            <v>INV(BAL) / 2023-2024 / 25038</v>
          </cell>
          <cell r="D478" t="str">
            <v>RETAIL</v>
          </cell>
          <cell r="E478">
            <v>243394.19</v>
          </cell>
          <cell r="F478">
            <v>0</v>
          </cell>
          <cell r="G478">
            <v>0</v>
          </cell>
          <cell r="H478">
            <v>151.74</v>
          </cell>
          <cell r="I478">
            <v>141428.63</v>
          </cell>
          <cell r="J478">
            <v>49500.02</v>
          </cell>
          <cell r="K478">
            <v>1909</v>
          </cell>
          <cell r="L478">
            <v>192837.65</v>
          </cell>
          <cell r="M478">
            <v>50556.54</v>
          </cell>
          <cell r="N478">
            <v>2023</v>
          </cell>
          <cell r="O478">
            <v>0.34999999646464791</v>
          </cell>
          <cell r="P478">
            <v>1.3497974207909672E-2</v>
          </cell>
          <cell r="Q478" t="str">
            <v>Liquor</v>
          </cell>
          <cell r="R478">
            <v>202.32000000000002</v>
          </cell>
          <cell r="S478" t="b">
            <v>1</v>
          </cell>
        </row>
        <row r="479">
          <cell r="A479">
            <v>478</v>
          </cell>
          <cell r="B479">
            <v>45271.392430555556</v>
          </cell>
          <cell r="C479" t="str">
            <v>OSBC/BAL/MR/30737/2023-2024</v>
          </cell>
          <cell r="D479" t="str">
            <v>GOVT</v>
          </cell>
          <cell r="E479">
            <v>50556.54</v>
          </cell>
          <cell r="F479">
            <v>140000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190556.54</v>
          </cell>
          <cell r="N479">
            <v>2023</v>
          </cell>
          <cell r="O479">
            <v>0</v>
          </cell>
          <cell r="P479">
            <v>0</v>
          </cell>
          <cell r="Q479" t="str">
            <v>-</v>
          </cell>
          <cell r="R479">
            <v>0</v>
          </cell>
          <cell r="S479" t="b">
            <v>1</v>
          </cell>
        </row>
        <row r="480">
          <cell r="A480">
            <v>479</v>
          </cell>
          <cell r="B480">
            <v>45271.606400462966</v>
          </cell>
          <cell r="C480" t="str">
            <v>INV(BAL) / 2023-2024 / 25169</v>
          </cell>
          <cell r="D480" t="str">
            <v>RETAIL</v>
          </cell>
          <cell r="E480">
            <v>190556.54</v>
          </cell>
          <cell r="F480">
            <v>0</v>
          </cell>
          <cell r="G480">
            <v>187.8</v>
          </cell>
          <cell r="H480">
            <v>0</v>
          </cell>
          <cell r="I480">
            <v>38174.629999999997</v>
          </cell>
          <cell r="J480">
            <v>13361.12</v>
          </cell>
          <cell r="K480">
            <v>515</v>
          </cell>
          <cell r="L480">
            <v>52050.75</v>
          </cell>
          <cell r="M480">
            <v>138505.79</v>
          </cell>
          <cell r="N480">
            <v>2023</v>
          </cell>
          <cell r="O480">
            <v>0.34999998690229617</v>
          </cell>
          <cell r="P480">
            <v>1.3490635010738808E-2</v>
          </cell>
          <cell r="Q480" t="str">
            <v>Beer</v>
          </cell>
          <cell r="R480">
            <v>187.8</v>
          </cell>
          <cell r="S480" t="b">
            <v>1</v>
          </cell>
        </row>
        <row r="481">
          <cell r="A481">
            <v>480</v>
          </cell>
          <cell r="B481">
            <v>45271.60696759259</v>
          </cell>
          <cell r="C481" t="str">
            <v>INV(BAL) / 2023-2024 / 25171</v>
          </cell>
          <cell r="D481" t="str">
            <v>RETAIL</v>
          </cell>
          <cell r="E481">
            <v>138505.79</v>
          </cell>
          <cell r="F481">
            <v>0</v>
          </cell>
          <cell r="G481">
            <v>0</v>
          </cell>
          <cell r="H481">
            <v>96.26</v>
          </cell>
          <cell r="I481">
            <v>96527.83</v>
          </cell>
          <cell r="J481">
            <v>33784.720000000001</v>
          </cell>
          <cell r="K481">
            <v>1303</v>
          </cell>
          <cell r="L481">
            <v>131615.54999999999</v>
          </cell>
          <cell r="M481">
            <v>6890.24</v>
          </cell>
          <cell r="N481">
            <v>2023</v>
          </cell>
          <cell r="O481">
            <v>0.34999978762601419</v>
          </cell>
          <cell r="P481">
            <v>1.3498697733078636E-2</v>
          </cell>
          <cell r="Q481" t="str">
            <v>Liquor</v>
          </cell>
          <cell r="R481">
            <v>128.34666666666666</v>
          </cell>
          <cell r="S481" t="b">
            <v>1</v>
          </cell>
        </row>
        <row r="482">
          <cell r="A482">
            <v>481</v>
          </cell>
          <cell r="B482">
            <v>45275.492731481485</v>
          </cell>
          <cell r="C482" t="str">
            <v>OSBC/BAL/MR/31409/2023-2024</v>
          </cell>
          <cell r="D482" t="str">
            <v>GOVT</v>
          </cell>
          <cell r="E482">
            <v>6890.24</v>
          </cell>
          <cell r="F482">
            <v>170000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176890.23999999999</v>
          </cell>
          <cell r="N482">
            <v>2023</v>
          </cell>
          <cell r="O482">
            <v>0</v>
          </cell>
          <cell r="P482">
            <v>0</v>
          </cell>
          <cell r="Q482" t="str">
            <v>-</v>
          </cell>
          <cell r="R482">
            <v>0</v>
          </cell>
          <cell r="S482" t="b">
            <v>1</v>
          </cell>
        </row>
        <row r="483">
          <cell r="A483">
            <v>482</v>
          </cell>
          <cell r="B483">
            <v>45275.629560185182</v>
          </cell>
          <cell r="C483" t="str">
            <v>INV(BAL) / 2023-2024 / 25631</v>
          </cell>
          <cell r="D483" t="str">
            <v>RETAIL</v>
          </cell>
          <cell r="E483">
            <v>176890.23999999999</v>
          </cell>
          <cell r="F483">
            <v>0</v>
          </cell>
          <cell r="G483">
            <v>0</v>
          </cell>
          <cell r="H483">
            <v>122.6</v>
          </cell>
          <cell r="I483">
            <v>128829.54</v>
          </cell>
          <cell r="J483">
            <v>45090.33</v>
          </cell>
          <cell r="K483">
            <v>1739</v>
          </cell>
          <cell r="L483">
            <v>175658.87</v>
          </cell>
          <cell r="M483">
            <v>1231.3699999999999</v>
          </cell>
          <cell r="N483">
            <v>2023</v>
          </cell>
          <cell r="O483">
            <v>0.34999993014024583</v>
          </cell>
          <cell r="P483">
            <v>1.3498456953273294E-2</v>
          </cell>
          <cell r="Q483" t="str">
            <v>Liquor</v>
          </cell>
          <cell r="R483">
            <v>163.46666666666667</v>
          </cell>
          <cell r="S483" t="b">
            <v>1</v>
          </cell>
        </row>
        <row r="484">
          <cell r="A484">
            <v>483</v>
          </cell>
          <cell r="B484">
            <v>45289.49523148148</v>
          </cell>
          <cell r="C484" t="str">
            <v>OSBC/BAL/MR/33228/2023-2024</v>
          </cell>
          <cell r="D484" t="str">
            <v>GOVT</v>
          </cell>
          <cell r="E484">
            <v>1231.3699999999999</v>
          </cell>
          <cell r="F484">
            <v>100000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101231.37</v>
          </cell>
          <cell r="N484">
            <v>2023</v>
          </cell>
          <cell r="O484">
            <v>0</v>
          </cell>
          <cell r="P484">
            <v>0</v>
          </cell>
          <cell r="Q484" t="str">
            <v>-</v>
          </cell>
          <cell r="R484">
            <v>0</v>
          </cell>
          <cell r="S484" t="b">
            <v>1</v>
          </cell>
        </row>
        <row r="485">
          <cell r="A485">
            <v>484</v>
          </cell>
          <cell r="B485">
            <v>45289.587372685186</v>
          </cell>
          <cell r="C485" t="str">
            <v>OSBC/BAL/MR/33273/2023-2024</v>
          </cell>
          <cell r="D485" t="str">
            <v>GOVT</v>
          </cell>
          <cell r="E485">
            <v>101231.37</v>
          </cell>
          <cell r="F485">
            <v>100000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201231.37</v>
          </cell>
          <cell r="N485">
            <v>2023</v>
          </cell>
          <cell r="O485">
            <v>0</v>
          </cell>
          <cell r="P485">
            <v>0</v>
          </cell>
          <cell r="Q485" t="str">
            <v>-</v>
          </cell>
          <cell r="R485">
            <v>0</v>
          </cell>
          <cell r="S485" t="b">
            <v>1</v>
          </cell>
        </row>
        <row r="486">
          <cell r="A486">
            <v>485</v>
          </cell>
          <cell r="B486">
            <v>45289.589050925926</v>
          </cell>
          <cell r="C486" t="str">
            <v>OSBC/BAL/MR/33275/2023-2024</v>
          </cell>
          <cell r="D486" t="str">
            <v>GOVT</v>
          </cell>
          <cell r="E486">
            <v>201231.37</v>
          </cell>
          <cell r="F486">
            <v>80000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281231.37</v>
          </cell>
          <cell r="N486">
            <v>2023</v>
          </cell>
          <cell r="O486">
            <v>0</v>
          </cell>
          <cell r="P486">
            <v>0</v>
          </cell>
          <cell r="Q486" t="str">
            <v>-</v>
          </cell>
          <cell r="R486">
            <v>0</v>
          </cell>
          <cell r="S486" t="b">
            <v>1</v>
          </cell>
        </row>
        <row r="487">
          <cell r="A487">
            <v>486</v>
          </cell>
          <cell r="B487">
            <v>45289.706979166665</v>
          </cell>
          <cell r="C487" t="str">
            <v>INV(BAL) / 2023-2024 / 26929</v>
          </cell>
          <cell r="D487" t="str">
            <v>RETAIL</v>
          </cell>
          <cell r="E487">
            <v>281231.37</v>
          </cell>
          <cell r="F487">
            <v>0</v>
          </cell>
          <cell r="G487">
            <v>394.2</v>
          </cell>
          <cell r="H487">
            <v>0</v>
          </cell>
          <cell r="I487">
            <v>65873.05</v>
          </cell>
          <cell r="J487">
            <v>23055.55</v>
          </cell>
          <cell r="K487">
            <v>889</v>
          </cell>
          <cell r="L487">
            <v>89817.600000000006</v>
          </cell>
          <cell r="M487">
            <v>191413.77</v>
          </cell>
          <cell r="N487">
            <v>2023</v>
          </cell>
          <cell r="O487">
            <v>0.34999973433748699</v>
          </cell>
          <cell r="P487">
            <v>1.3495655658877188E-2</v>
          </cell>
          <cell r="Q487" t="str">
            <v>Beer</v>
          </cell>
          <cell r="R487">
            <v>394.2</v>
          </cell>
          <cell r="S487" t="b">
            <v>1</v>
          </cell>
        </row>
        <row r="488">
          <cell r="A488">
            <v>487</v>
          </cell>
          <cell r="B488">
            <v>45289.708275462966</v>
          </cell>
          <cell r="C488" t="str">
            <v>INV(BAL) / 2023-2024 / 26930</v>
          </cell>
          <cell r="D488" t="str">
            <v>RETAIL</v>
          </cell>
          <cell r="E488">
            <v>191413.77</v>
          </cell>
          <cell r="F488">
            <v>0</v>
          </cell>
          <cell r="G488">
            <v>0</v>
          </cell>
          <cell r="H488">
            <v>143.27000000000001</v>
          </cell>
          <cell r="I488">
            <v>140070.63</v>
          </cell>
          <cell r="J488">
            <v>49024.69</v>
          </cell>
          <cell r="K488">
            <v>1891</v>
          </cell>
          <cell r="L488">
            <v>190986.32</v>
          </cell>
          <cell r="M488">
            <v>427.45</v>
          </cell>
          <cell r="N488">
            <v>2023</v>
          </cell>
          <cell r="O488">
            <v>0.34999978225271067</v>
          </cell>
          <cell r="P488">
            <v>1.3500331939679288E-2</v>
          </cell>
          <cell r="Q488" t="str">
            <v>Liquor</v>
          </cell>
          <cell r="R488">
            <v>191.02666666666667</v>
          </cell>
          <cell r="S488" t="b">
            <v>1</v>
          </cell>
        </row>
        <row r="489">
          <cell r="A489">
            <v>488</v>
          </cell>
          <cell r="B489">
            <v>45293.483576388891</v>
          </cell>
          <cell r="C489" t="str">
            <v>OSBC/BAL/MR/33795/2023-2024</v>
          </cell>
          <cell r="D489" t="str">
            <v>GOVT</v>
          </cell>
          <cell r="E489">
            <v>427.45</v>
          </cell>
          <cell r="F489">
            <v>220000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220427.45</v>
          </cell>
          <cell r="N489">
            <v>2024</v>
          </cell>
          <cell r="O489">
            <v>0</v>
          </cell>
          <cell r="P489">
            <v>0</v>
          </cell>
          <cell r="Q489" t="str">
            <v>-</v>
          </cell>
          <cell r="R489">
            <v>0</v>
          </cell>
          <cell r="S489" t="b">
            <v>1</v>
          </cell>
        </row>
        <row r="490">
          <cell r="A490">
            <v>489</v>
          </cell>
          <cell r="B490">
            <v>45293.504016203704</v>
          </cell>
          <cell r="C490" t="str">
            <v>OSBC/BAL/MR/33808/2023-2024</v>
          </cell>
          <cell r="D490" t="str">
            <v>GOVT</v>
          </cell>
          <cell r="E490">
            <v>220427.45</v>
          </cell>
          <cell r="F490">
            <v>1000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221427.45</v>
          </cell>
          <cell r="N490">
            <v>2024</v>
          </cell>
          <cell r="O490">
            <v>0</v>
          </cell>
          <cell r="P490">
            <v>0</v>
          </cell>
          <cell r="Q490" t="str">
            <v>-</v>
          </cell>
          <cell r="R490">
            <v>0</v>
          </cell>
          <cell r="S490" t="b">
            <v>1</v>
          </cell>
        </row>
        <row r="491">
          <cell r="A491">
            <v>490</v>
          </cell>
          <cell r="B491">
            <v>45293.658321759256</v>
          </cell>
          <cell r="C491" t="str">
            <v>INV(BAL) / 2023-2024 / 27305</v>
          </cell>
          <cell r="D491" t="str">
            <v>RETAIL</v>
          </cell>
          <cell r="E491">
            <v>221427.45</v>
          </cell>
          <cell r="F491">
            <v>0</v>
          </cell>
          <cell r="G491">
            <v>0</v>
          </cell>
          <cell r="H491">
            <v>174.53</v>
          </cell>
          <cell r="I491">
            <v>161666.73000000001</v>
          </cell>
          <cell r="J491">
            <v>56583.34</v>
          </cell>
          <cell r="K491">
            <v>2183</v>
          </cell>
          <cell r="L491">
            <v>220433.07</v>
          </cell>
          <cell r="M491">
            <v>994.38</v>
          </cell>
          <cell r="N491">
            <v>2024</v>
          </cell>
          <cell r="O491">
            <v>0.34999990412374887</v>
          </cell>
          <cell r="P491">
            <v>1.3503087493635827E-2</v>
          </cell>
          <cell r="Q491" t="str">
            <v>Liquor</v>
          </cell>
          <cell r="R491">
            <v>232.70666666666668</v>
          </cell>
          <cell r="S491" t="b">
            <v>1</v>
          </cell>
        </row>
        <row r="492">
          <cell r="A492">
            <v>491</v>
          </cell>
          <cell r="B492">
            <v>45303.406585648147</v>
          </cell>
          <cell r="C492" t="str">
            <v>OSBC/BAL/MR/35023/2023-2024</v>
          </cell>
          <cell r="D492" t="str">
            <v>GOVT</v>
          </cell>
          <cell r="E492">
            <v>994.38</v>
          </cell>
          <cell r="F492">
            <v>190000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190994.38</v>
          </cell>
          <cell r="N492">
            <v>2024</v>
          </cell>
          <cell r="O492">
            <v>0</v>
          </cell>
          <cell r="P492">
            <v>0</v>
          </cell>
          <cell r="Q492" t="str">
            <v>-</v>
          </cell>
          <cell r="R492">
            <v>0</v>
          </cell>
          <cell r="S492" t="b">
            <v>1</v>
          </cell>
        </row>
        <row r="493">
          <cell r="A493">
            <v>492</v>
          </cell>
          <cell r="B493">
            <v>45303.734861111108</v>
          </cell>
          <cell r="C493" t="str">
            <v>INV(BAL) / 2023-2024 / 28303</v>
          </cell>
          <cell r="D493" t="str">
            <v>RETAIL</v>
          </cell>
          <cell r="E493">
            <v>190994.38</v>
          </cell>
          <cell r="F493">
            <v>0</v>
          </cell>
          <cell r="G493">
            <v>249.6</v>
          </cell>
          <cell r="H493">
            <v>0</v>
          </cell>
          <cell r="I493">
            <v>43095.27</v>
          </cell>
          <cell r="J493">
            <v>15083.34</v>
          </cell>
          <cell r="K493">
            <v>582</v>
          </cell>
          <cell r="L493">
            <v>58760.61</v>
          </cell>
          <cell r="M493">
            <v>132233.76999999999</v>
          </cell>
          <cell r="N493">
            <v>2024</v>
          </cell>
          <cell r="O493">
            <v>0.34999989558018785</v>
          </cell>
          <cell r="P493">
            <v>1.3504962377541667E-2</v>
          </cell>
          <cell r="Q493" t="str">
            <v>Beer</v>
          </cell>
          <cell r="R493">
            <v>249.6</v>
          </cell>
          <cell r="S493" t="b">
            <v>1</v>
          </cell>
        </row>
        <row r="494">
          <cell r="A494">
            <v>493</v>
          </cell>
          <cell r="B494">
            <v>45303.747534722221</v>
          </cell>
          <cell r="C494" t="str">
            <v>INV(BAL) / 2023-2024 / 28317</v>
          </cell>
          <cell r="D494" t="str">
            <v>RETAIL</v>
          </cell>
          <cell r="E494">
            <v>132233.76999999999</v>
          </cell>
          <cell r="F494">
            <v>0</v>
          </cell>
          <cell r="G494">
            <v>0</v>
          </cell>
          <cell r="H494">
            <v>97.22</v>
          </cell>
          <cell r="I494">
            <v>94350.06</v>
          </cell>
          <cell r="J494">
            <v>33022.53</v>
          </cell>
          <cell r="K494">
            <v>1274</v>
          </cell>
          <cell r="L494">
            <v>128646.59</v>
          </cell>
          <cell r="M494">
            <v>3587.18</v>
          </cell>
          <cell r="N494">
            <v>2024</v>
          </cell>
          <cell r="O494">
            <v>0.35000009538944649</v>
          </cell>
          <cell r="P494">
            <v>1.3502906092481552E-2</v>
          </cell>
          <cell r="Q494" t="str">
            <v>Liquor</v>
          </cell>
          <cell r="R494">
            <v>129.62666666666667</v>
          </cell>
          <cell r="S494" t="b">
            <v>1</v>
          </cell>
        </row>
        <row r="495">
          <cell r="A495">
            <v>494</v>
          </cell>
          <cell r="B495">
            <v>45307.479594907411</v>
          </cell>
          <cell r="C495" t="str">
            <v>OSBC/BAL/MR/35493/2023-2024</v>
          </cell>
          <cell r="D495" t="str">
            <v>GOVT</v>
          </cell>
          <cell r="E495">
            <v>3587.18</v>
          </cell>
          <cell r="F495">
            <v>240000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243587.18</v>
          </cell>
          <cell r="N495">
            <v>2024</v>
          </cell>
          <cell r="O495">
            <v>0</v>
          </cell>
          <cell r="P495">
            <v>0</v>
          </cell>
          <cell r="Q495" t="str">
            <v>-</v>
          </cell>
          <cell r="R495">
            <v>0</v>
          </cell>
          <cell r="S495" t="b">
            <v>1</v>
          </cell>
        </row>
        <row r="496">
          <cell r="A496">
            <v>495</v>
          </cell>
          <cell r="B496">
            <v>45307.850393518522</v>
          </cell>
          <cell r="C496" t="str">
            <v>INV(BAL) / 2023-2024 / 28606</v>
          </cell>
          <cell r="D496" t="str">
            <v>RETAIL</v>
          </cell>
          <cell r="E496">
            <v>243587.18</v>
          </cell>
          <cell r="F496">
            <v>0</v>
          </cell>
          <cell r="G496">
            <v>0</v>
          </cell>
          <cell r="H496">
            <v>198.45</v>
          </cell>
          <cell r="I496">
            <v>178015.95</v>
          </cell>
          <cell r="J496">
            <v>62305.58</v>
          </cell>
          <cell r="K496">
            <v>2403</v>
          </cell>
          <cell r="L496">
            <v>242724.53</v>
          </cell>
          <cell r="M496">
            <v>862.65</v>
          </cell>
          <cell r="N496">
            <v>2024</v>
          </cell>
          <cell r="O496">
            <v>0.3499999859563146</v>
          </cell>
          <cell r="P496">
            <v>1.3498790417375521E-2</v>
          </cell>
          <cell r="Q496" t="str">
            <v>Liquor</v>
          </cell>
          <cell r="R496">
            <v>264.59999999999997</v>
          </cell>
          <cell r="S496" t="b">
            <v>1</v>
          </cell>
        </row>
        <row r="497">
          <cell r="A497">
            <v>496</v>
          </cell>
          <cell r="B497">
            <v>45316.382835648146</v>
          </cell>
          <cell r="C497" t="str">
            <v>OSBC/BAL/MR/36687/2023-2024</v>
          </cell>
          <cell r="D497" t="str">
            <v>GOVT</v>
          </cell>
          <cell r="E497">
            <v>862.65</v>
          </cell>
          <cell r="F497">
            <v>200000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200862.65</v>
          </cell>
          <cell r="N497">
            <v>2024</v>
          </cell>
          <cell r="O497">
            <v>0</v>
          </cell>
          <cell r="P497">
            <v>0</v>
          </cell>
          <cell r="Q497" t="str">
            <v>-</v>
          </cell>
          <cell r="R497">
            <v>0</v>
          </cell>
          <cell r="S497" t="b">
            <v>1</v>
          </cell>
        </row>
        <row r="498">
          <cell r="A498">
            <v>497</v>
          </cell>
          <cell r="B498">
            <v>45316.624085648145</v>
          </cell>
          <cell r="C498" t="str">
            <v>INV(BAL) / 2023-2024 / 29560</v>
          </cell>
          <cell r="D498" t="str">
            <v>RETAIL</v>
          </cell>
          <cell r="E498">
            <v>200862.65</v>
          </cell>
          <cell r="F498">
            <v>0</v>
          </cell>
          <cell r="G498">
            <v>0</v>
          </cell>
          <cell r="H498">
            <v>79.11</v>
          </cell>
          <cell r="I498">
            <v>75333.36</v>
          </cell>
          <cell r="J498">
            <v>26366.68</v>
          </cell>
          <cell r="K498">
            <v>1017</v>
          </cell>
          <cell r="L498">
            <v>102717.04</v>
          </cell>
          <cell r="M498">
            <v>98145.61</v>
          </cell>
          <cell r="N498">
            <v>2024</v>
          </cell>
          <cell r="O498">
            <v>0.35000005309732635</v>
          </cell>
          <cell r="P498">
            <v>1.3499995221240629E-2</v>
          </cell>
          <cell r="Q498" t="str">
            <v>Liquor</v>
          </cell>
          <cell r="R498">
            <v>105.48</v>
          </cell>
          <cell r="S498" t="b">
            <v>1</v>
          </cell>
        </row>
        <row r="499">
          <cell r="A499">
            <v>498</v>
          </cell>
          <cell r="B499">
            <v>45316.624409722222</v>
          </cell>
          <cell r="C499" t="str">
            <v>INV(BAL) / 2023-2024 / 29561</v>
          </cell>
          <cell r="D499" t="str">
            <v>RETAIL</v>
          </cell>
          <cell r="E499">
            <v>98145.61</v>
          </cell>
          <cell r="F499">
            <v>0</v>
          </cell>
          <cell r="G499">
            <v>372</v>
          </cell>
          <cell r="H499">
            <v>0</v>
          </cell>
          <cell r="I499">
            <v>70238.05</v>
          </cell>
          <cell r="J499">
            <v>24583.32</v>
          </cell>
          <cell r="K499">
            <v>948</v>
          </cell>
          <cell r="L499">
            <v>95769.37</v>
          </cell>
          <cell r="M499">
            <v>2376.2399999999998</v>
          </cell>
          <cell r="N499">
            <v>2024</v>
          </cell>
          <cell r="O499">
            <v>0.35000003559324322</v>
          </cell>
          <cell r="P499">
            <v>1.3496957845498272E-2</v>
          </cell>
          <cell r="Q499" t="str">
            <v>Beer</v>
          </cell>
          <cell r="R499">
            <v>372</v>
          </cell>
          <cell r="S499" t="b">
            <v>1</v>
          </cell>
        </row>
        <row r="500">
          <cell r="A500">
            <v>499</v>
          </cell>
          <cell r="B500">
            <v>45325.362870370373</v>
          </cell>
          <cell r="C500" t="str">
            <v>OSBC/BAL/MR/37885/2023-2024</v>
          </cell>
          <cell r="D500" t="str">
            <v>GOVT</v>
          </cell>
          <cell r="E500">
            <v>2376.2399999999998</v>
          </cell>
          <cell r="F500">
            <v>260000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262376.24</v>
          </cell>
          <cell r="N500">
            <v>2024</v>
          </cell>
          <cell r="O500">
            <v>0</v>
          </cell>
          <cell r="P500">
            <v>0</v>
          </cell>
          <cell r="Q500" t="str">
            <v>-</v>
          </cell>
          <cell r="R500">
            <v>0</v>
          </cell>
          <cell r="S500" t="b">
            <v>1</v>
          </cell>
        </row>
        <row r="501">
          <cell r="A501">
            <v>500</v>
          </cell>
          <cell r="B501">
            <v>45325.665254629632</v>
          </cell>
          <cell r="C501" t="str">
            <v>INV(BAL) / 2023-2024 / 30536</v>
          </cell>
          <cell r="D501" t="str">
            <v>RETAIL</v>
          </cell>
          <cell r="E501">
            <v>262376.24</v>
          </cell>
          <cell r="F501">
            <v>0</v>
          </cell>
          <cell r="G501">
            <v>0</v>
          </cell>
          <cell r="H501">
            <v>209.48</v>
          </cell>
          <cell r="I501">
            <v>191543</v>
          </cell>
          <cell r="J501">
            <v>67040.05</v>
          </cell>
          <cell r="K501">
            <v>2586</v>
          </cell>
          <cell r="L501">
            <v>261169.05</v>
          </cell>
          <cell r="M501">
            <v>1207.19</v>
          </cell>
          <cell r="N501">
            <v>2024</v>
          </cell>
          <cell r="O501">
            <v>0.35000000000000003</v>
          </cell>
          <cell r="P501">
            <v>1.3500884918791081E-2</v>
          </cell>
          <cell r="Q501" t="str">
            <v>Liquor</v>
          </cell>
          <cell r="R501">
            <v>279.30666666666667</v>
          </cell>
          <cell r="S501" t="b">
            <v>1</v>
          </cell>
        </row>
        <row r="502">
          <cell r="A502">
            <v>501</v>
          </cell>
          <cell r="B502">
            <v>45331.498298611114</v>
          </cell>
          <cell r="C502" t="str">
            <v>OSBC/BAL/MR/38868/2023-2024</v>
          </cell>
          <cell r="D502" t="str">
            <v>GOVT</v>
          </cell>
          <cell r="E502">
            <v>1207.19</v>
          </cell>
          <cell r="F502">
            <v>185000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186207.19</v>
          </cell>
          <cell r="N502">
            <v>2024</v>
          </cell>
          <cell r="O502">
            <v>0</v>
          </cell>
          <cell r="P502">
            <v>0</v>
          </cell>
          <cell r="Q502" t="str">
            <v>-</v>
          </cell>
          <cell r="R502">
            <v>0</v>
          </cell>
          <cell r="S502" t="b">
            <v>1</v>
          </cell>
        </row>
        <row r="503">
          <cell r="A503">
            <v>502</v>
          </cell>
          <cell r="B503">
            <v>45331.695717592593</v>
          </cell>
          <cell r="C503" t="str">
            <v>INV(BAL) / 2023-2024 / 31338</v>
          </cell>
          <cell r="D503" t="str">
            <v>RETAIL</v>
          </cell>
          <cell r="E503">
            <v>186207.19</v>
          </cell>
          <cell r="F503">
            <v>0</v>
          </cell>
          <cell r="G503">
            <v>441</v>
          </cell>
          <cell r="H503">
            <v>0</v>
          </cell>
          <cell r="I503">
            <v>69523.89</v>
          </cell>
          <cell r="J503">
            <v>24333.360000000001</v>
          </cell>
          <cell r="K503">
            <v>939</v>
          </cell>
          <cell r="L503">
            <v>94796.25</v>
          </cell>
          <cell r="M503">
            <v>91410.94</v>
          </cell>
          <cell r="N503">
            <v>2024</v>
          </cell>
          <cell r="O503">
            <v>0.3499999784246825</v>
          </cell>
          <cell r="P503">
            <v>1.3506148749731927E-2</v>
          </cell>
          <cell r="Q503" t="str">
            <v>Beer</v>
          </cell>
          <cell r="R503">
            <v>441</v>
          </cell>
          <cell r="S503" t="b">
            <v>1</v>
          </cell>
        </row>
        <row r="504">
          <cell r="A504">
            <v>503</v>
          </cell>
          <cell r="B504">
            <v>45331.696562500001</v>
          </cell>
          <cell r="C504" t="str">
            <v>INV(BAL) / 2023-2024 / 31339</v>
          </cell>
          <cell r="D504" t="str">
            <v>RETAIL</v>
          </cell>
          <cell r="E504">
            <v>91410.94</v>
          </cell>
          <cell r="F504">
            <v>0</v>
          </cell>
          <cell r="G504">
            <v>0</v>
          </cell>
          <cell r="H504">
            <v>72.63</v>
          </cell>
          <cell r="I504">
            <v>66111.149999999994</v>
          </cell>
          <cell r="J504">
            <v>23138.9</v>
          </cell>
          <cell r="K504">
            <v>893</v>
          </cell>
          <cell r="L504">
            <v>90143.05</v>
          </cell>
          <cell r="M504">
            <v>1267.8900000000001</v>
          </cell>
          <cell r="N504">
            <v>2024</v>
          </cell>
          <cell r="O504">
            <v>0.34999996218489626</v>
          </cell>
          <cell r="P504">
            <v>1.3507555079589451E-2</v>
          </cell>
          <cell r="Q504" t="str">
            <v>Liquor</v>
          </cell>
          <cell r="R504">
            <v>96.839999999999989</v>
          </cell>
          <cell r="S504" t="b">
            <v>1</v>
          </cell>
        </row>
        <row r="505">
          <cell r="A505">
            <v>504</v>
          </cell>
          <cell r="B505">
            <v>45341.456817129627</v>
          </cell>
          <cell r="C505" t="str">
            <v>OSBC/BAL/MR/40124/2023-2024</v>
          </cell>
          <cell r="D505" t="str">
            <v>GOVT</v>
          </cell>
          <cell r="E505">
            <v>1267.8900000000001</v>
          </cell>
          <cell r="F505">
            <v>320000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321267.89</v>
          </cell>
          <cell r="N505">
            <v>2024</v>
          </cell>
          <cell r="O505">
            <v>0</v>
          </cell>
          <cell r="P505">
            <v>0</v>
          </cell>
          <cell r="Q505" t="str">
            <v>-</v>
          </cell>
          <cell r="R505">
            <v>0</v>
          </cell>
          <cell r="S505" t="b">
            <v>1</v>
          </cell>
        </row>
        <row r="506">
          <cell r="A506">
            <v>505</v>
          </cell>
          <cell r="B506">
            <v>45341.501747685186</v>
          </cell>
          <cell r="C506" t="str">
            <v>INV(BAL) / 2023-2024 / 32313</v>
          </cell>
          <cell r="D506" t="str">
            <v>RETAIL</v>
          </cell>
          <cell r="E506">
            <v>321267.89</v>
          </cell>
          <cell r="F506">
            <v>0</v>
          </cell>
          <cell r="G506">
            <v>263.39999999999998</v>
          </cell>
          <cell r="H506">
            <v>0</v>
          </cell>
          <cell r="I506">
            <v>44365.1</v>
          </cell>
          <cell r="J506">
            <v>15527.79</v>
          </cell>
          <cell r="K506">
            <v>599</v>
          </cell>
          <cell r="L506">
            <v>60491.89</v>
          </cell>
          <cell r="M506">
            <v>260776</v>
          </cell>
          <cell r="N506">
            <v>2024</v>
          </cell>
          <cell r="O506">
            <v>0.35000011270119985</v>
          </cell>
          <cell r="P506">
            <v>1.3501603738073397E-2</v>
          </cell>
          <cell r="Q506" t="str">
            <v>Beer</v>
          </cell>
          <cell r="R506">
            <v>263.39999999999998</v>
          </cell>
          <cell r="S506" t="b">
            <v>1</v>
          </cell>
        </row>
        <row r="507">
          <cell r="A507">
            <v>506</v>
          </cell>
          <cell r="B507">
            <v>45341.547291666669</v>
          </cell>
          <cell r="C507" t="str">
            <v>INV(BAL) / 2023-2024 / 32342</v>
          </cell>
          <cell r="D507" t="str">
            <v>RETAIL</v>
          </cell>
          <cell r="E507">
            <v>260776</v>
          </cell>
          <cell r="F507">
            <v>0</v>
          </cell>
          <cell r="G507">
            <v>0</v>
          </cell>
          <cell r="H507">
            <v>194.31</v>
          </cell>
          <cell r="I507">
            <v>176993.34</v>
          </cell>
          <cell r="J507">
            <v>61947.67</v>
          </cell>
          <cell r="K507">
            <v>2389</v>
          </cell>
          <cell r="L507">
            <v>241330.01</v>
          </cell>
          <cell r="M507">
            <v>19445.990000000002</v>
          </cell>
          <cell r="N507">
            <v>2024</v>
          </cell>
          <cell r="O507">
            <v>0.35000000564993011</v>
          </cell>
          <cell r="P507">
            <v>1.3497683020163357E-2</v>
          </cell>
          <cell r="Q507" t="str">
            <v>Liquor</v>
          </cell>
          <cell r="R507">
            <v>259.08</v>
          </cell>
          <cell r="S507" t="b">
            <v>1</v>
          </cell>
        </row>
        <row r="508">
          <cell r="A508">
            <v>507</v>
          </cell>
          <cell r="B508">
            <v>45351.497291666667</v>
          </cell>
          <cell r="C508" t="str">
            <v>OSBC/BAL/MR/41769/2023-2024</v>
          </cell>
          <cell r="D508" t="str">
            <v>GOVT</v>
          </cell>
          <cell r="E508">
            <v>19445.990000000002</v>
          </cell>
          <cell r="F508">
            <v>100000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119445.99</v>
          </cell>
          <cell r="N508">
            <v>2024</v>
          </cell>
          <cell r="O508">
            <v>0</v>
          </cell>
          <cell r="P508">
            <v>0</v>
          </cell>
          <cell r="Q508" t="str">
            <v>-</v>
          </cell>
          <cell r="R508">
            <v>0</v>
          </cell>
          <cell r="S508" t="b">
            <v>1</v>
          </cell>
        </row>
        <row r="509">
          <cell r="A509">
            <v>508</v>
          </cell>
          <cell r="B509">
            <v>45351.509166666663</v>
          </cell>
          <cell r="C509" t="str">
            <v>OSBC/BAL/MR/41778/2023-2024</v>
          </cell>
          <cell r="D509" t="str">
            <v>GOVT</v>
          </cell>
          <cell r="E509">
            <v>119445.99</v>
          </cell>
          <cell r="F509">
            <v>1000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120445.99</v>
          </cell>
          <cell r="N509">
            <v>2024</v>
          </cell>
          <cell r="O509">
            <v>0</v>
          </cell>
          <cell r="P509">
            <v>0</v>
          </cell>
          <cell r="Q509" t="str">
            <v>-</v>
          </cell>
          <cell r="R509">
            <v>0</v>
          </cell>
          <cell r="S509" t="b">
            <v>1</v>
          </cell>
        </row>
        <row r="510">
          <cell r="A510">
            <v>509</v>
          </cell>
          <cell r="B510">
            <v>45351.627881944441</v>
          </cell>
          <cell r="C510" t="str">
            <v>INV(BAL) / 2023-2024 / 33627</v>
          </cell>
          <cell r="D510" t="str">
            <v>RETAIL</v>
          </cell>
          <cell r="E510">
            <v>120445.99</v>
          </cell>
          <cell r="F510">
            <v>0</v>
          </cell>
          <cell r="G510">
            <v>0</v>
          </cell>
          <cell r="H510">
            <v>87.62</v>
          </cell>
          <cell r="I510">
            <v>88153.47</v>
          </cell>
          <cell r="J510">
            <v>30853.71</v>
          </cell>
          <cell r="K510">
            <v>1190</v>
          </cell>
          <cell r="L510">
            <v>120197.18</v>
          </cell>
          <cell r="M510">
            <v>248.81</v>
          </cell>
          <cell r="N510">
            <v>2024</v>
          </cell>
          <cell r="O510">
            <v>0.34999994895266173</v>
          </cell>
          <cell r="P510">
            <v>1.3499185000885388E-2</v>
          </cell>
          <cell r="Q510" t="str">
            <v>Liquor</v>
          </cell>
          <cell r="R510">
            <v>116.82666666666667</v>
          </cell>
          <cell r="S510" t="b">
            <v>1</v>
          </cell>
        </row>
        <row r="511">
          <cell r="A511">
            <v>510</v>
          </cell>
          <cell r="B511">
            <v>45358.482997685183</v>
          </cell>
          <cell r="C511" t="str">
            <v>OSBC/BAL/MR/42867/2023-2024</v>
          </cell>
          <cell r="D511" t="str">
            <v>GOVT</v>
          </cell>
          <cell r="E511">
            <v>248.81</v>
          </cell>
          <cell r="F511">
            <v>260000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260248.81</v>
          </cell>
          <cell r="N511">
            <v>2024</v>
          </cell>
          <cell r="O511">
            <v>0</v>
          </cell>
          <cell r="P511">
            <v>0</v>
          </cell>
          <cell r="Q511" t="str">
            <v>-</v>
          </cell>
          <cell r="R511">
            <v>0</v>
          </cell>
          <cell r="S511" t="b">
            <v>1</v>
          </cell>
        </row>
        <row r="512">
          <cell r="A512">
            <v>511</v>
          </cell>
          <cell r="B512">
            <v>45358.695879629631</v>
          </cell>
          <cell r="C512" t="str">
            <v>INV(BAL) / 2023-2024 / 34532</v>
          </cell>
          <cell r="D512" t="str">
            <v>RETAIL</v>
          </cell>
          <cell r="E512">
            <v>260248.81</v>
          </cell>
          <cell r="F512">
            <v>0</v>
          </cell>
          <cell r="G512">
            <v>0</v>
          </cell>
          <cell r="H512">
            <v>193.63</v>
          </cell>
          <cell r="I512">
            <v>190765.93</v>
          </cell>
          <cell r="J512">
            <v>66768.08</v>
          </cell>
          <cell r="K512">
            <v>2575</v>
          </cell>
          <cell r="L512">
            <v>260109.01</v>
          </cell>
          <cell r="M512">
            <v>139.80000000000001</v>
          </cell>
          <cell r="N512">
            <v>2024</v>
          </cell>
          <cell r="O512">
            <v>0.35000002358911786</v>
          </cell>
          <cell r="P512">
            <v>1.3498217422786134E-2</v>
          </cell>
          <cell r="Q512" t="str">
            <v>Liquor</v>
          </cell>
          <cell r="R512">
            <v>258.17333333333335</v>
          </cell>
          <cell r="S512" t="b">
            <v>1</v>
          </cell>
        </row>
        <row r="513">
          <cell r="A513">
            <v>512</v>
          </cell>
          <cell r="B513">
            <v>45361.919317129628</v>
          </cell>
          <cell r="C513" t="str">
            <v>OSBC/BAL/MR/43042/2023-2024</v>
          </cell>
          <cell r="D513" t="str">
            <v>GOVT</v>
          </cell>
          <cell r="E513">
            <v>139.80000000000001</v>
          </cell>
          <cell r="F513">
            <v>180000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180139.8</v>
          </cell>
          <cell r="N513">
            <v>2024</v>
          </cell>
          <cell r="O513">
            <v>0</v>
          </cell>
          <cell r="P513">
            <v>0</v>
          </cell>
          <cell r="Q513" t="str">
            <v>-</v>
          </cell>
          <cell r="R513">
            <v>0</v>
          </cell>
          <cell r="S513" t="b">
            <v>1</v>
          </cell>
        </row>
        <row r="514">
          <cell r="A514">
            <v>513</v>
          </cell>
          <cell r="B514">
            <v>45362.359259259261</v>
          </cell>
          <cell r="C514" t="str">
            <v>OSBC/BAL/MR/43091/2023-2024</v>
          </cell>
          <cell r="D514" t="str">
            <v>GOVT</v>
          </cell>
          <cell r="E514">
            <v>180139.8</v>
          </cell>
          <cell r="F514">
            <v>40000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220139.8</v>
          </cell>
          <cell r="N514">
            <v>2024</v>
          </cell>
          <cell r="O514">
            <v>0</v>
          </cell>
          <cell r="P514">
            <v>0</v>
          </cell>
          <cell r="Q514" t="str">
            <v>-</v>
          </cell>
          <cell r="R514">
            <v>0</v>
          </cell>
          <cell r="S514" t="b">
            <v>1</v>
          </cell>
        </row>
        <row r="515">
          <cell r="A515">
            <v>514</v>
          </cell>
          <cell r="B515">
            <v>45362.637708333335</v>
          </cell>
          <cell r="C515" t="str">
            <v>INV(BAL) / 2023-2024 / 34743</v>
          </cell>
          <cell r="D515" t="str">
            <v>RETAIL</v>
          </cell>
          <cell r="E515">
            <v>220139.8</v>
          </cell>
          <cell r="F515">
            <v>0</v>
          </cell>
          <cell r="G515">
            <v>979.2</v>
          </cell>
          <cell r="H515">
            <v>0</v>
          </cell>
          <cell r="I515">
            <v>161031.97</v>
          </cell>
          <cell r="J515">
            <v>56361.19</v>
          </cell>
          <cell r="K515">
            <v>2174</v>
          </cell>
          <cell r="L515">
            <v>219567.16</v>
          </cell>
          <cell r="M515">
            <v>572.64</v>
          </cell>
          <cell r="N515">
            <v>2024</v>
          </cell>
          <cell r="O515">
            <v>0.35000000310497353</v>
          </cell>
          <cell r="P515">
            <v>1.3500424791424957E-2</v>
          </cell>
          <cell r="Q515" t="str">
            <v>Beer</v>
          </cell>
          <cell r="R515">
            <v>979.2</v>
          </cell>
          <cell r="S515" t="b">
            <v>1</v>
          </cell>
        </row>
        <row r="516">
          <cell r="A516">
            <v>515</v>
          </cell>
          <cell r="B516">
            <v>45364.502916666665</v>
          </cell>
          <cell r="C516" t="str">
            <v>OSBC/BAL/MR/43733/2023-2024</v>
          </cell>
          <cell r="D516" t="str">
            <v>GOVT</v>
          </cell>
          <cell r="E516">
            <v>572.64</v>
          </cell>
          <cell r="F516">
            <v>185000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185572.64</v>
          </cell>
          <cell r="N516">
            <v>2024</v>
          </cell>
          <cell r="O516">
            <v>0</v>
          </cell>
          <cell r="P516">
            <v>0</v>
          </cell>
          <cell r="Q516" t="str">
            <v>-</v>
          </cell>
          <cell r="R516">
            <v>0</v>
          </cell>
          <cell r="S516" t="b">
            <v>1</v>
          </cell>
        </row>
        <row r="517">
          <cell r="A517">
            <v>516</v>
          </cell>
          <cell r="B517">
            <v>45364.723483796297</v>
          </cell>
          <cell r="C517" t="str">
            <v>INV(BAL) / 2023-2024 / 35215</v>
          </cell>
          <cell r="D517" t="str">
            <v>RETAIL</v>
          </cell>
          <cell r="E517">
            <v>185572.64</v>
          </cell>
          <cell r="F517">
            <v>0</v>
          </cell>
          <cell r="G517">
            <v>0</v>
          </cell>
          <cell r="H517">
            <v>151.76</v>
          </cell>
          <cell r="I517">
            <v>135914.07</v>
          </cell>
          <cell r="J517">
            <v>47569.919999999998</v>
          </cell>
          <cell r="K517">
            <v>1835</v>
          </cell>
          <cell r="L517">
            <v>185318.99</v>
          </cell>
          <cell r="M517">
            <v>253.65</v>
          </cell>
          <cell r="N517">
            <v>2024</v>
          </cell>
          <cell r="O517">
            <v>0.34999996689084506</v>
          </cell>
          <cell r="P517">
            <v>1.350117761906475E-2</v>
          </cell>
          <cell r="Q517" t="str">
            <v>Liquor</v>
          </cell>
          <cell r="R517">
            <v>202.34666666666666</v>
          </cell>
          <cell r="S517" t="b">
            <v>1</v>
          </cell>
        </row>
        <row r="518">
          <cell r="A518">
            <v>517</v>
          </cell>
          <cell r="B518">
            <v>45374.357604166667</v>
          </cell>
          <cell r="C518" t="str">
            <v>OSBC/BAL/MR/45346/2023-2024</v>
          </cell>
          <cell r="D518" t="str">
            <v>GOVT</v>
          </cell>
          <cell r="E518">
            <v>253.65</v>
          </cell>
          <cell r="F518">
            <v>240000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240253.65</v>
          </cell>
          <cell r="N518">
            <v>2024</v>
          </cell>
          <cell r="O518">
            <v>0</v>
          </cell>
          <cell r="P518">
            <v>0</v>
          </cell>
          <cell r="Q518" t="str">
            <v>-</v>
          </cell>
          <cell r="R518">
            <v>0</v>
          </cell>
          <cell r="S518" t="b">
            <v>1</v>
          </cell>
        </row>
        <row r="519">
          <cell r="A519">
            <v>518</v>
          </cell>
          <cell r="B519">
            <v>45374.609375</v>
          </cell>
          <cell r="C519" t="str">
            <v>INV(BAL) / 2023-2024 / 36483</v>
          </cell>
          <cell r="D519" t="str">
            <v>RETAIL</v>
          </cell>
          <cell r="E519">
            <v>240253.65</v>
          </cell>
          <cell r="F519">
            <v>0</v>
          </cell>
          <cell r="G519">
            <v>0</v>
          </cell>
          <cell r="H519">
            <v>183.75</v>
          </cell>
          <cell r="I519">
            <v>174571.5</v>
          </cell>
          <cell r="J519">
            <v>61100.03</v>
          </cell>
          <cell r="K519">
            <v>2357</v>
          </cell>
          <cell r="L519">
            <v>238028.53</v>
          </cell>
          <cell r="M519">
            <v>2225.12</v>
          </cell>
          <cell r="N519">
            <v>2024</v>
          </cell>
          <cell r="O519">
            <v>0.35000002864155949</v>
          </cell>
          <cell r="P519">
            <v>1.3501631136812136E-2</v>
          </cell>
          <cell r="Q519" t="str">
            <v>Liquor</v>
          </cell>
          <cell r="R519">
            <v>245</v>
          </cell>
          <cell r="S519" t="b">
            <v>1</v>
          </cell>
        </row>
        <row r="520">
          <cell r="A520">
            <v>519</v>
          </cell>
          <cell r="B520">
            <v>45380.459097222221</v>
          </cell>
          <cell r="C520" t="str">
            <v>OSBC/BAL/MR/46474/2023-2024</v>
          </cell>
          <cell r="D520" t="str">
            <v>GOVT</v>
          </cell>
          <cell r="E520">
            <v>2225.12</v>
          </cell>
          <cell r="F520">
            <v>270000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272225.12</v>
          </cell>
          <cell r="N520">
            <v>2024</v>
          </cell>
          <cell r="O520">
            <v>0</v>
          </cell>
          <cell r="P520">
            <v>0</v>
          </cell>
          <cell r="Q520" t="str">
            <v>-</v>
          </cell>
          <cell r="R520">
            <v>0</v>
          </cell>
          <cell r="S520" t="b">
            <v>1</v>
          </cell>
        </row>
        <row r="521">
          <cell r="A521">
            <v>520</v>
          </cell>
          <cell r="B521">
            <v>45380.712430555555</v>
          </cell>
          <cell r="C521" t="str">
            <v>INV(BAL) / 2023-2024 / 37307</v>
          </cell>
          <cell r="D521" t="str">
            <v>RETAIL</v>
          </cell>
          <cell r="E521">
            <v>272225.12</v>
          </cell>
          <cell r="F521">
            <v>0</v>
          </cell>
          <cell r="G521">
            <v>0</v>
          </cell>
          <cell r="H521">
            <v>192.37</v>
          </cell>
          <cell r="I521">
            <v>199352.43</v>
          </cell>
          <cell r="J521">
            <v>69773.350000000006</v>
          </cell>
          <cell r="K521">
            <v>2691</v>
          </cell>
          <cell r="L521">
            <v>271816.78000000003</v>
          </cell>
          <cell r="M521">
            <v>408.34</v>
          </cell>
          <cell r="N521">
            <v>2024</v>
          </cell>
          <cell r="O521">
            <v>0.3499999974918791</v>
          </cell>
          <cell r="P521">
            <v>1.3498706787772791E-2</v>
          </cell>
          <cell r="Q521" t="str">
            <v>Liquor</v>
          </cell>
          <cell r="R521">
            <v>256.49333333333334</v>
          </cell>
          <cell r="S521" t="b">
            <v>1</v>
          </cell>
        </row>
      </sheetData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YAG" refreshedDate="45858.545583564817" backgroundQuery="1" createdVersion="8" refreshedVersion="8" minRefreshableVersion="3" recordCount="0" supportSubquery="1" supportAdvancedDrill="1" xr:uid="{C5E6ABFF-8F41-4E42-AEBA-55B5EC97D2C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Range 1].[Date].[Date]" caption="Date" numFmtId="0" hierarchy="1" level="1">
      <sharedItems containsSemiMixedTypes="0" containsNonDate="0" containsDate="1" containsString="0" minDate="2021-04-16T11:26:36" maxDate="2023-12-29T16:59:55" count="264">
        <d v="2021-04-16T11:26:36"/>
        <d v="2021-04-17T12:38:38"/>
        <d v="2021-04-19T13:07:27"/>
        <d v="2021-04-20T15:02:09"/>
        <d v="2021-04-22T17:44:11"/>
        <d v="2021-04-23T15:32:35"/>
        <d v="2021-04-26T11:06:50"/>
        <d v="2021-04-26T11:46:16"/>
        <d v="2021-04-27T16:10:48"/>
        <d v="2021-04-27T16:11:24"/>
        <d v="2021-04-28T15:03:30"/>
        <d v="2021-04-28T15:04:08"/>
        <d v="2021-04-29T16:21:33"/>
        <d v="2021-04-30T12:02:13"/>
        <d v="2021-05-03T12:10:23"/>
        <d v="2021-05-03T12:11:00"/>
        <d v="2021-05-04T14:59:04"/>
        <d v="2021-05-04T15:21:19"/>
        <d v="2021-05-18T11:52:14"/>
        <d v="2021-05-18T11:53:08"/>
        <d v="2021-05-20T10:07:03"/>
        <d v="2021-05-20T10:09:15"/>
        <d v="2021-05-24T09:15:26"/>
        <d v="2021-05-24T09:16:19"/>
        <d v="2021-05-28T08:30:47"/>
        <d v="2021-05-28T08:31:26"/>
        <d v="2021-06-03T09:33:56"/>
        <d v="2021-06-03T09:34:33"/>
        <d v="2021-06-09T09:07:04"/>
        <d v="2021-06-14T09:23:44"/>
        <d v="2021-06-14T09:24:13"/>
        <d v="2021-06-17T10:32:13"/>
        <d v="2021-06-17T10:32:48"/>
        <d v="2021-06-21T09:46:12"/>
        <d v="2021-06-21T09:56:17"/>
        <d v="2021-06-23T11:35:43"/>
        <d v="2021-06-25T09:50:16"/>
        <d v="2021-06-25T10:18:13"/>
        <d v="2021-06-29T11:38:01"/>
        <d v="2021-07-01T10:04:09"/>
        <d v="2021-07-01T10:04:37"/>
        <d v="2021-07-05T10:09:34"/>
        <d v="2021-07-07T10:12:27"/>
        <d v="2021-07-07T10:36:38"/>
        <d v="2021-07-09T09:49:16"/>
        <d v="2021-07-09T09:50:03"/>
        <d v="2021-07-14T12:34:27"/>
        <d v="2021-07-14T12:35:25"/>
        <d v="2021-07-16T10:21:20"/>
        <d v="2021-07-16T10:47:10"/>
        <d v="2021-07-20T10:46:15"/>
        <d v="2021-07-20T10:46:58"/>
        <d v="2021-07-26T11:58:53"/>
        <d v="2021-07-26T12:00:18"/>
        <d v="2021-07-28T11:29:48"/>
        <d v="2021-07-28T11:42:27"/>
        <d v="2021-07-30T11:00:34"/>
        <d v="2021-08-03T10:41:09"/>
        <d v="2021-08-03T10:42:05"/>
        <d v="2021-08-07T09:47:45"/>
        <d v="2021-08-07T09:53:32"/>
        <d v="2021-08-10T10:50:23"/>
        <d v="2021-08-10T10:51:18"/>
        <d v="2021-08-14T10:15:58"/>
        <d v="2021-08-14T10:16:32"/>
        <d v="2021-08-17T10:37:11"/>
        <d v="2021-08-21T10:06:49"/>
        <d v="2021-08-21T10:07:29"/>
        <d v="2021-08-24T10:53:29"/>
        <d v="2021-08-24T10:54:09"/>
        <d v="2021-08-28T09:56:43"/>
        <d v="2021-08-28T09:57:30"/>
        <d v="2021-09-01T10:10:51"/>
        <d v="2021-09-01T10:12:25"/>
        <d v="2021-09-03T10:23:14"/>
        <d v="2021-09-06T10:44:51"/>
        <d v="2021-09-06T10:45:35"/>
        <d v="2021-09-11T10:07:16"/>
        <d v="2021-09-11T10:08:34"/>
        <d v="2021-09-14T10:20:11"/>
        <d v="2021-09-18T10:00:29"/>
        <d v="2021-09-18T10:00:53"/>
        <d v="2021-09-21T10:21:52"/>
        <d v="2021-09-21T10:22:46"/>
        <d v="2021-09-25T10:21:38"/>
        <d v="2021-09-25T10:22:25"/>
        <d v="2021-09-30T10:03:13"/>
        <d v="2021-10-01T12:00:09"/>
        <d v="2021-10-01T12:02:10"/>
        <d v="2021-10-04T11:36:11"/>
        <d v="2021-10-07T11:06:16"/>
        <d v="2021-10-07T11:27:26"/>
        <d v="2021-10-12T10:10:08"/>
        <d v="2021-10-12T11:22:28"/>
        <d v="2021-10-16T10:02:39"/>
        <d v="2021-10-16T10:37:05"/>
        <d v="2021-10-22T11:19:23"/>
        <d v="2021-10-26T10:26:09"/>
        <d v="2021-10-26T10:27:01"/>
        <d v="2021-11-02T10:19:16"/>
        <d v="2021-11-06T10:36:00"/>
        <d v="2021-11-06T12:01:54"/>
        <d v="2021-11-11T11:25:48"/>
        <d v="2021-11-11T11:26:34"/>
        <d v="2021-11-16T11:32:58"/>
        <d v="2021-11-16T11:33:31"/>
        <d v="2021-11-20T11:33:06"/>
        <d v="2021-11-20T11:34:29"/>
        <d v="2021-11-24T11:16:35"/>
        <d v="2021-11-24T11:43:27"/>
        <d v="2021-11-27T11:07:54"/>
        <d v="2021-11-30T11:04:46"/>
        <d v="2021-11-30T11:21:52"/>
        <d v="2021-12-06T11:19:30"/>
        <d v="2021-12-10T11:15:06"/>
        <d v="2021-12-10T11:16:06"/>
        <d v="2021-12-13T12:14:29"/>
        <d v="2021-12-16T11:16:56"/>
        <d v="2021-12-16T12:07:15"/>
        <d v="2021-12-20T11:46:16"/>
        <d v="2021-12-23T12:48:34"/>
        <d v="2021-12-27T11:45:25"/>
        <d v="2021-12-27T11:48:30"/>
        <d v="2021-12-31T11:34:44"/>
        <d v="2022-01-01T11:10:03"/>
        <d v="2022-01-05T10:52:47"/>
        <d v="2022-01-08T12:55:27"/>
        <d v="2022-01-10T11:16:53"/>
        <d v="2022-01-19T11:24:18"/>
        <d v="2022-01-21T11:24:02"/>
        <d v="2022-01-25T11:51:21"/>
        <d v="2022-01-27T11:43:42"/>
        <d v="2022-01-27T11:44:18"/>
        <d v="2022-02-03T12:42:10"/>
        <d v="2022-02-03T12:43:12"/>
        <d v="2022-02-10T13:02:28"/>
        <d v="2022-03-30T22:15:17"/>
        <d v="2022-03-30T22:15:50"/>
        <d v="2022-04-25T21:13:45"/>
        <d v="2022-04-25T21:15:08"/>
        <d v="2022-05-04T12:36:23"/>
        <d v="2022-05-04T12:37:02"/>
        <d v="2022-05-09T12:06:59"/>
        <d v="2022-05-16T17:11:23"/>
        <d v="2022-05-20T12:23:12"/>
        <d v="2022-05-23T12:51:07"/>
        <d v="2022-05-23T17:13:35"/>
        <d v="2022-05-31T12:32:35"/>
        <d v="2022-06-04T13:00:10"/>
        <d v="2022-06-07T16:18:14"/>
        <d v="2022-06-09T11:41:41"/>
        <d v="2022-06-11T16:35:03"/>
        <d v="2022-06-17T11:17:04"/>
        <d v="2022-06-20T17:12:50"/>
        <d v="2022-06-20T17:13:48"/>
        <d v="2022-06-27T16:25:21"/>
        <d v="2022-07-02T16:21:12"/>
        <d v="2022-07-11T16:23:42"/>
        <d v="2022-07-20T16:56:44"/>
        <d v="2022-07-20T16:57:36"/>
        <d v="2022-07-29T15:56:55"/>
        <d v="2022-08-01T15:56:57"/>
        <d v="2022-08-09T12:57:03"/>
        <d v="2022-08-09T12:57:36"/>
        <d v="2022-08-12T15:45:55"/>
        <d v="2022-08-22T16:33:24"/>
        <d v="2022-08-22T16:35:51"/>
        <d v="2022-09-02T16:14:02"/>
        <d v="2022-09-02T16:16:33"/>
        <d v="2022-09-12T12:34:38"/>
        <d v="2022-09-15T13:15:25"/>
        <d v="2022-09-15T15:17:46"/>
        <d v="2022-09-22T15:52:51"/>
        <d v="2022-09-22T16:17:19"/>
        <d v="2022-09-29T11:51:37"/>
        <d v="2022-10-01T12:07:34"/>
        <d v="2022-10-07T10:08:24"/>
        <d v="2022-10-11T15:24:35"/>
        <d v="2022-10-22T15:26:51"/>
        <d v="2022-11-01T12:10:10"/>
        <d v="2022-11-07T15:09:21"/>
        <d v="2022-11-11T16:12:26"/>
        <d v="2022-11-11T16:13:27"/>
        <d v="2022-11-15T15:39:32"/>
        <d v="2022-11-17T13:01:40"/>
        <d v="2022-11-23T12:06:35"/>
        <d v="2022-11-23T12:07:20"/>
        <d v="2022-12-02T11:40:43"/>
        <d v="2022-12-06T15:10:41"/>
        <d v="2022-12-06T15:12:52"/>
        <d v="2022-12-19T18:26:12"/>
        <d v="2022-12-19T18:39:07"/>
        <d v="2022-12-29T17:18:35"/>
        <d v="2023-01-03T15:39:49"/>
        <d v="2023-01-18T16:03:55"/>
        <d v="2023-01-25T13:16:17"/>
        <d v="2023-01-25T13:20:41"/>
        <d v="2023-01-30T18:02:55"/>
        <d v="2023-02-07T15:11:30"/>
        <d v="2023-02-10T11:53:13"/>
        <d v="2023-02-16T16:37:42"/>
        <d v="2023-02-27T12:36:42"/>
        <d v="2023-03-04T12:29:17"/>
        <d v="2023-03-06T11:13:54"/>
        <d v="2023-03-09T12:54:54"/>
        <d v="2023-03-31T13:04:48"/>
        <d v="2023-04-10T22:33:27"/>
        <d v="2023-04-10T22:37:09"/>
        <d v="2023-04-13T19:35:32"/>
        <d v="2023-04-13T19:36:40"/>
        <d v="2023-05-03T16:48:26"/>
        <d v="2023-05-03T16:49:45"/>
        <d v="2023-05-10T15:56:15"/>
        <d v="2023-05-12T12:52:04"/>
        <d v="2023-05-17T13:01:24"/>
        <d v="2023-05-20T22:40:53"/>
        <d v="2023-05-30T16:52:22"/>
        <d v="2023-05-30T16:53:09"/>
        <d v="2023-06-02T12:44:27"/>
        <d v="2023-06-02T12:45:31"/>
        <d v="2023-06-06T19:40:00"/>
        <d v="2023-06-12T17:25:42"/>
        <d v="2023-06-17T22:51:44"/>
        <d v="2023-06-17T22:52:07"/>
        <d v="2023-06-19T21:39:15"/>
        <d v="2023-06-22T17:14:25"/>
        <d v="2023-06-24T18:44:01"/>
        <d v="2023-06-24T18:45:14"/>
        <d v="2023-06-29T17:28:58"/>
        <d v="2023-07-04T17:38:28"/>
        <d v="2023-07-04T17:40:34"/>
        <d v="2023-07-14T12:01:00"/>
        <d v="2023-07-14T12:02:50"/>
        <d v="2023-07-27T17:38:50"/>
        <d v="2023-08-07T16:30:38"/>
        <d v="2023-08-07T16:31:37"/>
        <d v="2023-08-17T17:36:13"/>
        <d v="2023-08-24T13:05:08"/>
        <d v="2023-08-24T13:06:30"/>
        <d v="2023-09-01T16:23:18"/>
        <d v="2023-09-11T15:18:15"/>
        <d v="2023-09-11T15:19:42"/>
        <d v="2023-09-16T11:48:24"/>
        <d v="2023-09-18T10:49:41"/>
        <d v="2023-09-28T13:13:08"/>
        <d v="2023-09-28T13:13:38"/>
        <d v="2023-10-09T13:06:14"/>
        <d v="2023-10-17T13:25:31"/>
        <d v="2023-10-17T14:27:54"/>
        <d v="2023-10-26T15:15:13"/>
        <d v="2023-10-26T15:16:06"/>
        <d v="2023-11-09T11:57:50"/>
        <d v="2023-11-14T15:08:47"/>
        <d v="2023-11-14T15:09:32"/>
        <d v="2023-11-20T11:32:38"/>
        <d v="2023-11-20T11:33:25"/>
        <d v="2023-11-28T15:50:05"/>
        <d v="2023-11-28T15:51:14"/>
        <d v="2023-12-08T15:15:34"/>
        <d v="2023-12-11T14:33:13"/>
        <d v="2023-12-11T14:34:02"/>
        <d v="2023-12-15T15:06:34"/>
        <d v="2023-12-29T16:58:03"/>
        <d v="2023-12-29T16:59:55"/>
      </sharedItems>
      <extLst>
        <ext xmlns:x15="http://schemas.microsoft.com/office/spreadsheetml/2010/11/main" uri="{4F2E5C28-24EA-4eb8-9CBF-B6C8F9C3D259}">
          <x15:cachedUniqueNames>
            <x15:cachedUniqueName index="0" name="[Range 1].[Date].&amp;[2021-04-16T11:26:36]"/>
            <x15:cachedUniqueName index="1" name="[Range 1].[Date].&amp;[2021-04-17T12:38:38]"/>
            <x15:cachedUniqueName index="2" name="[Range 1].[Date].&amp;[2021-04-19T13:07:27]"/>
            <x15:cachedUniqueName index="3" name="[Range 1].[Date].&amp;[2021-04-20T15:02:09]"/>
            <x15:cachedUniqueName index="4" name="[Range 1].[Date].&amp;[2021-04-22T17:44:11]"/>
            <x15:cachedUniqueName index="5" name="[Range 1].[Date].&amp;[2021-04-23T15:32:35]"/>
            <x15:cachedUniqueName index="6" name="[Range 1].[Date].&amp;[2021-04-26T11:06:50]"/>
            <x15:cachedUniqueName index="7" name="[Range 1].[Date].&amp;[2021-04-26T11:46:16]"/>
            <x15:cachedUniqueName index="8" name="[Range 1].[Date].&amp;[2021-04-27T16:10:48]"/>
            <x15:cachedUniqueName index="9" name="[Range 1].[Date].&amp;[2021-04-27T16:11:24]"/>
            <x15:cachedUniqueName index="10" name="[Range 1].[Date].&amp;[2021-04-28T15:03:30]"/>
            <x15:cachedUniqueName index="11" name="[Range 1].[Date].&amp;[2021-04-28T15:04:08]"/>
            <x15:cachedUniqueName index="12" name="[Range 1].[Date].&amp;[2021-04-29T16:21:33]"/>
            <x15:cachedUniqueName index="13" name="[Range 1].[Date].&amp;[2021-04-30T12:02:13]"/>
            <x15:cachedUniqueName index="14" name="[Range 1].[Date].&amp;[2021-05-03T12:10:23]"/>
            <x15:cachedUniqueName index="15" name="[Range 1].[Date].&amp;[2021-05-03T12:11:00]"/>
            <x15:cachedUniqueName index="16" name="[Range 1].[Date].&amp;[2021-05-04T14:59:04]"/>
            <x15:cachedUniqueName index="17" name="[Range 1].[Date].&amp;[2021-05-04T15:21:19]"/>
            <x15:cachedUniqueName index="18" name="[Range 1].[Date].&amp;[2021-05-18T11:52:14]"/>
            <x15:cachedUniqueName index="19" name="[Range 1].[Date].&amp;[2021-05-18T11:53:08]"/>
            <x15:cachedUniqueName index="20" name="[Range 1].[Date].&amp;[2021-05-20T10:07:03]"/>
            <x15:cachedUniqueName index="21" name="[Range 1].[Date].&amp;[2021-05-20T10:09:15]"/>
            <x15:cachedUniqueName index="22" name="[Range 1].[Date].&amp;[2021-05-24T09:15:26]"/>
            <x15:cachedUniqueName index="23" name="[Range 1].[Date].&amp;[2021-05-24T09:16:19]"/>
            <x15:cachedUniqueName index="24" name="[Range 1].[Date].&amp;[2021-05-28T08:30:47]"/>
            <x15:cachedUniqueName index="25" name="[Range 1].[Date].&amp;[2021-05-28T08:31:26]"/>
            <x15:cachedUniqueName index="26" name="[Range 1].[Date].&amp;[2021-06-03T09:33:56]"/>
            <x15:cachedUniqueName index="27" name="[Range 1].[Date].&amp;[2021-06-03T09:34:33]"/>
            <x15:cachedUniqueName index="28" name="[Range 1].[Date].&amp;[2021-06-09T09:07:04]"/>
            <x15:cachedUniqueName index="29" name="[Range 1].[Date].&amp;[2021-06-14T09:23:44]"/>
            <x15:cachedUniqueName index="30" name="[Range 1].[Date].&amp;[2021-06-14T09:24:13]"/>
            <x15:cachedUniqueName index="31" name="[Range 1].[Date].&amp;[2021-06-17T10:32:13]"/>
            <x15:cachedUniqueName index="32" name="[Range 1].[Date].&amp;[2021-06-17T10:32:48]"/>
            <x15:cachedUniqueName index="33" name="[Range 1].[Date].&amp;[2021-06-21T09:46:12]"/>
            <x15:cachedUniqueName index="34" name="[Range 1].[Date].&amp;[2021-06-21T09:56:17]"/>
            <x15:cachedUniqueName index="35" name="[Range 1].[Date].&amp;[2021-06-23T11:35:43]"/>
            <x15:cachedUniqueName index="36" name="[Range 1].[Date].&amp;[2021-06-25T09:50:16]"/>
            <x15:cachedUniqueName index="37" name="[Range 1].[Date].&amp;[2021-06-25T10:18:13]"/>
            <x15:cachedUniqueName index="38" name="[Range 1].[Date].&amp;[2021-06-29T11:38:01]"/>
            <x15:cachedUniqueName index="39" name="[Range 1].[Date].&amp;[2021-07-01T10:04:09]"/>
            <x15:cachedUniqueName index="40" name="[Range 1].[Date].&amp;[2021-07-01T10:04:37]"/>
            <x15:cachedUniqueName index="41" name="[Range 1].[Date].&amp;[2021-07-05T10:09:34]"/>
            <x15:cachedUniqueName index="42" name="[Range 1].[Date].&amp;[2021-07-07T10:12:27]"/>
            <x15:cachedUniqueName index="43" name="[Range 1].[Date].&amp;[2021-07-07T10:36:38]"/>
            <x15:cachedUniqueName index="44" name="[Range 1].[Date].&amp;[2021-07-09T09:49:16]"/>
            <x15:cachedUniqueName index="45" name="[Range 1].[Date].&amp;[2021-07-09T09:50:03]"/>
            <x15:cachedUniqueName index="46" name="[Range 1].[Date].&amp;[2021-07-14T12:34:27]"/>
            <x15:cachedUniqueName index="47" name="[Range 1].[Date].&amp;[2021-07-14T12:35:25]"/>
            <x15:cachedUniqueName index="48" name="[Range 1].[Date].&amp;[2021-07-16T10:21:20]"/>
            <x15:cachedUniqueName index="49" name="[Range 1].[Date].&amp;[2021-07-16T10:47:10]"/>
            <x15:cachedUniqueName index="50" name="[Range 1].[Date].&amp;[2021-07-20T10:46:15]"/>
            <x15:cachedUniqueName index="51" name="[Range 1].[Date].&amp;[2021-07-20T10:46:58]"/>
            <x15:cachedUniqueName index="52" name="[Range 1].[Date].&amp;[2021-07-26T11:58:53]"/>
            <x15:cachedUniqueName index="53" name="[Range 1].[Date].&amp;[2021-07-26T12:00:18]"/>
            <x15:cachedUniqueName index="54" name="[Range 1].[Date].&amp;[2021-07-28T11:29:48]"/>
            <x15:cachedUniqueName index="55" name="[Range 1].[Date].&amp;[2021-07-28T11:42:27]"/>
            <x15:cachedUniqueName index="56" name="[Range 1].[Date].&amp;[2021-07-30T11:00:34]"/>
            <x15:cachedUniqueName index="57" name="[Range 1].[Date].&amp;[2021-08-03T10:41:09]"/>
            <x15:cachedUniqueName index="58" name="[Range 1].[Date].&amp;[2021-08-03T10:42:05]"/>
            <x15:cachedUniqueName index="59" name="[Range 1].[Date].&amp;[2021-08-07T09:47:45]"/>
            <x15:cachedUniqueName index="60" name="[Range 1].[Date].&amp;[2021-08-07T09:53:32]"/>
            <x15:cachedUniqueName index="61" name="[Range 1].[Date].&amp;[2021-08-10T10:50:23]"/>
            <x15:cachedUniqueName index="62" name="[Range 1].[Date].&amp;[2021-08-10T10:51:18]"/>
            <x15:cachedUniqueName index="63" name="[Range 1].[Date].&amp;[2021-08-14T10:15:58]"/>
            <x15:cachedUniqueName index="64" name="[Range 1].[Date].&amp;[2021-08-14T10:16:32]"/>
            <x15:cachedUniqueName index="65" name="[Range 1].[Date].&amp;[2021-08-17T10:37:11]"/>
            <x15:cachedUniqueName index="66" name="[Range 1].[Date].&amp;[2021-08-21T10:06:49]"/>
            <x15:cachedUniqueName index="67" name="[Range 1].[Date].&amp;[2021-08-21T10:07:29]"/>
            <x15:cachedUniqueName index="68" name="[Range 1].[Date].&amp;[2021-08-24T10:53:29]"/>
            <x15:cachedUniqueName index="69" name="[Range 1].[Date].&amp;[2021-08-24T10:54:09]"/>
            <x15:cachedUniqueName index="70" name="[Range 1].[Date].&amp;[2021-08-28T09:56:43]"/>
            <x15:cachedUniqueName index="71" name="[Range 1].[Date].&amp;[2021-08-28T09:57:30]"/>
            <x15:cachedUniqueName index="72" name="[Range 1].[Date].&amp;[2021-09-01T10:10:51]"/>
            <x15:cachedUniqueName index="73" name="[Range 1].[Date].&amp;[2021-09-01T10:12:25]"/>
            <x15:cachedUniqueName index="74" name="[Range 1].[Date].&amp;[2021-09-03T10:23:14]"/>
            <x15:cachedUniqueName index="75" name="[Range 1].[Date].&amp;[2021-09-06T10:44:51]"/>
            <x15:cachedUniqueName index="76" name="[Range 1].[Date].&amp;[2021-09-06T10:45:35]"/>
            <x15:cachedUniqueName index="77" name="[Range 1].[Date].&amp;[2021-09-11T10:07:16]"/>
            <x15:cachedUniqueName index="78" name="[Range 1].[Date].&amp;[2021-09-11T10:08:34]"/>
            <x15:cachedUniqueName index="79" name="[Range 1].[Date].&amp;[2021-09-14T10:20:11]"/>
            <x15:cachedUniqueName index="80" name="[Range 1].[Date].&amp;[2021-09-18T10:00:29]"/>
            <x15:cachedUniqueName index="81" name="[Range 1].[Date].&amp;[2021-09-18T10:00:53]"/>
            <x15:cachedUniqueName index="82" name="[Range 1].[Date].&amp;[2021-09-21T10:21:52]"/>
            <x15:cachedUniqueName index="83" name="[Range 1].[Date].&amp;[2021-09-21T10:22:46]"/>
            <x15:cachedUniqueName index="84" name="[Range 1].[Date].&amp;[2021-09-25T10:21:38]"/>
            <x15:cachedUniqueName index="85" name="[Range 1].[Date].&amp;[2021-09-25T10:22:25]"/>
            <x15:cachedUniqueName index="86" name="[Range 1].[Date].&amp;[2021-09-30T10:03:13]"/>
            <x15:cachedUniqueName index="87" name="[Range 1].[Date].&amp;[2021-10-01T12:00:09]"/>
            <x15:cachedUniqueName index="88" name="[Range 1].[Date].&amp;[2021-10-01T12:02:10]"/>
            <x15:cachedUniqueName index="89" name="[Range 1].[Date].&amp;[2021-10-04T11:36:11]"/>
            <x15:cachedUniqueName index="90" name="[Range 1].[Date].&amp;[2021-10-07T11:06:16]"/>
            <x15:cachedUniqueName index="91" name="[Range 1].[Date].&amp;[2021-10-07T11:27:26]"/>
            <x15:cachedUniqueName index="92" name="[Range 1].[Date].&amp;[2021-10-12T10:10:08]"/>
            <x15:cachedUniqueName index="93" name="[Range 1].[Date].&amp;[2021-10-12T11:22:28]"/>
            <x15:cachedUniqueName index="94" name="[Range 1].[Date].&amp;[2021-10-16T10:02:39]"/>
            <x15:cachedUniqueName index="95" name="[Range 1].[Date].&amp;[2021-10-16T10:37:05]"/>
            <x15:cachedUniqueName index="96" name="[Range 1].[Date].&amp;[2021-10-22T11:19:23]"/>
            <x15:cachedUniqueName index="97" name="[Range 1].[Date].&amp;[2021-10-26T10:26:09]"/>
            <x15:cachedUniqueName index="98" name="[Range 1].[Date].&amp;[2021-10-26T10:27:01]"/>
            <x15:cachedUniqueName index="99" name="[Range 1].[Date].&amp;[2021-11-02T10:19:16]"/>
            <x15:cachedUniqueName index="100" name="[Range 1].[Date].&amp;[2021-11-06T10:36:00]"/>
            <x15:cachedUniqueName index="101" name="[Range 1].[Date].&amp;[2021-11-06T12:01:54]"/>
            <x15:cachedUniqueName index="102" name="[Range 1].[Date].&amp;[2021-11-11T11:25:48]"/>
            <x15:cachedUniqueName index="103" name="[Range 1].[Date].&amp;[2021-11-11T11:26:34]"/>
            <x15:cachedUniqueName index="104" name="[Range 1].[Date].&amp;[2021-11-16T11:32:58]"/>
            <x15:cachedUniqueName index="105" name="[Range 1].[Date].&amp;[2021-11-16T11:33:31]"/>
            <x15:cachedUniqueName index="106" name="[Range 1].[Date].&amp;[2021-11-20T11:33:06]"/>
            <x15:cachedUniqueName index="107" name="[Range 1].[Date].&amp;[2021-11-20T11:34:29]"/>
            <x15:cachedUniqueName index="108" name="[Range 1].[Date].&amp;[2021-11-24T11:16:35]"/>
            <x15:cachedUniqueName index="109" name="[Range 1].[Date].&amp;[2021-11-24T11:43:27]"/>
            <x15:cachedUniqueName index="110" name="[Range 1].[Date].&amp;[2021-11-27T11:07:54]"/>
            <x15:cachedUniqueName index="111" name="[Range 1].[Date].&amp;[2021-11-30T11:04:46]"/>
            <x15:cachedUniqueName index="112" name="[Range 1].[Date].&amp;[2021-11-30T11:21:52]"/>
            <x15:cachedUniqueName index="113" name="[Range 1].[Date].&amp;[2021-12-06T11:19:30]"/>
            <x15:cachedUniqueName index="114" name="[Range 1].[Date].&amp;[2021-12-10T11:15:06]"/>
            <x15:cachedUniqueName index="115" name="[Range 1].[Date].&amp;[2021-12-10T11:16:06]"/>
            <x15:cachedUniqueName index="116" name="[Range 1].[Date].&amp;[2021-12-13T12:14:29]"/>
            <x15:cachedUniqueName index="117" name="[Range 1].[Date].&amp;[2021-12-16T11:16:56]"/>
            <x15:cachedUniqueName index="118" name="[Range 1].[Date].&amp;[2021-12-16T12:07:15]"/>
            <x15:cachedUniqueName index="119" name="[Range 1].[Date].&amp;[2021-12-20T11:46:16]"/>
            <x15:cachedUniqueName index="120" name="[Range 1].[Date].&amp;[2021-12-23T12:48:34]"/>
            <x15:cachedUniqueName index="121" name="[Range 1].[Date].&amp;[2021-12-27T11:45:25]"/>
            <x15:cachedUniqueName index="122" name="[Range 1].[Date].&amp;[2021-12-27T11:48:30]"/>
            <x15:cachedUniqueName index="123" name="[Range 1].[Date].&amp;[2021-12-31T11:34:44]"/>
            <x15:cachedUniqueName index="124" name="[Range 1].[Date].&amp;[2022-01-01T11:10:03]"/>
            <x15:cachedUniqueName index="125" name="[Range 1].[Date].&amp;[2022-01-05T10:52:47]"/>
            <x15:cachedUniqueName index="126" name="[Range 1].[Date].&amp;[2022-01-08T12:55:27]"/>
            <x15:cachedUniqueName index="127" name="[Range 1].[Date].&amp;[2022-01-10T11:16:53]"/>
            <x15:cachedUniqueName index="128" name="[Range 1].[Date].&amp;[2022-01-19T11:24:18]"/>
            <x15:cachedUniqueName index="129" name="[Range 1].[Date].&amp;[2022-01-21T11:24:02]"/>
            <x15:cachedUniqueName index="130" name="[Range 1].[Date].&amp;[2022-01-25T11:51:21]"/>
            <x15:cachedUniqueName index="131" name="[Range 1].[Date].&amp;[2022-01-27T11:43:42]"/>
            <x15:cachedUniqueName index="132" name="[Range 1].[Date].&amp;[2022-01-27T11:44:18]"/>
            <x15:cachedUniqueName index="133" name="[Range 1].[Date].&amp;[2022-02-03T12:42:10]"/>
            <x15:cachedUniqueName index="134" name="[Range 1].[Date].&amp;[2022-02-03T12:43:12]"/>
            <x15:cachedUniqueName index="135" name="[Range 1].[Date].&amp;[2022-02-10T13:02:28]"/>
            <x15:cachedUniqueName index="136" name="[Range 1].[Date].&amp;[2022-03-30T22:15:17]"/>
            <x15:cachedUniqueName index="137" name="[Range 1].[Date].&amp;[2022-03-30T22:15:50]"/>
            <x15:cachedUniqueName index="138" name="[Range 1].[Date].&amp;[2022-04-25T21:13:45]"/>
            <x15:cachedUniqueName index="139" name="[Range 1].[Date].&amp;[2022-04-25T21:15:08]"/>
            <x15:cachedUniqueName index="140" name="[Range 1].[Date].&amp;[2022-05-04T12:36:23]"/>
            <x15:cachedUniqueName index="141" name="[Range 1].[Date].&amp;[2022-05-04T12:37:02]"/>
            <x15:cachedUniqueName index="142" name="[Range 1].[Date].&amp;[2022-05-09T12:06:59]"/>
            <x15:cachedUniqueName index="143" name="[Range 1].[Date].&amp;[2022-05-16T17:11:23]"/>
            <x15:cachedUniqueName index="144" name="[Range 1].[Date].&amp;[2022-05-20T12:23:12]"/>
            <x15:cachedUniqueName index="145" name="[Range 1].[Date].&amp;[2022-05-23T12:51:07]"/>
            <x15:cachedUniqueName index="146" name="[Range 1].[Date].&amp;[2022-05-23T17:13:35]"/>
            <x15:cachedUniqueName index="147" name="[Range 1].[Date].&amp;[2022-05-31T12:32:35]"/>
            <x15:cachedUniqueName index="148" name="[Range 1].[Date].&amp;[2022-06-04T13:00:10]"/>
            <x15:cachedUniqueName index="149" name="[Range 1].[Date].&amp;[2022-06-07T16:18:14]"/>
            <x15:cachedUniqueName index="150" name="[Range 1].[Date].&amp;[2022-06-09T11:41:41]"/>
            <x15:cachedUniqueName index="151" name="[Range 1].[Date].&amp;[2022-06-11T16:35:03]"/>
            <x15:cachedUniqueName index="152" name="[Range 1].[Date].&amp;[2022-06-17T11:17:04]"/>
            <x15:cachedUniqueName index="153" name="[Range 1].[Date].&amp;[2022-06-20T17:12:50]"/>
            <x15:cachedUniqueName index="154" name="[Range 1].[Date].&amp;[2022-06-20T17:13:48]"/>
            <x15:cachedUniqueName index="155" name="[Range 1].[Date].&amp;[2022-06-27T16:25:21]"/>
            <x15:cachedUniqueName index="156" name="[Range 1].[Date].&amp;[2022-07-02T16:21:12]"/>
            <x15:cachedUniqueName index="157" name="[Range 1].[Date].&amp;[2022-07-11T16:23:42]"/>
            <x15:cachedUniqueName index="158" name="[Range 1].[Date].&amp;[2022-07-20T16:56:44]"/>
            <x15:cachedUniqueName index="159" name="[Range 1].[Date].&amp;[2022-07-20T16:57:36]"/>
            <x15:cachedUniqueName index="160" name="[Range 1].[Date].&amp;[2022-07-29T15:56:55]"/>
            <x15:cachedUniqueName index="161" name="[Range 1].[Date].&amp;[2022-08-01T15:56:57]"/>
            <x15:cachedUniqueName index="162" name="[Range 1].[Date].&amp;[2022-08-09T12:57:03]"/>
            <x15:cachedUniqueName index="163" name="[Range 1].[Date].&amp;[2022-08-09T12:57:36]"/>
            <x15:cachedUniqueName index="164" name="[Range 1].[Date].&amp;[2022-08-12T15:45:55]"/>
            <x15:cachedUniqueName index="165" name="[Range 1].[Date].&amp;[2022-08-22T16:33:24]"/>
            <x15:cachedUniqueName index="166" name="[Range 1].[Date].&amp;[2022-08-22T16:35:51]"/>
            <x15:cachedUniqueName index="167" name="[Range 1].[Date].&amp;[2022-09-02T16:14:02]"/>
            <x15:cachedUniqueName index="168" name="[Range 1].[Date].&amp;[2022-09-02T16:16:33]"/>
            <x15:cachedUniqueName index="169" name="[Range 1].[Date].&amp;[2022-09-12T12:34:38]"/>
            <x15:cachedUniqueName index="170" name="[Range 1].[Date].&amp;[2022-09-15T13:15:25]"/>
            <x15:cachedUniqueName index="171" name="[Range 1].[Date].&amp;[2022-09-15T15:17:46]"/>
            <x15:cachedUniqueName index="172" name="[Range 1].[Date].&amp;[2022-09-22T15:52:51]"/>
            <x15:cachedUniqueName index="173" name="[Range 1].[Date].&amp;[2022-09-22T16:17:19]"/>
            <x15:cachedUniqueName index="174" name="[Range 1].[Date].&amp;[2022-09-29T11:51:37]"/>
            <x15:cachedUniqueName index="175" name="[Range 1].[Date].&amp;[2022-10-01T12:07:34]"/>
            <x15:cachedUniqueName index="176" name="[Range 1].[Date].&amp;[2022-10-07T10:08:24]"/>
            <x15:cachedUniqueName index="177" name="[Range 1].[Date].&amp;[2022-10-11T15:24:35]"/>
            <x15:cachedUniqueName index="178" name="[Range 1].[Date].&amp;[2022-10-22T15:26:51]"/>
            <x15:cachedUniqueName index="179" name="[Range 1].[Date].&amp;[2022-11-01T12:10:10]"/>
            <x15:cachedUniqueName index="180" name="[Range 1].[Date].&amp;[2022-11-07T15:09:21]"/>
            <x15:cachedUniqueName index="181" name="[Range 1].[Date].&amp;[2022-11-11T16:12:26]"/>
            <x15:cachedUniqueName index="182" name="[Range 1].[Date].&amp;[2022-11-11T16:13:27]"/>
            <x15:cachedUniqueName index="183" name="[Range 1].[Date].&amp;[2022-11-15T15:39:32]"/>
            <x15:cachedUniqueName index="184" name="[Range 1].[Date].&amp;[2022-11-17T13:01:40]"/>
            <x15:cachedUniqueName index="185" name="[Range 1].[Date].&amp;[2022-11-23T12:06:35]"/>
            <x15:cachedUniqueName index="186" name="[Range 1].[Date].&amp;[2022-11-23T12:07:20]"/>
            <x15:cachedUniqueName index="187" name="[Range 1].[Date].&amp;[2022-12-02T11:40:43]"/>
            <x15:cachedUniqueName index="188" name="[Range 1].[Date].&amp;[2022-12-06T15:10:41]"/>
            <x15:cachedUniqueName index="189" name="[Range 1].[Date].&amp;[2022-12-06T15:12:52]"/>
            <x15:cachedUniqueName index="190" name="[Range 1].[Date].&amp;[2022-12-19T18:26:12]"/>
            <x15:cachedUniqueName index="191" name="[Range 1].[Date].&amp;[2022-12-19T18:39:07]"/>
            <x15:cachedUniqueName index="192" name="[Range 1].[Date].&amp;[2022-12-29T17:18:35]"/>
            <x15:cachedUniqueName index="193" name="[Range 1].[Date].&amp;[2023-01-03T15:39:49]"/>
            <x15:cachedUniqueName index="194" name="[Range 1].[Date].&amp;[2023-01-18T16:03:55]"/>
            <x15:cachedUniqueName index="195" name="[Range 1].[Date].&amp;[2023-01-25T13:16:17]"/>
            <x15:cachedUniqueName index="196" name="[Range 1].[Date].&amp;[2023-01-25T13:20:41]"/>
            <x15:cachedUniqueName index="197" name="[Range 1].[Date].&amp;[2023-01-30T18:02:55]"/>
            <x15:cachedUniqueName index="198" name="[Range 1].[Date].&amp;[2023-02-07T15:11:30]"/>
            <x15:cachedUniqueName index="199" name="[Range 1].[Date].&amp;[2023-02-10T11:53:13]"/>
            <x15:cachedUniqueName index="200" name="[Range 1].[Date].&amp;[2023-02-16T16:37:42]"/>
            <x15:cachedUniqueName index="201" name="[Range 1].[Date].&amp;[2023-02-27T12:36:42]"/>
            <x15:cachedUniqueName index="202" name="[Range 1].[Date].&amp;[2023-03-04T12:29:17]"/>
            <x15:cachedUniqueName index="203" name="[Range 1].[Date].&amp;[2023-03-06T11:13:54]"/>
            <x15:cachedUniqueName index="204" name="[Range 1].[Date].&amp;[2023-03-09T12:54:54]"/>
            <x15:cachedUniqueName index="205" name="[Range 1].[Date].&amp;[2023-03-31T13:04:48]"/>
            <x15:cachedUniqueName index="206" name="[Range 1].[Date].&amp;[2023-04-10T22:33:27]"/>
            <x15:cachedUniqueName index="207" name="[Range 1].[Date].&amp;[2023-04-10T22:37:09]"/>
            <x15:cachedUniqueName index="208" name="[Range 1].[Date].&amp;[2023-04-13T19:35:32]"/>
            <x15:cachedUniqueName index="209" name="[Range 1].[Date].&amp;[2023-04-13T19:36:40]"/>
            <x15:cachedUniqueName index="210" name="[Range 1].[Date].&amp;[2023-05-03T16:48:26]"/>
            <x15:cachedUniqueName index="211" name="[Range 1].[Date].&amp;[2023-05-03T16:49:45]"/>
            <x15:cachedUniqueName index="212" name="[Range 1].[Date].&amp;[2023-05-10T15:56:15]"/>
            <x15:cachedUniqueName index="213" name="[Range 1].[Date].&amp;[2023-05-12T12:52:04]"/>
            <x15:cachedUniqueName index="214" name="[Range 1].[Date].&amp;[2023-05-17T13:01:24]"/>
            <x15:cachedUniqueName index="215" name="[Range 1].[Date].&amp;[2023-05-20T22:40:53]"/>
            <x15:cachedUniqueName index="216" name="[Range 1].[Date].&amp;[2023-05-30T16:52:22]"/>
            <x15:cachedUniqueName index="217" name="[Range 1].[Date].&amp;[2023-05-30T16:53:09]"/>
            <x15:cachedUniqueName index="218" name="[Range 1].[Date].&amp;[2023-06-02T12:44:27]"/>
            <x15:cachedUniqueName index="219" name="[Range 1].[Date].&amp;[2023-06-02T12:45:31]"/>
            <x15:cachedUniqueName index="220" name="[Range 1].[Date].&amp;[2023-06-06T19:40:00]"/>
            <x15:cachedUniqueName index="221" name="[Range 1].[Date].&amp;[2023-06-12T17:25:42]"/>
            <x15:cachedUniqueName index="222" name="[Range 1].[Date].&amp;[2023-06-17T22:51:44]"/>
            <x15:cachedUniqueName index="223" name="[Range 1].[Date].&amp;[2023-06-17T22:52:07]"/>
            <x15:cachedUniqueName index="224" name="[Range 1].[Date].&amp;[2023-06-19T21:39:15]"/>
            <x15:cachedUniqueName index="225" name="[Range 1].[Date].&amp;[2023-06-22T17:14:25]"/>
            <x15:cachedUniqueName index="226" name="[Range 1].[Date].&amp;[2023-06-24T18:44:01]"/>
            <x15:cachedUniqueName index="227" name="[Range 1].[Date].&amp;[2023-06-24T18:45:14]"/>
            <x15:cachedUniqueName index="228" name="[Range 1].[Date].&amp;[2023-06-29T17:28:58]"/>
            <x15:cachedUniqueName index="229" name="[Range 1].[Date].&amp;[2023-07-04T17:38:28]"/>
            <x15:cachedUniqueName index="230" name="[Range 1].[Date].&amp;[2023-07-04T17:40:34]"/>
            <x15:cachedUniqueName index="231" name="[Range 1].[Date].&amp;[2023-07-14T12:01:00]"/>
            <x15:cachedUniqueName index="232" name="[Range 1].[Date].&amp;[2023-07-14T12:02:50]"/>
            <x15:cachedUniqueName index="233" name="[Range 1].[Date].&amp;[2023-07-27T17:38:50]"/>
            <x15:cachedUniqueName index="234" name="[Range 1].[Date].&amp;[2023-08-07T16:30:38]"/>
            <x15:cachedUniqueName index="235" name="[Range 1].[Date].&amp;[2023-08-07T16:31:37]"/>
            <x15:cachedUniqueName index="236" name="[Range 1].[Date].&amp;[2023-08-17T17:36:13]"/>
            <x15:cachedUniqueName index="237" name="[Range 1].[Date].&amp;[2023-08-24T13:05:08]"/>
            <x15:cachedUniqueName index="238" name="[Range 1].[Date].&amp;[2023-08-24T13:06:30]"/>
            <x15:cachedUniqueName index="239" name="[Range 1].[Date].&amp;[2023-09-01T16:23:18]"/>
            <x15:cachedUniqueName index="240" name="[Range 1].[Date].&amp;[2023-09-11T15:18:15]"/>
            <x15:cachedUniqueName index="241" name="[Range 1].[Date].&amp;[2023-09-11T15:19:42]"/>
            <x15:cachedUniqueName index="242" name="[Range 1].[Date].&amp;[2023-09-16T11:48:24]"/>
            <x15:cachedUniqueName index="243" name="[Range 1].[Date].&amp;[2023-09-18T10:49:41]"/>
            <x15:cachedUniqueName index="244" name="[Range 1].[Date].&amp;[2023-09-28T13:13:08]"/>
            <x15:cachedUniqueName index="245" name="[Range 1].[Date].&amp;[2023-09-28T13:13:38]"/>
            <x15:cachedUniqueName index="246" name="[Range 1].[Date].&amp;[2023-10-09T13:06:14]"/>
            <x15:cachedUniqueName index="247" name="[Range 1].[Date].&amp;[2023-10-17T13:25:31]"/>
            <x15:cachedUniqueName index="248" name="[Range 1].[Date].&amp;[2023-10-17T14:27:54]"/>
            <x15:cachedUniqueName index="249" name="[Range 1].[Date].&amp;[2023-10-26T15:15:13]"/>
            <x15:cachedUniqueName index="250" name="[Range 1].[Date].&amp;[2023-10-26T15:16:06]"/>
            <x15:cachedUniqueName index="251" name="[Range 1].[Date].&amp;[2023-11-09T11:57:50]"/>
            <x15:cachedUniqueName index="252" name="[Range 1].[Date].&amp;[2023-11-14T15:08:47]"/>
            <x15:cachedUniqueName index="253" name="[Range 1].[Date].&amp;[2023-11-14T15:09:32]"/>
            <x15:cachedUniqueName index="254" name="[Range 1].[Date].&amp;[2023-11-20T11:32:38]"/>
            <x15:cachedUniqueName index="255" name="[Range 1].[Date].&amp;[2023-11-20T11:33:25]"/>
            <x15:cachedUniqueName index="256" name="[Range 1].[Date].&amp;[2023-11-28T15:50:05]"/>
            <x15:cachedUniqueName index="257" name="[Range 1].[Date].&amp;[2023-11-28T15:51:14]"/>
            <x15:cachedUniqueName index="258" name="[Range 1].[Date].&amp;[2023-12-08T15:15:34]"/>
            <x15:cachedUniqueName index="259" name="[Range 1].[Date].&amp;[2023-12-11T14:33:13]"/>
            <x15:cachedUniqueName index="260" name="[Range 1].[Date].&amp;[2023-12-11T14:34:02]"/>
            <x15:cachedUniqueName index="261" name="[Range 1].[Date].&amp;[2023-12-15T15:06:34]"/>
            <x15:cachedUniqueName index="262" name="[Range 1].[Date].&amp;[2023-12-29T16:58:03]"/>
            <x15:cachedUniqueName index="263" name="[Range 1].[Date].&amp;[2023-12-29T16:59:55]"/>
          </x15:cachedUniqueNames>
        </ext>
      </extLst>
    </cacheField>
    <cacheField name="[Range 1].[Date (Month)].[Date (Month)]" caption="Date (Month)" numFmtId="0" hierarchy="21" level="1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Range 1].[Date (Year)].[Date (Year)]" caption="Date (Year)" numFmtId="0" hierarchy="19" level="1">
      <sharedItems count="4">
        <s v="2021"/>
        <s v="2022"/>
        <s v="2023"/>
        <s v="2024"/>
      </sharedItems>
    </cacheField>
    <cacheField name="[Range 1].[Item].[Item]" caption="Item" numFmtId="0" hierarchy="16" level="1">
      <sharedItems count="3">
        <s v="Beer"/>
        <s v="Liquor"/>
        <s v="-" u="1"/>
      </sharedItems>
    </cacheField>
    <cacheField name="[Measures].[Sum of Liters]" caption="Sum of Liters" numFmtId="0" hierarchy="25" level="32767"/>
  </cacheFields>
  <cacheHierarchies count="26">
    <cacheHierarchy uniqueName="[Range 1].[Sl No.]" caption="Sl No." attribute="1" defaultMemberUniqueName="[Range 1].[Sl No.].[All]" allUniqueName="[Range 1].[Sl No.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2" memberValueDatatype="7" unbalanced="0">
      <fieldsUsage count="2">
        <fieldUsage x="-1"/>
        <fieldUsage x="0"/>
      </fieldsUsage>
    </cacheHierarchy>
    <cacheHierarchy uniqueName="[Range 1].[Invoice/ MR No.]" caption="Invoice/ MR No." attribute="1" defaultMemberUniqueName="[Range 1].[Invoice/ MR No.].[All]" allUniqueName="[Range 1].[Invoice/ MR No.].[All]" dimensionUniqueName="[Range 1]" displayFolder="" count="0" memberValueDatatype="130" unbalanced="0"/>
    <cacheHierarchy uniqueName="[Range 1].[Invoice Type]" caption="Invoice Type" attribute="1" defaultMemberUniqueName="[Range 1].[Invoice Type].[All]" allUniqueName="[Range 1].[Invoice Type].[All]" dimensionUniqueName="[Range 1]" displayFolder="" count="0" memberValueDatatype="130" unbalanced="0"/>
    <cacheHierarchy uniqueName="[Range 1].[Oppening Balance]" caption="Oppening Balance" attribute="1" defaultMemberUniqueName="[Range 1].[Oppening Balance].[All]" allUniqueName="[Range 1].[Oppening Balance].[All]" dimensionUniqueName="[Range 1]" displayFolder="" count="0" memberValueDatatype="5" unbalanced="0"/>
    <cacheHierarchy uniqueName="[Range 1].[Credit Amount]" caption="Credit Amount" attribute="1" defaultMemberUniqueName="[Range 1].[Credit Amount].[All]" allUniqueName="[Range 1].[Credit Amount].[All]" dimensionUniqueName="[Range 1]" displayFolder="" count="0" memberValueDatatype="20" unbalanced="0"/>
    <cacheHierarchy uniqueName="[Range 1].[BL]" caption="BL" attribute="1" defaultMemberUniqueName="[Range 1].[BL].[All]" allUniqueName="[Range 1].[BL].[All]" dimensionUniqueName="[Range 1]" displayFolder="" count="0" memberValueDatatype="5" unbalanced="0"/>
    <cacheHierarchy uniqueName="[Range 1].[LPL]" caption="LPL" attribute="1" defaultMemberUniqueName="[Range 1].[LPL].[All]" allUniqueName="[Range 1].[LPL].[All]" dimensionUniqueName="[Range 1]" displayFolder="" count="0" memberValueDatatype="5" unbalanced="0"/>
    <cacheHierarchy uniqueName="[Range 1].[Sale Amount]" caption="Sale Amount" attribute="1" defaultMemberUniqueName="[Range 1].[Sale Amount].[All]" allUniqueName="[Range 1].[Sale Amount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TCS]" caption="TCS" attribute="1" defaultMemberUniqueName="[Range 1].[TCS].[All]" allUniqueName="[Range 1].[TCS].[All]" dimensionUniqueName="[Range 1]" displayFolder="" count="0" memberValueDatatype="5" unbalanced="0"/>
    <cacheHierarchy uniqueName="[Range 1].[Grand Total]" caption="Grand Total" attribute="1" defaultMemberUniqueName="[Range 1].[Grand Total].[All]" allUniqueName="[Range 1].[Grand Total].[All]" dimensionUniqueName="[Range 1]" displayFolder="" count="0" memberValueDatatype="5" unbalanced="0"/>
    <cacheHierarchy uniqueName="[Range 1].[Closing Balance]" caption="Closing Balance" attribute="1" defaultMemberUniqueName="[Range 1].[Closing Balance].[All]" allUniqueName="[Range 1].[Closing Balance].[All]" dimensionUniqueName="[Range 1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VAT %]" caption="VAT %" attribute="1" defaultMemberUniqueName="[Range 1].[VAT %].[All]" allUniqueName="[Range 1].[VAT %].[All]" dimensionUniqueName="[Range 1]" displayFolder="" count="0" memberValueDatatype="5" unbalanced="0"/>
    <cacheHierarchy uniqueName="[Range 1].[TCS %]" caption="TCS %" attribute="1" defaultMemberUniqueName="[Range 1].[TCS %].[All]" allUniqueName="[Range 1].[TCS %].[All]" dimensionUniqueName="[Range 1]" displayFolder="" count="0" memberValueDatatype="5" unbalanced="0"/>
    <cacheHierarchy uniqueName="[Range 1].[Item]" caption="Item" attribute="1" defaultMemberUniqueName="[Range 1].[Item].[All]" allUniqueName="[Range 1].[Item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Liters]" caption="Liters" attribute="1" defaultMemberUniqueName="[Range 1].[Liters].[All]" allUniqueName="[Range 1].[Liters].[All]" dimensionUniqueName="[Range 1]" displayFolder="" count="0" memberValueDatatype="5" unbalanced="0"/>
    <cacheHierarchy uniqueName="[Range 1].[CHECK]" caption="CHECK" attribute="1" defaultMemberUniqueName="[Range 1].[CHECK].[All]" allUniqueName="[Range 1].[CHECK].[All]" dimensionUniqueName="[Range 1]" displayFolder="" count="0" memberValueDatatype="11" unbalanced="0"/>
    <cacheHierarchy uniqueName="[Range 1].[Date (Year)]" caption="Date (Year)" attribute="1" defaultMemberUniqueName="[Range 1].[Date (Year)].[All]" allUniqueName="[Range 1].[Date (Year)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iters]" caption="Sum of Liters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48230899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YAG" refreshedDate="45858.545698958333" backgroundQuery="1" createdVersion="8" refreshedVersion="8" minRefreshableVersion="3" recordCount="0" supportSubquery="1" supportAdvancedDrill="1" xr:uid="{4F4CFB0C-0AEF-4C72-ABCB-02FB54D5ACB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Range].[Date].[Date]" caption="Date" numFmtId="0" hierarchy="1" level="1">
      <sharedItems containsSemiMixedTypes="0" containsNonDate="0" containsDate="1" containsString="0" minDate="2021-04-16T11:26:36" maxDate="2023-12-29T16:59:55" count="264">
        <d v="2021-04-16T11:26:36"/>
        <d v="2021-04-17T12:38:38"/>
        <d v="2021-04-19T13:07:27"/>
        <d v="2021-04-20T15:02:09"/>
        <d v="2021-04-22T17:44:11"/>
        <d v="2021-04-23T15:32:35"/>
        <d v="2021-04-26T11:06:50"/>
        <d v="2021-04-26T11:46:16"/>
        <d v="2021-04-27T16:10:48"/>
        <d v="2021-04-27T16:11:24"/>
        <d v="2021-04-28T15:03:30"/>
        <d v="2021-04-28T15:04:08"/>
        <d v="2021-04-29T16:21:33"/>
        <d v="2021-04-30T12:02:13"/>
        <d v="2021-05-03T12:10:23"/>
        <d v="2021-05-03T12:11:00"/>
        <d v="2021-05-04T14:59:04"/>
        <d v="2021-05-04T15:21:19"/>
        <d v="2021-05-18T11:52:14"/>
        <d v="2021-05-18T11:53:08"/>
        <d v="2021-05-20T10:07:03"/>
        <d v="2021-05-20T10:09:15"/>
        <d v="2021-05-24T09:15:26"/>
        <d v="2021-05-24T09:16:19"/>
        <d v="2021-05-28T08:30:47"/>
        <d v="2021-05-28T08:31:26"/>
        <d v="2021-06-03T09:33:56"/>
        <d v="2021-06-03T09:34:33"/>
        <d v="2021-06-09T09:07:04"/>
        <d v="2021-06-14T09:23:44"/>
        <d v="2021-06-14T09:24:13"/>
        <d v="2021-06-17T10:32:13"/>
        <d v="2021-06-17T10:32:48"/>
        <d v="2021-06-21T09:46:12"/>
        <d v="2021-06-21T09:56:17"/>
        <d v="2021-06-23T11:35:43"/>
        <d v="2021-06-25T09:50:16"/>
        <d v="2021-06-25T10:18:13"/>
        <d v="2021-06-29T11:38:01"/>
        <d v="2021-07-01T10:04:09"/>
        <d v="2021-07-01T10:04:37"/>
        <d v="2021-07-05T10:09:34"/>
        <d v="2021-07-07T10:12:27"/>
        <d v="2021-07-07T10:36:38"/>
        <d v="2021-07-09T09:49:16"/>
        <d v="2021-07-09T09:50:03"/>
        <d v="2021-07-14T12:34:27"/>
        <d v="2021-07-14T12:35:25"/>
        <d v="2021-07-16T10:21:20"/>
        <d v="2021-07-16T10:47:10"/>
        <d v="2021-07-20T10:46:15"/>
        <d v="2021-07-20T10:46:58"/>
        <d v="2021-07-26T11:58:53"/>
        <d v="2021-07-26T12:00:18"/>
        <d v="2021-07-28T11:29:48"/>
        <d v="2021-07-28T11:42:27"/>
        <d v="2021-07-30T11:00:34"/>
        <d v="2021-08-03T10:41:09"/>
        <d v="2021-08-03T10:42:05"/>
        <d v="2021-08-07T09:47:45"/>
        <d v="2021-08-07T09:53:32"/>
        <d v="2021-08-10T10:50:23"/>
        <d v="2021-08-10T10:51:18"/>
        <d v="2021-08-14T10:15:58"/>
        <d v="2021-08-14T10:16:32"/>
        <d v="2021-08-17T10:37:11"/>
        <d v="2021-08-21T10:06:49"/>
        <d v="2021-08-21T10:07:29"/>
        <d v="2021-08-24T10:53:29"/>
        <d v="2021-08-24T10:54:09"/>
        <d v="2021-08-28T09:56:43"/>
        <d v="2021-08-28T09:57:30"/>
        <d v="2021-09-01T10:10:51"/>
        <d v="2021-09-01T10:12:25"/>
        <d v="2021-09-03T10:23:14"/>
        <d v="2021-09-06T10:44:51"/>
        <d v="2021-09-06T10:45:35"/>
        <d v="2021-09-11T10:07:16"/>
        <d v="2021-09-11T10:08:34"/>
        <d v="2021-09-14T10:20:11"/>
        <d v="2021-09-18T10:00:29"/>
        <d v="2021-09-18T10:00:53"/>
        <d v="2021-09-21T10:21:52"/>
        <d v="2021-09-21T10:22:46"/>
        <d v="2021-09-25T10:21:38"/>
        <d v="2021-09-25T10:22:25"/>
        <d v="2021-09-30T10:03:13"/>
        <d v="2021-10-01T12:00:09"/>
        <d v="2021-10-01T12:02:10"/>
        <d v="2021-10-04T11:36:11"/>
        <d v="2021-10-07T11:06:16"/>
        <d v="2021-10-07T11:27:26"/>
        <d v="2021-10-12T10:10:08"/>
        <d v="2021-10-12T11:22:28"/>
        <d v="2021-10-16T10:02:39"/>
        <d v="2021-10-16T10:37:05"/>
        <d v="2021-10-22T11:19:23"/>
        <d v="2021-10-26T10:26:09"/>
        <d v="2021-10-26T10:27:01"/>
        <d v="2021-11-02T10:19:16"/>
        <d v="2021-11-06T10:36:00"/>
        <d v="2021-11-06T12:01:54"/>
        <d v="2021-11-11T11:25:48"/>
        <d v="2021-11-11T11:26:34"/>
        <d v="2021-11-16T11:32:58"/>
        <d v="2021-11-16T11:33:31"/>
        <d v="2021-11-20T11:33:06"/>
        <d v="2021-11-20T11:34:29"/>
        <d v="2021-11-24T11:16:35"/>
        <d v="2021-11-24T11:43:27"/>
        <d v="2021-11-27T11:07:54"/>
        <d v="2021-11-30T11:04:46"/>
        <d v="2021-11-30T11:21:52"/>
        <d v="2021-12-06T11:19:30"/>
        <d v="2021-12-10T11:15:06"/>
        <d v="2021-12-10T11:16:06"/>
        <d v="2021-12-13T12:14:29"/>
        <d v="2021-12-16T11:16:56"/>
        <d v="2021-12-16T12:07:15"/>
        <d v="2021-12-20T11:46:16"/>
        <d v="2021-12-23T12:48:34"/>
        <d v="2021-12-27T11:45:25"/>
        <d v="2021-12-27T11:48:30"/>
        <d v="2021-12-31T11:34:44"/>
        <d v="2022-01-01T11:10:03"/>
        <d v="2022-01-05T10:52:47"/>
        <d v="2022-01-08T12:55:27"/>
        <d v="2022-01-10T11:16:53"/>
        <d v="2022-01-19T11:24:18"/>
        <d v="2022-01-21T11:24:02"/>
        <d v="2022-01-25T11:51:21"/>
        <d v="2022-01-27T11:43:42"/>
        <d v="2022-01-27T11:44:18"/>
        <d v="2022-02-03T12:42:10"/>
        <d v="2022-02-03T12:43:12"/>
        <d v="2022-02-10T13:02:28"/>
        <d v="2022-03-30T22:15:17"/>
        <d v="2022-03-30T22:15:50"/>
        <d v="2022-04-25T21:13:45"/>
        <d v="2022-04-25T21:15:08"/>
        <d v="2022-05-04T12:36:23"/>
        <d v="2022-05-04T12:37:02"/>
        <d v="2022-05-09T12:06:59"/>
        <d v="2022-05-16T17:11:23"/>
        <d v="2022-05-20T12:23:12"/>
        <d v="2022-05-23T12:51:07"/>
        <d v="2022-05-23T17:13:35"/>
        <d v="2022-05-31T12:32:35"/>
        <d v="2022-06-04T13:00:10"/>
        <d v="2022-06-07T16:18:14"/>
        <d v="2022-06-09T11:41:41"/>
        <d v="2022-06-11T16:35:03"/>
        <d v="2022-06-17T11:17:04"/>
        <d v="2022-06-20T17:12:50"/>
        <d v="2022-06-20T17:13:48"/>
        <d v="2022-06-27T16:25:21"/>
        <d v="2022-07-02T16:21:12"/>
        <d v="2022-07-11T16:23:42"/>
        <d v="2022-07-20T16:56:44"/>
        <d v="2022-07-20T16:57:36"/>
        <d v="2022-07-29T15:56:55"/>
        <d v="2022-08-01T15:56:57"/>
        <d v="2022-08-09T12:57:03"/>
        <d v="2022-08-09T12:57:36"/>
        <d v="2022-08-12T15:45:55"/>
        <d v="2022-08-22T16:33:24"/>
        <d v="2022-08-22T16:35:51"/>
        <d v="2022-09-02T16:14:02"/>
        <d v="2022-09-02T16:16:33"/>
        <d v="2022-09-12T12:34:38"/>
        <d v="2022-09-15T13:15:25"/>
        <d v="2022-09-15T15:17:46"/>
        <d v="2022-09-22T15:52:51"/>
        <d v="2022-09-22T16:17:19"/>
        <d v="2022-09-29T11:51:37"/>
        <d v="2022-10-01T12:07:34"/>
        <d v="2022-10-07T10:08:24"/>
        <d v="2022-10-11T15:24:35"/>
        <d v="2022-10-22T15:26:51"/>
        <d v="2022-11-01T12:10:10"/>
        <d v="2022-11-07T15:09:21"/>
        <d v="2022-11-11T16:12:26"/>
        <d v="2022-11-11T16:13:27"/>
        <d v="2022-11-15T15:39:32"/>
        <d v="2022-11-17T13:01:40"/>
        <d v="2022-11-23T12:06:35"/>
        <d v="2022-11-23T12:07:20"/>
        <d v="2022-12-02T11:40:43"/>
        <d v="2022-12-06T15:10:41"/>
        <d v="2022-12-06T15:12:52"/>
        <d v="2022-12-19T18:26:12"/>
        <d v="2022-12-19T18:39:07"/>
        <d v="2022-12-29T17:18:35"/>
        <d v="2023-01-03T15:39:49"/>
        <d v="2023-01-18T16:03:55"/>
        <d v="2023-01-25T13:16:17"/>
        <d v="2023-01-25T13:20:41"/>
        <d v="2023-01-30T18:02:55"/>
        <d v="2023-02-07T15:11:30"/>
        <d v="2023-02-10T11:53:13"/>
        <d v="2023-02-16T16:37:42"/>
        <d v="2023-02-27T12:36:42"/>
        <d v="2023-03-04T12:29:17"/>
        <d v="2023-03-06T11:13:54"/>
        <d v="2023-03-09T12:54:54"/>
        <d v="2023-03-31T13:04:48"/>
        <d v="2023-04-10T22:33:27"/>
        <d v="2023-04-10T22:37:09"/>
        <d v="2023-04-13T19:35:32"/>
        <d v="2023-04-13T19:36:40"/>
        <d v="2023-05-03T16:48:26"/>
        <d v="2023-05-03T16:49:45"/>
        <d v="2023-05-10T15:56:15"/>
        <d v="2023-05-12T12:52:04"/>
        <d v="2023-05-17T13:01:24"/>
        <d v="2023-05-20T22:40:53"/>
        <d v="2023-05-30T16:52:22"/>
        <d v="2023-05-30T16:53:09"/>
        <d v="2023-06-02T12:44:27"/>
        <d v="2023-06-02T12:45:31"/>
        <d v="2023-06-06T19:40:00"/>
        <d v="2023-06-12T17:25:42"/>
        <d v="2023-06-17T22:51:44"/>
        <d v="2023-06-17T22:52:07"/>
        <d v="2023-06-19T21:39:15"/>
        <d v="2023-06-22T17:14:25"/>
        <d v="2023-06-24T18:44:01"/>
        <d v="2023-06-24T18:45:14"/>
        <d v="2023-06-29T17:28:58"/>
        <d v="2023-07-04T17:38:28"/>
        <d v="2023-07-04T17:40:34"/>
        <d v="2023-07-14T12:01:00"/>
        <d v="2023-07-14T12:02:50"/>
        <d v="2023-07-27T17:38:50"/>
        <d v="2023-08-07T16:30:38"/>
        <d v="2023-08-07T16:31:37"/>
        <d v="2023-08-17T17:36:13"/>
        <d v="2023-08-24T13:05:08"/>
        <d v="2023-08-24T13:06:30"/>
        <d v="2023-09-01T16:23:18"/>
        <d v="2023-09-11T15:18:15"/>
        <d v="2023-09-11T15:19:42"/>
        <d v="2023-09-16T11:48:24"/>
        <d v="2023-09-18T10:49:41"/>
        <d v="2023-09-28T13:13:08"/>
        <d v="2023-09-28T13:13:38"/>
        <d v="2023-10-09T13:06:14"/>
        <d v="2023-10-17T13:25:31"/>
        <d v="2023-10-17T14:27:54"/>
        <d v="2023-10-26T15:15:13"/>
        <d v="2023-10-26T15:16:06"/>
        <d v="2023-11-09T11:57:50"/>
        <d v="2023-11-14T15:08:47"/>
        <d v="2023-11-14T15:09:32"/>
        <d v="2023-11-20T11:32:38"/>
        <d v="2023-11-20T11:33:25"/>
        <d v="2023-11-28T15:50:05"/>
        <d v="2023-11-28T15:51:14"/>
        <d v="2023-12-08T15:15:34"/>
        <d v="2023-12-11T14:33:13"/>
        <d v="2023-12-11T14:34:02"/>
        <d v="2023-12-15T15:06:34"/>
        <d v="2023-12-29T16:58:03"/>
        <d v="2023-12-29T16:59:55"/>
      </sharedItems>
      <extLst>
        <ext xmlns:x15="http://schemas.microsoft.com/office/spreadsheetml/2010/11/main" uri="{4F2E5C28-24EA-4eb8-9CBF-B6C8F9C3D259}">
          <x15:cachedUniqueNames>
            <x15:cachedUniqueName index="0" name="[Range].[Date].&amp;[2021-04-16T11:26:36]"/>
            <x15:cachedUniqueName index="1" name="[Range].[Date].&amp;[2021-04-17T12:38:38]"/>
            <x15:cachedUniqueName index="2" name="[Range].[Date].&amp;[2021-04-19T13:07:27]"/>
            <x15:cachedUniqueName index="3" name="[Range].[Date].&amp;[2021-04-20T15:02:09]"/>
            <x15:cachedUniqueName index="4" name="[Range].[Date].&amp;[2021-04-22T17:44:11]"/>
            <x15:cachedUniqueName index="5" name="[Range].[Date].&amp;[2021-04-23T15:32:35]"/>
            <x15:cachedUniqueName index="6" name="[Range].[Date].&amp;[2021-04-26T11:06:50]"/>
            <x15:cachedUniqueName index="7" name="[Range].[Date].&amp;[2021-04-26T11:46:16]"/>
            <x15:cachedUniqueName index="8" name="[Range].[Date].&amp;[2021-04-27T16:10:48]"/>
            <x15:cachedUniqueName index="9" name="[Range].[Date].&amp;[2021-04-27T16:11:24]"/>
            <x15:cachedUniqueName index="10" name="[Range].[Date].&amp;[2021-04-28T15:03:30]"/>
            <x15:cachedUniqueName index="11" name="[Range].[Date].&amp;[2021-04-28T15:04:08]"/>
            <x15:cachedUniqueName index="12" name="[Range].[Date].&amp;[2021-04-29T16:21:33]"/>
            <x15:cachedUniqueName index="13" name="[Range].[Date].&amp;[2021-04-30T12:02:13]"/>
            <x15:cachedUniqueName index="14" name="[Range].[Date].&amp;[2021-05-03T12:10:23]"/>
            <x15:cachedUniqueName index="15" name="[Range].[Date].&amp;[2021-05-03T12:11:00]"/>
            <x15:cachedUniqueName index="16" name="[Range].[Date].&amp;[2021-05-04T14:59:04]"/>
            <x15:cachedUniqueName index="17" name="[Range].[Date].&amp;[2021-05-04T15:21:19]"/>
            <x15:cachedUniqueName index="18" name="[Range].[Date].&amp;[2021-05-18T11:52:14]"/>
            <x15:cachedUniqueName index="19" name="[Range].[Date].&amp;[2021-05-18T11:53:08]"/>
            <x15:cachedUniqueName index="20" name="[Range].[Date].&amp;[2021-05-20T10:07:03]"/>
            <x15:cachedUniqueName index="21" name="[Range].[Date].&amp;[2021-05-20T10:09:15]"/>
            <x15:cachedUniqueName index="22" name="[Range].[Date].&amp;[2021-05-24T09:15:26]"/>
            <x15:cachedUniqueName index="23" name="[Range].[Date].&amp;[2021-05-24T09:16:19]"/>
            <x15:cachedUniqueName index="24" name="[Range].[Date].&amp;[2021-05-28T08:30:47]"/>
            <x15:cachedUniqueName index="25" name="[Range].[Date].&amp;[2021-05-28T08:31:26]"/>
            <x15:cachedUniqueName index="26" name="[Range].[Date].&amp;[2021-06-03T09:33:56]"/>
            <x15:cachedUniqueName index="27" name="[Range].[Date].&amp;[2021-06-03T09:34:33]"/>
            <x15:cachedUniqueName index="28" name="[Range].[Date].&amp;[2021-06-09T09:07:04]"/>
            <x15:cachedUniqueName index="29" name="[Range].[Date].&amp;[2021-06-14T09:23:44]"/>
            <x15:cachedUniqueName index="30" name="[Range].[Date].&amp;[2021-06-14T09:24:13]"/>
            <x15:cachedUniqueName index="31" name="[Range].[Date].&amp;[2021-06-17T10:32:13]"/>
            <x15:cachedUniqueName index="32" name="[Range].[Date].&amp;[2021-06-17T10:32:48]"/>
            <x15:cachedUniqueName index="33" name="[Range].[Date].&amp;[2021-06-21T09:46:12]"/>
            <x15:cachedUniqueName index="34" name="[Range].[Date].&amp;[2021-06-21T09:56:17]"/>
            <x15:cachedUniqueName index="35" name="[Range].[Date].&amp;[2021-06-23T11:35:43]"/>
            <x15:cachedUniqueName index="36" name="[Range].[Date].&amp;[2021-06-25T09:50:16]"/>
            <x15:cachedUniqueName index="37" name="[Range].[Date].&amp;[2021-06-25T10:18:13]"/>
            <x15:cachedUniqueName index="38" name="[Range].[Date].&amp;[2021-06-29T11:38:01]"/>
            <x15:cachedUniqueName index="39" name="[Range].[Date].&amp;[2021-07-01T10:04:09]"/>
            <x15:cachedUniqueName index="40" name="[Range].[Date].&amp;[2021-07-01T10:04:37]"/>
            <x15:cachedUniqueName index="41" name="[Range].[Date].&amp;[2021-07-05T10:09:34]"/>
            <x15:cachedUniqueName index="42" name="[Range].[Date].&amp;[2021-07-07T10:12:27]"/>
            <x15:cachedUniqueName index="43" name="[Range].[Date].&amp;[2021-07-07T10:36:38]"/>
            <x15:cachedUniqueName index="44" name="[Range].[Date].&amp;[2021-07-09T09:49:16]"/>
            <x15:cachedUniqueName index="45" name="[Range].[Date].&amp;[2021-07-09T09:50:03]"/>
            <x15:cachedUniqueName index="46" name="[Range].[Date].&amp;[2021-07-14T12:34:27]"/>
            <x15:cachedUniqueName index="47" name="[Range].[Date].&amp;[2021-07-14T12:35:25]"/>
            <x15:cachedUniqueName index="48" name="[Range].[Date].&amp;[2021-07-16T10:21:20]"/>
            <x15:cachedUniqueName index="49" name="[Range].[Date].&amp;[2021-07-16T10:47:10]"/>
            <x15:cachedUniqueName index="50" name="[Range].[Date].&amp;[2021-07-20T10:46:15]"/>
            <x15:cachedUniqueName index="51" name="[Range].[Date].&amp;[2021-07-20T10:46:58]"/>
            <x15:cachedUniqueName index="52" name="[Range].[Date].&amp;[2021-07-26T11:58:53]"/>
            <x15:cachedUniqueName index="53" name="[Range].[Date].&amp;[2021-07-26T12:00:18]"/>
            <x15:cachedUniqueName index="54" name="[Range].[Date].&amp;[2021-07-28T11:29:48]"/>
            <x15:cachedUniqueName index="55" name="[Range].[Date].&amp;[2021-07-28T11:42:27]"/>
            <x15:cachedUniqueName index="56" name="[Range].[Date].&amp;[2021-07-30T11:00:34]"/>
            <x15:cachedUniqueName index="57" name="[Range].[Date].&amp;[2021-08-03T10:41:09]"/>
            <x15:cachedUniqueName index="58" name="[Range].[Date].&amp;[2021-08-03T10:42:05]"/>
            <x15:cachedUniqueName index="59" name="[Range].[Date].&amp;[2021-08-07T09:47:45]"/>
            <x15:cachedUniqueName index="60" name="[Range].[Date].&amp;[2021-08-07T09:53:32]"/>
            <x15:cachedUniqueName index="61" name="[Range].[Date].&amp;[2021-08-10T10:50:23]"/>
            <x15:cachedUniqueName index="62" name="[Range].[Date].&amp;[2021-08-10T10:51:18]"/>
            <x15:cachedUniqueName index="63" name="[Range].[Date].&amp;[2021-08-14T10:15:58]"/>
            <x15:cachedUniqueName index="64" name="[Range].[Date].&amp;[2021-08-14T10:16:32]"/>
            <x15:cachedUniqueName index="65" name="[Range].[Date].&amp;[2021-08-17T10:37:11]"/>
            <x15:cachedUniqueName index="66" name="[Range].[Date].&amp;[2021-08-21T10:06:49]"/>
            <x15:cachedUniqueName index="67" name="[Range].[Date].&amp;[2021-08-21T10:07:29]"/>
            <x15:cachedUniqueName index="68" name="[Range].[Date].&amp;[2021-08-24T10:53:29]"/>
            <x15:cachedUniqueName index="69" name="[Range].[Date].&amp;[2021-08-24T10:54:09]"/>
            <x15:cachedUniqueName index="70" name="[Range].[Date].&amp;[2021-08-28T09:56:43]"/>
            <x15:cachedUniqueName index="71" name="[Range].[Date].&amp;[2021-08-28T09:57:30]"/>
            <x15:cachedUniqueName index="72" name="[Range].[Date].&amp;[2021-09-01T10:10:51]"/>
            <x15:cachedUniqueName index="73" name="[Range].[Date].&amp;[2021-09-01T10:12:25]"/>
            <x15:cachedUniqueName index="74" name="[Range].[Date].&amp;[2021-09-03T10:23:14]"/>
            <x15:cachedUniqueName index="75" name="[Range].[Date].&amp;[2021-09-06T10:44:51]"/>
            <x15:cachedUniqueName index="76" name="[Range].[Date].&amp;[2021-09-06T10:45:35]"/>
            <x15:cachedUniqueName index="77" name="[Range].[Date].&amp;[2021-09-11T10:07:16]"/>
            <x15:cachedUniqueName index="78" name="[Range].[Date].&amp;[2021-09-11T10:08:34]"/>
            <x15:cachedUniqueName index="79" name="[Range].[Date].&amp;[2021-09-14T10:20:11]"/>
            <x15:cachedUniqueName index="80" name="[Range].[Date].&amp;[2021-09-18T10:00:29]"/>
            <x15:cachedUniqueName index="81" name="[Range].[Date].&amp;[2021-09-18T10:00:53]"/>
            <x15:cachedUniqueName index="82" name="[Range].[Date].&amp;[2021-09-21T10:21:52]"/>
            <x15:cachedUniqueName index="83" name="[Range].[Date].&amp;[2021-09-21T10:22:46]"/>
            <x15:cachedUniqueName index="84" name="[Range].[Date].&amp;[2021-09-25T10:21:38]"/>
            <x15:cachedUniqueName index="85" name="[Range].[Date].&amp;[2021-09-25T10:22:25]"/>
            <x15:cachedUniqueName index="86" name="[Range].[Date].&amp;[2021-09-30T10:03:13]"/>
            <x15:cachedUniqueName index="87" name="[Range].[Date].&amp;[2021-10-01T12:00:09]"/>
            <x15:cachedUniqueName index="88" name="[Range].[Date].&amp;[2021-10-01T12:02:10]"/>
            <x15:cachedUniqueName index="89" name="[Range].[Date].&amp;[2021-10-04T11:36:11]"/>
            <x15:cachedUniqueName index="90" name="[Range].[Date].&amp;[2021-10-07T11:06:16]"/>
            <x15:cachedUniqueName index="91" name="[Range].[Date].&amp;[2021-10-07T11:27:26]"/>
            <x15:cachedUniqueName index="92" name="[Range].[Date].&amp;[2021-10-12T10:10:08]"/>
            <x15:cachedUniqueName index="93" name="[Range].[Date].&amp;[2021-10-12T11:22:28]"/>
            <x15:cachedUniqueName index="94" name="[Range].[Date].&amp;[2021-10-16T10:02:39]"/>
            <x15:cachedUniqueName index="95" name="[Range].[Date].&amp;[2021-10-16T10:37:05]"/>
            <x15:cachedUniqueName index="96" name="[Range].[Date].&amp;[2021-10-22T11:19:23]"/>
            <x15:cachedUniqueName index="97" name="[Range].[Date].&amp;[2021-10-26T10:26:09]"/>
            <x15:cachedUniqueName index="98" name="[Range].[Date].&amp;[2021-10-26T10:27:01]"/>
            <x15:cachedUniqueName index="99" name="[Range].[Date].&amp;[2021-11-02T10:19:16]"/>
            <x15:cachedUniqueName index="100" name="[Range].[Date].&amp;[2021-11-06T10:36:00]"/>
            <x15:cachedUniqueName index="101" name="[Range].[Date].&amp;[2021-11-06T12:01:54]"/>
            <x15:cachedUniqueName index="102" name="[Range].[Date].&amp;[2021-11-11T11:25:48]"/>
            <x15:cachedUniqueName index="103" name="[Range].[Date].&amp;[2021-11-11T11:26:34]"/>
            <x15:cachedUniqueName index="104" name="[Range].[Date].&amp;[2021-11-16T11:32:58]"/>
            <x15:cachedUniqueName index="105" name="[Range].[Date].&amp;[2021-11-16T11:33:31]"/>
            <x15:cachedUniqueName index="106" name="[Range].[Date].&amp;[2021-11-20T11:33:06]"/>
            <x15:cachedUniqueName index="107" name="[Range].[Date].&amp;[2021-11-20T11:34:29]"/>
            <x15:cachedUniqueName index="108" name="[Range].[Date].&amp;[2021-11-24T11:16:35]"/>
            <x15:cachedUniqueName index="109" name="[Range].[Date].&amp;[2021-11-24T11:43:27]"/>
            <x15:cachedUniqueName index="110" name="[Range].[Date].&amp;[2021-11-27T11:07:54]"/>
            <x15:cachedUniqueName index="111" name="[Range].[Date].&amp;[2021-11-30T11:04:46]"/>
            <x15:cachedUniqueName index="112" name="[Range].[Date].&amp;[2021-11-30T11:21:52]"/>
            <x15:cachedUniqueName index="113" name="[Range].[Date].&amp;[2021-12-06T11:19:30]"/>
            <x15:cachedUniqueName index="114" name="[Range].[Date].&amp;[2021-12-10T11:15:06]"/>
            <x15:cachedUniqueName index="115" name="[Range].[Date].&amp;[2021-12-10T11:16:06]"/>
            <x15:cachedUniqueName index="116" name="[Range].[Date].&amp;[2021-12-13T12:14:29]"/>
            <x15:cachedUniqueName index="117" name="[Range].[Date].&amp;[2021-12-16T11:16:56]"/>
            <x15:cachedUniqueName index="118" name="[Range].[Date].&amp;[2021-12-16T12:07:15]"/>
            <x15:cachedUniqueName index="119" name="[Range].[Date].&amp;[2021-12-20T11:46:16]"/>
            <x15:cachedUniqueName index="120" name="[Range].[Date].&amp;[2021-12-23T12:48:34]"/>
            <x15:cachedUniqueName index="121" name="[Range].[Date].&amp;[2021-12-27T11:45:25]"/>
            <x15:cachedUniqueName index="122" name="[Range].[Date].&amp;[2021-12-27T11:48:30]"/>
            <x15:cachedUniqueName index="123" name="[Range].[Date].&amp;[2021-12-31T11:34:44]"/>
            <x15:cachedUniqueName index="124" name="[Range].[Date].&amp;[2022-01-01T11:10:03]"/>
            <x15:cachedUniqueName index="125" name="[Range].[Date].&amp;[2022-01-05T10:52:47]"/>
            <x15:cachedUniqueName index="126" name="[Range].[Date].&amp;[2022-01-08T12:55:27]"/>
            <x15:cachedUniqueName index="127" name="[Range].[Date].&amp;[2022-01-10T11:16:53]"/>
            <x15:cachedUniqueName index="128" name="[Range].[Date].&amp;[2022-01-19T11:24:18]"/>
            <x15:cachedUniqueName index="129" name="[Range].[Date].&amp;[2022-01-21T11:24:02]"/>
            <x15:cachedUniqueName index="130" name="[Range].[Date].&amp;[2022-01-25T11:51:21]"/>
            <x15:cachedUniqueName index="131" name="[Range].[Date].&amp;[2022-01-27T11:43:42]"/>
            <x15:cachedUniqueName index="132" name="[Range].[Date].&amp;[2022-01-27T11:44:18]"/>
            <x15:cachedUniqueName index="133" name="[Range].[Date].&amp;[2022-02-03T12:42:10]"/>
            <x15:cachedUniqueName index="134" name="[Range].[Date].&amp;[2022-02-03T12:43:12]"/>
            <x15:cachedUniqueName index="135" name="[Range].[Date].&amp;[2022-02-10T13:02:28]"/>
            <x15:cachedUniqueName index="136" name="[Range].[Date].&amp;[2022-03-30T22:15:17]"/>
            <x15:cachedUniqueName index="137" name="[Range].[Date].&amp;[2022-03-30T22:15:50]"/>
            <x15:cachedUniqueName index="138" name="[Range].[Date].&amp;[2022-04-25T21:13:45]"/>
            <x15:cachedUniqueName index="139" name="[Range].[Date].&amp;[2022-04-25T21:15:08]"/>
            <x15:cachedUniqueName index="140" name="[Range].[Date].&amp;[2022-05-04T12:36:23]"/>
            <x15:cachedUniqueName index="141" name="[Range].[Date].&amp;[2022-05-04T12:37:02]"/>
            <x15:cachedUniqueName index="142" name="[Range].[Date].&amp;[2022-05-09T12:06:59]"/>
            <x15:cachedUniqueName index="143" name="[Range].[Date].&amp;[2022-05-16T17:11:23]"/>
            <x15:cachedUniqueName index="144" name="[Range].[Date].&amp;[2022-05-20T12:23:12]"/>
            <x15:cachedUniqueName index="145" name="[Range].[Date].&amp;[2022-05-23T12:51:07]"/>
            <x15:cachedUniqueName index="146" name="[Range].[Date].&amp;[2022-05-23T17:13:35]"/>
            <x15:cachedUniqueName index="147" name="[Range].[Date].&amp;[2022-05-31T12:32:35]"/>
            <x15:cachedUniqueName index="148" name="[Range].[Date].&amp;[2022-06-04T13:00:10]"/>
            <x15:cachedUniqueName index="149" name="[Range].[Date].&amp;[2022-06-07T16:18:14]"/>
            <x15:cachedUniqueName index="150" name="[Range].[Date].&amp;[2022-06-09T11:41:41]"/>
            <x15:cachedUniqueName index="151" name="[Range].[Date].&amp;[2022-06-11T16:35:03]"/>
            <x15:cachedUniqueName index="152" name="[Range].[Date].&amp;[2022-06-17T11:17:04]"/>
            <x15:cachedUniqueName index="153" name="[Range].[Date].&amp;[2022-06-20T17:12:50]"/>
            <x15:cachedUniqueName index="154" name="[Range].[Date].&amp;[2022-06-20T17:13:48]"/>
            <x15:cachedUniqueName index="155" name="[Range].[Date].&amp;[2022-06-27T16:25:21]"/>
            <x15:cachedUniqueName index="156" name="[Range].[Date].&amp;[2022-07-02T16:21:12]"/>
            <x15:cachedUniqueName index="157" name="[Range].[Date].&amp;[2022-07-11T16:23:42]"/>
            <x15:cachedUniqueName index="158" name="[Range].[Date].&amp;[2022-07-20T16:56:44]"/>
            <x15:cachedUniqueName index="159" name="[Range].[Date].&amp;[2022-07-20T16:57:36]"/>
            <x15:cachedUniqueName index="160" name="[Range].[Date].&amp;[2022-07-29T15:56:55]"/>
            <x15:cachedUniqueName index="161" name="[Range].[Date].&amp;[2022-08-01T15:56:57]"/>
            <x15:cachedUniqueName index="162" name="[Range].[Date].&amp;[2022-08-09T12:57:03]"/>
            <x15:cachedUniqueName index="163" name="[Range].[Date].&amp;[2022-08-09T12:57:36]"/>
            <x15:cachedUniqueName index="164" name="[Range].[Date].&amp;[2022-08-12T15:45:55]"/>
            <x15:cachedUniqueName index="165" name="[Range].[Date].&amp;[2022-08-22T16:33:24]"/>
            <x15:cachedUniqueName index="166" name="[Range].[Date].&amp;[2022-08-22T16:35:51]"/>
            <x15:cachedUniqueName index="167" name="[Range].[Date].&amp;[2022-09-02T16:14:02]"/>
            <x15:cachedUniqueName index="168" name="[Range].[Date].&amp;[2022-09-02T16:16:33]"/>
            <x15:cachedUniqueName index="169" name="[Range].[Date].&amp;[2022-09-12T12:34:38]"/>
            <x15:cachedUniqueName index="170" name="[Range].[Date].&amp;[2022-09-15T13:15:25]"/>
            <x15:cachedUniqueName index="171" name="[Range].[Date].&amp;[2022-09-15T15:17:46]"/>
            <x15:cachedUniqueName index="172" name="[Range].[Date].&amp;[2022-09-22T15:52:51]"/>
            <x15:cachedUniqueName index="173" name="[Range].[Date].&amp;[2022-09-22T16:17:19]"/>
            <x15:cachedUniqueName index="174" name="[Range].[Date].&amp;[2022-09-29T11:51:37]"/>
            <x15:cachedUniqueName index="175" name="[Range].[Date].&amp;[2022-10-01T12:07:34]"/>
            <x15:cachedUniqueName index="176" name="[Range].[Date].&amp;[2022-10-07T10:08:24]"/>
            <x15:cachedUniqueName index="177" name="[Range].[Date].&amp;[2022-10-11T15:24:35]"/>
            <x15:cachedUniqueName index="178" name="[Range].[Date].&amp;[2022-10-22T15:26:51]"/>
            <x15:cachedUniqueName index="179" name="[Range].[Date].&amp;[2022-11-01T12:10:10]"/>
            <x15:cachedUniqueName index="180" name="[Range].[Date].&amp;[2022-11-07T15:09:21]"/>
            <x15:cachedUniqueName index="181" name="[Range].[Date].&amp;[2022-11-11T16:12:26]"/>
            <x15:cachedUniqueName index="182" name="[Range].[Date].&amp;[2022-11-11T16:13:27]"/>
            <x15:cachedUniqueName index="183" name="[Range].[Date].&amp;[2022-11-15T15:39:32]"/>
            <x15:cachedUniqueName index="184" name="[Range].[Date].&amp;[2022-11-17T13:01:40]"/>
            <x15:cachedUniqueName index="185" name="[Range].[Date].&amp;[2022-11-23T12:06:35]"/>
            <x15:cachedUniqueName index="186" name="[Range].[Date].&amp;[2022-11-23T12:07:20]"/>
            <x15:cachedUniqueName index="187" name="[Range].[Date].&amp;[2022-12-02T11:40:43]"/>
            <x15:cachedUniqueName index="188" name="[Range].[Date].&amp;[2022-12-06T15:10:41]"/>
            <x15:cachedUniqueName index="189" name="[Range].[Date].&amp;[2022-12-06T15:12:52]"/>
            <x15:cachedUniqueName index="190" name="[Range].[Date].&amp;[2022-12-19T18:26:12]"/>
            <x15:cachedUniqueName index="191" name="[Range].[Date].&amp;[2022-12-19T18:39:07]"/>
            <x15:cachedUniqueName index="192" name="[Range].[Date].&amp;[2022-12-29T17:18:35]"/>
            <x15:cachedUniqueName index="193" name="[Range].[Date].&amp;[2023-01-03T15:39:49]"/>
            <x15:cachedUniqueName index="194" name="[Range].[Date].&amp;[2023-01-18T16:03:55]"/>
            <x15:cachedUniqueName index="195" name="[Range].[Date].&amp;[2023-01-25T13:16:17]"/>
            <x15:cachedUniqueName index="196" name="[Range].[Date].&amp;[2023-01-25T13:20:41]"/>
            <x15:cachedUniqueName index="197" name="[Range].[Date].&amp;[2023-01-30T18:02:55]"/>
            <x15:cachedUniqueName index="198" name="[Range].[Date].&amp;[2023-02-07T15:11:30]"/>
            <x15:cachedUniqueName index="199" name="[Range].[Date].&amp;[2023-02-10T11:53:13]"/>
            <x15:cachedUniqueName index="200" name="[Range].[Date].&amp;[2023-02-16T16:37:42]"/>
            <x15:cachedUniqueName index="201" name="[Range].[Date].&amp;[2023-02-27T12:36:42]"/>
            <x15:cachedUniqueName index="202" name="[Range].[Date].&amp;[2023-03-04T12:29:17]"/>
            <x15:cachedUniqueName index="203" name="[Range].[Date].&amp;[2023-03-06T11:13:54]"/>
            <x15:cachedUniqueName index="204" name="[Range].[Date].&amp;[2023-03-09T12:54:54]"/>
            <x15:cachedUniqueName index="205" name="[Range].[Date].&amp;[2023-03-31T13:04:48]"/>
            <x15:cachedUniqueName index="206" name="[Range].[Date].&amp;[2023-04-10T22:33:27]"/>
            <x15:cachedUniqueName index="207" name="[Range].[Date].&amp;[2023-04-10T22:37:09]"/>
            <x15:cachedUniqueName index="208" name="[Range].[Date].&amp;[2023-04-13T19:35:32]"/>
            <x15:cachedUniqueName index="209" name="[Range].[Date].&amp;[2023-04-13T19:36:40]"/>
            <x15:cachedUniqueName index="210" name="[Range].[Date].&amp;[2023-05-03T16:48:26]"/>
            <x15:cachedUniqueName index="211" name="[Range].[Date].&amp;[2023-05-03T16:49:45]"/>
            <x15:cachedUniqueName index="212" name="[Range].[Date].&amp;[2023-05-10T15:56:15]"/>
            <x15:cachedUniqueName index="213" name="[Range].[Date].&amp;[2023-05-12T12:52:04]"/>
            <x15:cachedUniqueName index="214" name="[Range].[Date].&amp;[2023-05-17T13:01:24]"/>
            <x15:cachedUniqueName index="215" name="[Range].[Date].&amp;[2023-05-20T22:40:53]"/>
            <x15:cachedUniqueName index="216" name="[Range].[Date].&amp;[2023-05-30T16:52:22]"/>
            <x15:cachedUniqueName index="217" name="[Range].[Date].&amp;[2023-05-30T16:53:09]"/>
            <x15:cachedUniqueName index="218" name="[Range].[Date].&amp;[2023-06-02T12:44:27]"/>
            <x15:cachedUniqueName index="219" name="[Range].[Date].&amp;[2023-06-02T12:45:31]"/>
            <x15:cachedUniqueName index="220" name="[Range].[Date].&amp;[2023-06-06T19:40:00]"/>
            <x15:cachedUniqueName index="221" name="[Range].[Date].&amp;[2023-06-12T17:25:42]"/>
            <x15:cachedUniqueName index="222" name="[Range].[Date].&amp;[2023-06-17T22:51:44]"/>
            <x15:cachedUniqueName index="223" name="[Range].[Date].&amp;[2023-06-17T22:52:07]"/>
            <x15:cachedUniqueName index="224" name="[Range].[Date].&amp;[2023-06-19T21:39:15]"/>
            <x15:cachedUniqueName index="225" name="[Range].[Date].&amp;[2023-06-22T17:14:25]"/>
            <x15:cachedUniqueName index="226" name="[Range].[Date].&amp;[2023-06-24T18:44:01]"/>
            <x15:cachedUniqueName index="227" name="[Range].[Date].&amp;[2023-06-24T18:45:14]"/>
            <x15:cachedUniqueName index="228" name="[Range].[Date].&amp;[2023-06-29T17:28:58]"/>
            <x15:cachedUniqueName index="229" name="[Range].[Date].&amp;[2023-07-04T17:38:28]"/>
            <x15:cachedUniqueName index="230" name="[Range].[Date].&amp;[2023-07-04T17:40:34]"/>
            <x15:cachedUniqueName index="231" name="[Range].[Date].&amp;[2023-07-14T12:01:00]"/>
            <x15:cachedUniqueName index="232" name="[Range].[Date].&amp;[2023-07-14T12:02:50]"/>
            <x15:cachedUniqueName index="233" name="[Range].[Date].&amp;[2023-07-27T17:38:50]"/>
            <x15:cachedUniqueName index="234" name="[Range].[Date].&amp;[2023-08-07T16:30:38]"/>
            <x15:cachedUniqueName index="235" name="[Range].[Date].&amp;[2023-08-07T16:31:37]"/>
            <x15:cachedUniqueName index="236" name="[Range].[Date].&amp;[2023-08-17T17:36:13]"/>
            <x15:cachedUniqueName index="237" name="[Range].[Date].&amp;[2023-08-24T13:05:08]"/>
            <x15:cachedUniqueName index="238" name="[Range].[Date].&amp;[2023-08-24T13:06:30]"/>
            <x15:cachedUniqueName index="239" name="[Range].[Date].&amp;[2023-09-01T16:23:18]"/>
            <x15:cachedUniqueName index="240" name="[Range].[Date].&amp;[2023-09-11T15:18:15]"/>
            <x15:cachedUniqueName index="241" name="[Range].[Date].&amp;[2023-09-11T15:19:42]"/>
            <x15:cachedUniqueName index="242" name="[Range].[Date].&amp;[2023-09-16T11:48:24]"/>
            <x15:cachedUniqueName index="243" name="[Range].[Date].&amp;[2023-09-18T10:49:41]"/>
            <x15:cachedUniqueName index="244" name="[Range].[Date].&amp;[2023-09-28T13:13:08]"/>
            <x15:cachedUniqueName index="245" name="[Range].[Date].&amp;[2023-09-28T13:13:38]"/>
            <x15:cachedUniqueName index="246" name="[Range].[Date].&amp;[2023-10-09T13:06:14]"/>
            <x15:cachedUniqueName index="247" name="[Range].[Date].&amp;[2023-10-17T13:25:31]"/>
            <x15:cachedUniqueName index="248" name="[Range].[Date].&amp;[2023-10-17T14:27:54]"/>
            <x15:cachedUniqueName index="249" name="[Range].[Date].&amp;[2023-10-26T15:15:13]"/>
            <x15:cachedUniqueName index="250" name="[Range].[Date].&amp;[2023-10-26T15:16:06]"/>
            <x15:cachedUniqueName index="251" name="[Range].[Date].&amp;[2023-11-09T11:57:50]"/>
            <x15:cachedUniqueName index="252" name="[Range].[Date].&amp;[2023-11-14T15:08:47]"/>
            <x15:cachedUniqueName index="253" name="[Range].[Date].&amp;[2023-11-14T15:09:32]"/>
            <x15:cachedUniqueName index="254" name="[Range].[Date].&amp;[2023-11-20T11:32:38]"/>
            <x15:cachedUniqueName index="255" name="[Range].[Date].&amp;[2023-11-20T11:33:25]"/>
            <x15:cachedUniqueName index="256" name="[Range].[Date].&amp;[2023-11-28T15:50:05]"/>
            <x15:cachedUniqueName index="257" name="[Range].[Date].&amp;[2023-11-28T15:51:14]"/>
            <x15:cachedUniqueName index="258" name="[Range].[Date].&amp;[2023-12-08T15:15:34]"/>
            <x15:cachedUniqueName index="259" name="[Range].[Date].&amp;[2023-12-11T14:33:13]"/>
            <x15:cachedUniqueName index="260" name="[Range].[Date].&amp;[2023-12-11T14:34:02]"/>
            <x15:cachedUniqueName index="261" name="[Range].[Date].&amp;[2023-12-15T15:06:34]"/>
            <x15:cachedUniqueName index="262" name="[Range].[Date].&amp;[2023-12-29T16:58:03]"/>
            <x15:cachedUniqueName index="263" name="[Range].[Date].&amp;[2023-12-29T16:59:55]"/>
          </x15:cachedUniqueNames>
        </ext>
      </extLst>
    </cacheField>
    <cacheField name="[Range].[Date (Month)].[Date (Month)]" caption="Date (Month)" numFmtId="0" hierarchy="20" level="1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Range].[Date (Year)].[Date (Year)]" caption="Date (Year)" numFmtId="0" hierarchy="18" level="1">
      <sharedItems count="4">
        <s v="2021"/>
        <s v="2022"/>
        <s v="2023"/>
        <s v="2024"/>
      </sharedItems>
    </cacheField>
    <cacheField name="[Range].[Item].[Item]" caption="Item" numFmtId="0" hierarchy="16" level="1">
      <sharedItems count="3">
        <s v="Beer"/>
        <s v="Liquor"/>
        <s v="-" u="1"/>
      </sharedItems>
    </cacheField>
    <cacheField name="[Measures].[Sum of Sale Amount]" caption="Sum of Sale Amount" numFmtId="0" hierarchy="52" level="32767"/>
  </cacheFields>
  <cacheHierarchies count="56">
    <cacheHierarchy uniqueName="[Range].[Sl No.]" caption="Sl No." attribute="1" defaultMemberUniqueName="[Range].[Sl No.].[All]" allUniqueName="[Range].[Sl No.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Invoice/ MR No.]" caption="Invoice/ MR No." attribute="1" defaultMemberUniqueName="[Range].[Invoice/ MR No.].[All]" allUniqueName="[Range].[Invoice/ MR No.].[All]" dimensionUniqueName="[Range]" displayFolder="" count="0" memberValueDatatype="130" unbalanced="0"/>
    <cacheHierarchy uniqueName="[Range].[Invoice Type]" caption="Invoice Type" attribute="1" defaultMemberUniqueName="[Range].[Invoice Type].[All]" allUniqueName="[Range].[Invoice Type].[All]" dimensionUniqueName="[Range]" displayFolder="" count="0" memberValueDatatype="130" unbalanced="0"/>
    <cacheHierarchy uniqueName="[Range].[Oppening Balance]" caption="Oppening Balance" attribute="1" defaultMemberUniqueName="[Range].[Oppening Balance].[All]" allUniqueName="[Range].[Oppening Balance].[All]" dimensionUniqueName="[Range]" displayFolder="" count="0" memberValueDatatype="5" unbalanced="0"/>
    <cacheHierarchy uniqueName="[Range].[Credit Amount]" caption="Credit Amount" attribute="1" defaultMemberUniqueName="[Range].[Credit Amount].[All]" allUniqueName="[Range].[Credit Amount].[All]" dimensionUniqueName="[Range]" displayFolder="" count="0" memberValueDatatype="20" unbalanced="0"/>
    <cacheHierarchy uniqueName="[Range].[BL]" caption="BL" attribute="1" defaultMemberUniqueName="[Range].[BL].[All]" allUniqueName="[Range].[BL].[All]" dimensionUniqueName="[Range]" displayFolder="" count="0" memberValueDatatype="5" unbalanced="0"/>
    <cacheHierarchy uniqueName="[Range].[LPL]" caption="LPL" attribute="1" defaultMemberUniqueName="[Range].[LPL].[All]" allUniqueName="[Range].[LPL].[All]" dimensionUniqueName="[Range]" displayFolder="" count="0" memberValueDatatype="5" unbalanced="0"/>
    <cacheHierarchy uniqueName="[Range].[Sale Amount]" caption="Sale Amount" attribute="1" defaultMemberUniqueName="[Range].[Sale Amount].[All]" allUniqueName="[Range].[Sale Amount].[All]" dimensionUniqueName="[Range]" displayFolder="" count="0" memberValueDatatype="5" unbalanced="0"/>
    <cacheHierarchy uniqueName="[Range].[VAT]" caption="VAT" attribute="1" defaultMemberUniqueName="[Range].[VAT].[All]" allUniqueName="[Range].[VAT].[All]" dimensionUniqueName="[Range]" displayFolder="" count="0" memberValueDatatype="5" unbalanced="0"/>
    <cacheHierarchy uniqueName="[Range].[TCS]" caption="TCS" attribute="1" defaultMemberUniqueName="[Range].[TCS].[All]" allUniqueName="[Range].[TCS].[All]" dimensionUniqueName="[Range]" displayFolder="" count="0" memberValueDatatype="5" unbalanced="0"/>
    <cacheHierarchy uniqueName="[Range].[Grand Total]" caption="Grand Total" attribute="1" defaultMemberUniqueName="[Range].[Grand Total].[All]" allUniqueName="[Range].[Grand Total].[All]" dimensionUniqueName="[Range]" displayFolder="" count="0" memberValueDatatype="5" unbalanced="0"/>
    <cacheHierarchy uniqueName="[Range].[Closing Balance]" caption="Closing Balance" attribute="1" defaultMemberUniqueName="[Range].[Closing Balance].[All]" allUniqueName="[Range].[Closing Balance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VAT %]" caption="VAT %" attribute="1" defaultMemberUniqueName="[Range].[VAT %].[All]" allUniqueName="[Range].[VAT %].[All]" dimensionUniqueName="[Range]" displayFolder="" count="0" memberValueDatatype="5" unbalanced="0"/>
    <cacheHierarchy uniqueName="[Range].[TCS %]" caption="TCS %" attribute="1" defaultMemberUniqueName="[Range].[TCS %].[All]" allUniqueName="[Range].[TCS %].[All]" dimensionUniqueName="[Range]" displayFolder="" count="0" memberValueDatatype="5" unbalanced="0"/>
    <cacheHierarchy uniqueName="[Range].[Item]" caption="Item" attribute="1" defaultMemberUniqueName="[Range].[Item].[All]" allUniqueName="[Range].[Item].[All]" dimensionUniqueName="[Range]" displayFolder="" count="2" memberValueDatatype="130" unbalanced="0">
      <fieldsUsage count="2">
        <fieldUsage x="-1"/>
        <fieldUsage x="3"/>
      </fieldsUsage>
    </cacheHierarchy>
    <cacheHierarchy uniqueName="[Range].[Liters]" caption="Liters" attribute="1" defaultMemberUniqueName="[Range].[Liters].[All]" allUniqueName="[Range].[Liters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Sl No.]" caption="Sl No." attribute="1" defaultMemberUniqueName="[Range 1].[Sl No.].[All]" allUniqueName="[Range 1].[Sl No.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Invoice/ MR No.]" caption="Invoice/ MR No." attribute="1" defaultMemberUniqueName="[Range 1].[Invoice/ MR No.].[All]" allUniqueName="[Range 1].[Invoice/ MR No.].[All]" dimensionUniqueName="[Range 1]" displayFolder="" count="0" memberValueDatatype="130" unbalanced="0"/>
    <cacheHierarchy uniqueName="[Range 1].[Invoice Type]" caption="Invoice Type" attribute="1" defaultMemberUniqueName="[Range 1].[Invoice Type].[All]" allUniqueName="[Range 1].[Invoice Type].[All]" dimensionUniqueName="[Range 1]" displayFolder="" count="0" memberValueDatatype="130" unbalanced="0"/>
    <cacheHierarchy uniqueName="[Range 1].[Oppening Balance]" caption="Oppening Balance" attribute="1" defaultMemberUniqueName="[Range 1].[Oppening Balance].[All]" allUniqueName="[Range 1].[Oppening Balance].[All]" dimensionUniqueName="[Range 1]" displayFolder="" count="0" memberValueDatatype="5" unbalanced="0"/>
    <cacheHierarchy uniqueName="[Range 1].[Credit Amount]" caption="Credit Amount" attribute="1" defaultMemberUniqueName="[Range 1].[Credit Amount].[All]" allUniqueName="[Range 1].[Credit Amount].[All]" dimensionUniqueName="[Range 1]" displayFolder="" count="0" memberValueDatatype="20" unbalanced="0"/>
    <cacheHierarchy uniqueName="[Range 1].[BL]" caption="BL" attribute="1" defaultMemberUniqueName="[Range 1].[BL].[All]" allUniqueName="[Range 1].[BL].[All]" dimensionUniqueName="[Range 1]" displayFolder="" count="0" memberValueDatatype="5" unbalanced="0"/>
    <cacheHierarchy uniqueName="[Range 1].[LPL]" caption="LPL" attribute="1" defaultMemberUniqueName="[Range 1].[LPL].[All]" allUniqueName="[Range 1].[LPL].[All]" dimensionUniqueName="[Range 1]" displayFolder="" count="0" memberValueDatatype="5" unbalanced="0"/>
    <cacheHierarchy uniqueName="[Range 1].[Sale Amount]" caption="Sale Amount" attribute="1" defaultMemberUniqueName="[Range 1].[Sale Amount].[All]" allUniqueName="[Range 1].[Sale Amount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TCS]" caption="TCS" attribute="1" defaultMemberUniqueName="[Range 1].[TCS].[All]" allUniqueName="[Range 1].[TCS].[All]" dimensionUniqueName="[Range 1]" displayFolder="" count="0" memberValueDatatype="5" unbalanced="0"/>
    <cacheHierarchy uniqueName="[Range 1].[Grand Total]" caption="Grand Total" attribute="1" defaultMemberUniqueName="[Range 1].[Grand Total].[All]" allUniqueName="[Range 1].[Grand Total].[All]" dimensionUniqueName="[Range 1]" displayFolder="" count="0" memberValueDatatype="5" unbalanced="0"/>
    <cacheHierarchy uniqueName="[Range 1].[Closing Balance]" caption="Closing Balance" attribute="1" defaultMemberUniqueName="[Range 1].[Closing Balance].[All]" allUniqueName="[Range 1].[Closing Balance].[All]" dimensionUniqueName="[Range 1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VAT %]" caption="VAT %" attribute="1" defaultMemberUniqueName="[Range 1].[VAT %].[All]" allUniqueName="[Range 1].[VAT %].[All]" dimensionUniqueName="[Range 1]" displayFolder="" count="0" memberValueDatatype="5" unbalanced="0"/>
    <cacheHierarchy uniqueName="[Range 1].[TCS %]" caption="TCS %" attribute="1" defaultMemberUniqueName="[Range 1].[TCS %].[All]" allUniqueName="[Range 1].[TCS %].[All]" dimensionUniqueName="[Range 1]" displayFolder="" count="0" memberValueDatatype="5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Liters]" caption="Liters" attribute="1" defaultMemberUniqueName="[Range 1].[Liters].[All]" allUniqueName="[Range 1].[Liters].[All]" dimensionUniqueName="[Range 1]" displayFolder="" count="0" memberValueDatatype="5" unbalanced="0"/>
    <cacheHierarchy uniqueName="[Range 1].[CHECK]" caption="CHECK" attribute="1" defaultMemberUniqueName="[Range 1].[CHECK].[All]" allUniqueName="[Range 1].[CHECK].[All]" dimensionUniqueName="[Range 1]" displayFolder="" count="0" memberValueDatatype="11" unbalanced="0"/>
    <cacheHierarchy uniqueName="[Range 1].[Date (Year)]" caption="Date (Year)" attribute="1" defaultMemberUniqueName="[Range 1].[Date (Year)].[All]" allUniqueName="[Range 1].[Date (Year)].[All]" dimensionUniqueName="[Range 1]" displayFolder="" count="0" memberValueDatatype="130" unbalanced="0"/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Liters]" caption="Sum of Liters" measure="1" displayFolder="" measureGroup="Range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Liters]" caption="Count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 2]" caption="Sum of Liters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Grand Total]" caption="Sum of Grand Tota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 Amount]" caption="Sum of Sale Amount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AT]" caption="Sum of VA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CS]" caption="Sum of TC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redit Amount]" caption="Sum of Credit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22839316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A8148-ED8A-425A-B9EB-22F5E6720179}" name="PivotChar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D43" firstHeaderRow="1" firstDataRow="2" firstDataCol="1"/>
  <pivotFields count="5">
    <pivotField axis="axisRow" allDrilled="1" subtotalTop="0" showAll="0" dataSourceSort="1" defaultSubtotal="0" defaultAttributeDrillState="1">
      <items count="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</pivotFields>
  <rowFields count="3">
    <field x="2"/>
    <field x="1"/>
    <field x="0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 Amount" fld="4" baseField="0" baseItem="0"/>
  </dataFields>
  <chartFormats count="9">
    <chartFormat chart="0" format="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3">
    <rowHierarchyUsage hierarchyUsage="18"/>
    <rowHierarchyUsage hierarchyUsage="20"/>
    <rowHierarchyUsage hierarchyUsage="1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1" columnCount="3" cacheId="228393168"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203571.25</x15:v>
          </x15:c>
          <x15:c>
            <x15:v>476507.92</x15:v>
          </x15:c>
          <x15:c>
            <x15:v>680079.17</x15:v>
          </x15:c>
        </x15:pivotRow>
        <x15:pivotRow count="3">
          <x15:c>
            <x15:v>466507.54</x15:v>
          </x15:c>
          <x15:c>
            <x15:v>1681389.12</x15:v>
          </x15:c>
          <x15:c>
            <x15:v>2147896.66</x15:v>
          </x15:c>
        </x15:pivotRow>
        <x15:pivotRow count="3">
          <x15:c>
            <x15:v>121349.09</x15:v>
          </x15:c>
          <x15:c>
            <x15:v>926508.09</x15:v>
          </x15:c>
          <x15:c>
            <x15:v>1047857.18</x15:v>
          </x15:c>
        </x15:pivotRow>
        <x15:pivotRow count="3">
          <x15:c>
            <x15:v>214047.56</x15:v>
          </x15:c>
          <x15:c>
            <x15:v>1189524</x15:v>
          </x15:c>
          <x15:c>
            <x15:v>1403571.56</x15:v>
          </x15:c>
        </x15:pivotRow>
        <x15:pivotRow count="3">
          <x15:c>
            <x15:v>115714.21</x15:v>
          </x15:c>
          <x15:c>
            <x15:v>785238.15</x15:v>
          </x15:c>
          <x15:c>
            <x15:v>900952.36</x15:v>
          </x15:c>
        </x15:pivotRow>
        <x15:pivotRow count="3">
          <x15:c>
            <x15:v>112857.09</x15:v>
          </x15:c>
          <x15:c>
            <x15:v>859126.95</x15:v>
          </x15:c>
          <x15:c>
            <x15:v>971984.04</x15:v>
          </x15:c>
        </x15:pivotRow>
        <x15:pivotRow count="3">
          <x15:c>
            <x15:v>248174.6</x15:v>
          </x15:c>
          <x15:c>
            <x15:v>1917052.48</x15:v>
          </x15:c>
          <x15:c>
            <x15:v>2165227.08</x15:v>
          </x15:c>
        </x15:pivotRow>
        <x15:pivotRow count="3">
          <x15:c>
            <x15:v>178333.33</x15:v>
          </x15:c>
          <x15:c>
            <x15:v>2084099.71</x15:v>
          </x15:c>
          <x15:c>
            <x15:v>2262433.04</x15:v>
          </x15:c>
        </x15:pivotRow>
        <x15:pivotRow count="3">
          <x15:c>
            <x15:v>140793.57999999999</x15:v>
          </x15:c>
          <x15:c>
            <x15:v>2318479.4</x15:v>
          </x15:c>
          <x15:c>
            <x15:v>2459272.98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81904.72</x15:v>
          </x15:c>
          <x15:c>
            <x15:v>761964.38</x15:v>
          </x15:c>
          <x15:c>
            <x15:v>843869.1</x15:v>
          </x15:c>
        </x15:pivotRow>
        <x15:pivotRow count="3">
          <x15:c>
            <x15:v>99999.98</x15:v>
          </x15:c>
          <x15:c>
            <x15:v>152182.57</x15:v>
          </x15:c>
          <x15:c>
            <x15:v>252182.55</x15:v>
          </x15:c>
        </x15:pivotRow>
        <x15:pivotRow count="3">
          <x15:c>
            <x15:v>174761.83</x15:v>
          </x15:c>
          <x15:c>
            <x15:v>153412.71</x15:v>
          </x15:c>
          <x15:c>
            <x15:v>328174.53999999998</x15:v>
          </x15:c>
        </x15:pivotRow>
        <x15:pivotRow count="3">
          <x15:c>
            <x15:v>206507.93</x15:v>
          </x15:c>
          <x15:c>
            <x15:v>159850.54</x15:v>
          </x15:c>
          <x15:c>
            <x15:v>366358.47</x15:v>
          </x15:c>
        </x15:pivotRow>
        <x15:pivotRow count="3">
          <x15:c>
            <x15:v>598412.6</x15:v>
          </x15:c>
          <x15:c>
            <x15:v>489910.97</x15:v>
          </x15:c>
          <x15:c>
            <x15:v>1088323.57</x15:v>
          </x15:c>
        </x15:pivotRow>
        <x15:pivotRow count="3">
          <x15:c>
            <x15:v>632381.4</x15:v>
          </x15:c>
          <x15:c>
            <x15:v>219127.04000000001</x15:v>
          </x15:c>
          <x15:c>
            <x15:v>851508.44</x15:v>
          </x15:c>
        </x15:pivotRow>
        <x15:pivotRow count="3">
          <x15:c>
            <x15:v>121349.39</x15:v>
          </x15:c>
          <x15:c>
            <x15:v>748479.61</x15:v>
          </x15:c>
          <x15:c>
            <x15:v>869829</x15:v>
          </x15:c>
        </x15:pivotRow>
        <x15:pivotRow count="3">
          <x15:c>
            <x15:v>284841.55</x15:v>
          </x15:c>
          <x15:c>
            <x15:v>488323.6</x15:v>
          </x15:c>
          <x15:c>
            <x15:v>773165.15</x15:v>
          </x15:c>
        </x15:pivotRow>
        <x15:pivotRow count="3">
          <x15:c>
            <x15:v>268492.40999999997</x15:v>
          </x15:c>
          <x15:c>
            <x15:v>742747.72</x15:v>
          </x15:c>
          <x15:c>
            <x15:v>1011240.13</x15:v>
          </x15:c>
        </x15:pivotRow>
        <x15:pivotRow count="3">
          <x15:c>
            <x15:v>74047.7</x15:v>
          </x15:c>
          <x15:c>
            <x15:v>554047.78</x15:v>
          </x15:c>
          <x15:c>
            <x15:v>628095.48</x15:v>
          </x15:c>
        </x15:pivotRow>
        <x15:pivotRow count="3">
          <x15:c>
            <x15:v>99841.34</x15:v>
          </x15:c>
          <x15:c>
            <x15:v>897899.26</x15:v>
          </x15:c>
          <x15:c>
            <x15:v>997740.6</x15:v>
          </x15:c>
        </x15:pivotRow>
        <x15:pivotRow count="3">
          <x15:c>
            <x15:v>102619.13</x15:v>
          </x15:c>
          <x15:c>
            <x15:v>879458.27</x15:v>
          </x15:c>
          <x15:c>
            <x15:v>982077.4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100476.24</x15:v>
          </x15:c>
          <x15:c>
            <x15:v>733705.1</x15:v>
          </x15:c>
          <x15:c>
            <x15:v>834181.34</x15:v>
          </x15:c>
        </x15:pivotRow>
        <x15:pivotRow count="3">
          <x15:c>
            <x15:v>87222.36</x15:v>
          </x15:c>
          <x15:c>
            <x15:v>529938.96</x15:v>
          </x15:c>
          <x15:c>
            <x15:v>617161.31999999995</x15:v>
          </x15:c>
        </x15:pivotRow>
        <x15:pivotRow count="3">
          <x15:c>
            <x15:v>98333.48</x15:v>
          </x15:c>
          <x15:c>
            <x15:v>497488.97</x15:v>
          </x15:c>
          <x15:c>
            <x15:v>595822.44999999995</x15:v>
          </x15:c>
        </x15:pivotRow>
        <x15:pivotRow count="3">
          <x15:c>
            <x15:v>332778.21999999997</x15:v>
          </x15:c>
          <x15:c>
            <x15:v>437734.65</x15:v>
          </x15:c>
          <x15:c>
            <x15:v>770512.87</x15:v>
          </x15:c>
        </x15:pivotRow>
        <x15:pivotRow count="3">
          <x15:c>
            <x15:v>401746.27</x15:v>
          </x15:c>
          <x15:c>
            <x15:v>440238.82</x15:v>
          </x15:c>
          <x15:c>
            <x15:v>841985.09</x15:v>
          </x15:c>
        </x15:pivotRow>
        <x15:pivotRow count="3">
          <x15:c>
            <x15:v>562222.98</x15:v>
          </x15:c>
          <x15:c>
            <x15:v>657328.26</x15:v>
          </x15:c>
          <x15:c>
            <x15:v>1219551.24</x15:v>
          </x15:c>
        </x15:pivotRow>
        <x15:pivotRow count="3">
          <x15:c>
            <x15:v>173809.61</x15:v>
          </x15:c>
          <x15:c>
            <x15:v>558885.68999999994</x15:v>
          </x15:c>
          <x15:c>
            <x15:v>732695.3</x15:v>
          </x15:c>
        </x15:pivotRow>
        <x15:pivotRow count="3">
          <x15:c>
            <x15:v>129444.57</x15:v>
          </x15:c>
          <x15:c>
            <x15:v>478538.91</x15:v>
          </x15:c>
          <x15:c>
            <x15:v>607983.48</x15:v>
          </x15:c>
        </x15:pivotRow>
        <x15:pivotRow count="3">
          <x15:c>
            <x15:v>161507.91</x15:v>
          </x15:c>
          <x15:c>
            <x15:v>612677.59</x15:v>
          </x15:c>
          <x15:c>
            <x15:v>774185.5</x15:v>
          </x15:c>
        </x15:pivotRow>
        <x15:pivotRow count="3">
          <x15:c>
            <x15:v>151904.82</x15:v>
          </x15:c>
          <x15:c>
            <x15:v>377247.01</x15:v>
          </x15:c>
          <x15:c>
            <x15:v>529151.82999999996</x15:v>
          </x15:c>
        </x15:pivotRow>
        <x15:pivotRow count="3">
          <x15:c>
            <x15:v>122380.97</x15:v>
          </x15:c>
          <x15:c>
            <x15:v>538363.31000000006</x15:v>
          </x15:c>
          <x15:c>
            <x15:v>660744.28</x15:v>
          </x15:c>
        </x15:pivotRow>
        <x15:pivotRow count="3">
          <x15:c>
            <x15:v>104047.67999999999</x15:v>
          </x15:c>
          <x15:c>
            <x15:v>506856.63</x15:v>
          </x15:c>
          <x15:c>
            <x15:v>610904.31000000006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113333.32</x15:v>
          </x15:c>
          <x15:c>
            <x15:v>509366.1</x15:v>
          </x15:c>
          <x15:c>
            <x15:v>622699.42000000004</x15:v>
          </x15:c>
        </x15:pivotRow>
        <x15:pivotRow count="3">
          <x15:c>
            <x15:v>113888.99</x15:v>
          </x15:c>
          <x15:c>
            <x15:v>522800.96</x15:v>
          </x15:c>
          <x15:c>
            <x15:v>636689.94999999995</x15:v>
          </x15:c>
        </x15:pivotRow>
        <x15:pivotRow count="3">
          <x15:c>
            <x15:v>161031.97</x15:v>
          </x15:c>
          <x15:c>
            <x15:v>700603.93</x15:v>
          </x15:c>
          <x15:c>
            <x15:v>861635.9</x15:v>
          </x15:c>
        </x15:pivotRow>
        <x15:pivotRow count="3">
          <x15:c>
            <x15:v>7360637.6200000001</x15:v>
          </x15:c>
          <x15:c>
            <x15:v>26587105.16</x15:v>
          </x15:c>
          <x15:c>
            <x15:v>33947742.780000001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Combined!$A$1:$R$5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45B42-BC17-406C-AD0A-2B1B089AB78F}" name="PivotChartTable1" cacheId="5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3">
  <location ref="A1:D43" firstHeaderRow="1" firstDataRow="2" firstDataCol="1"/>
  <pivotFields count="5">
    <pivotField axis="axisRow" allDrilled="1" subtotalTop="0" showAll="0" dataSourceSort="1" defaultSubtotal="0" defaultAttributeDrillState="1">
      <items count="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</pivotFields>
  <rowFields count="3">
    <field x="2"/>
    <field x="1"/>
    <field x="0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Liters" fld="4" baseField="0" baseItem="0"/>
  </dataFields>
  <chartFormats count="9">
    <chartFormat chart="0" format="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3">
    <rowHierarchyUsage hierarchyUsage="19"/>
    <rowHierarchyUsage hierarchyUsage="21"/>
    <rowHierarchyUsage hierarchyUsage="1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1" columnCount="3" cacheId="1482308994"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1372.1999999999998</x15:v>
          </x15:c>
          <x15:c>
            <x15:v>800.27999999999986</x15:v>
          </x15:c>
          <x15:c>
            <x15:v>2172.48</x15:v>
          </x15:c>
        </x15:pivotRow>
        <x15:pivotRow count="3">
          <x15:c>
            <x15:v>2992.2</x15:v>
          </x15:c>
          <x15:c>
            <x15:v>2741.5866666666666</x15:v>
          </x15:c>
          <x15:c>
            <x15:v>5733.7866666666669</x15:v>
          </x15:c>
        </x15:pivotRow>
        <x15:pivotRow count="3">
          <x15:c>
            <x15:v>808.2</x15:v>
          </x15:c>
          <x15:c>
            <x15:v>1493.1066666666666</x15:v>
          </x15:c>
          <x15:c>
            <x15:v>2301.3066666666664</x15:v>
          </x15:c>
        </x15:pivotRow>
        <x15:pivotRow count="3">
          <x15:c>
            <x15:v>1393.8</x15:v>
          </x15:c>
          <x15:c>
            <x15:v>1912.5066666666667</x15:v>
          </x15:c>
          <x15:c>
            <x15:v>3306.3066666666668</x15:v>
          </x15:c>
        </x15:pivotRow>
        <x15:pivotRow count="3">
          <x15:c>
            <x15:v>744.6</x15:v>
          </x15:c>
          <x15:c>
            <x15:v>1288.08</x15:v>
          </x15:c>
          <x15:c>
            <x15:v>2032.6799999999996</x15:v>
          </x15:c>
        </x15:pivotRow>
        <x15:pivotRow count="3">
          <x15:c>
            <x15:v>719.4</x15:v>
          </x15:c>
          <x15:c>
            <x15:v>1406.8799999999999</x15:v>
          </x15:c>
          <x15:c>
            <x15:v>2126.2800000000002</x15:v>
          </x15:c>
        </x15:pivotRow>
        <x15:pivotRow count="3">
          <x15:c>
            <x15:v>1528.2</x15:v>
          </x15:c>
          <x15:c>
            <x15:v>2872.6533333333336</x15:v>
          </x15:c>
          <x15:c>
            <x15:v>4400.8533333333335</x15:v>
          </x15:c>
        </x15:pivotRow>
        <x15:pivotRow count="3">
          <x15:c>
            <x15:v>1114.8000000000002</x15:v>
          </x15:c>
          <x15:c>
            <x15:v>3235.5999999999995</x15:v>
          </x15:c>
          <x15:c>
            <x15:v>4350.3999999999996</x15:v>
          </x15:c>
        </x15:pivotRow>
        <x15:pivotRow count="3">
          <x15:c>
            <x15:v>861.6</x15:v>
          </x15:c>
          <x15:c>
            <x15:v>3552.2533333333336</x15:v>
          </x15:c>
          <x15:c>
            <x15:v>4413.8533333333335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510</x15:v>
          </x15:c>
          <x15:c>
            <x15:v>1185.7333333333336</x15:v>
          </x15:c>
          <x15:c>
            <x15:v>1695.7333333333333</x15:v>
          </x15:c>
        </x15:pivotRow>
        <x15:pivotRow count="3">
          <x15:c>
            <x15:v>634.20000000000005</x15:v>
          </x15:c>
          <x15:c>
            <x15:v>225</x15:v>
          </x15:c>
          <x15:c>
            <x15:v>859.2</x15:v>
          </x15:c>
        </x15:pivotRow>
        <x15:pivotRow count="3">
          <x15:c>
            <x15:v>1050</x15:v>
          </x15:c>
          <x15:c>
            <x15:v>250.66666666666666</x15:v>
          </x15:c>
          <x15:c>
            <x15:v>1300.6666666666667</x15:v>
          </x15:c>
        </x15:pivotRow>
        <x15:pivotRow count="3">
          <x15:c>
            <x15:v>1320.72</x15:v>
          </x15:c>
          <x15:c>
            <x15:v>232.30666666666664</x15:v>
          </x15:c>
          <x15:c>
            <x15:v>1553.0266666666666</x15:v>
          </x15:c>
        </x15:pivotRow>
        <x15:pivotRow count="3">
          <x15:c>
            <x15:v>3777.7200000000003</x15:v>
          </x15:c>
          <x15:c>
            <x15:v>755.4666666666667</x15:v>
          </x15:c>
          <x15:c>
            <x15:v>4533.1866666666665</x15:v>
          </x15:c>
        </x15:pivotRow>
        <x15:pivotRow count="3">
          <x15:c>
            <x15:v>4026.9600000000005</x15:v>
          </x15:c>
          <x15:c>
            <x15:v>344.52</x15:v>
          </x15:c>
          <x15:c>
            <x15:v>4371.4800000000005</x15:v>
          </x15:c>
        </x15:pivotRow>
        <x15:pivotRow count="3">
          <x15:c>
            <x15:v>736.2</x15:v>
          </x15:c>
          <x15:c>
            <x15:v>1126.8</x15:v>
          </x15:c>
          <x15:c>
            <x15:v>1863</x15:v>
          </x15:c>
        </x15:pivotRow>
        <x15:pivotRow count="3">
          <x15:c>
            <x15:v>1690.92</x15:v>
          </x15:c>
          <x15:c>
            <x15:v>718.76</x15:v>
          </x15:c>
          <x15:c>
            <x15:v>2409.6799999999998</x15:v>
          </x15:c>
        </x15:pivotRow>
        <x15:pivotRow count="3">
          <x15:c>
            <x15:v>1621.56</x15:v>
          </x15:c>
          <x15:c>
            <x15:v>1132.9333333333334</x15:v>
          </x15:c>
          <x15:c>
            <x15:v>2754.4933333333333</x15:v>
          </x15:c>
        </x15:pivotRow>
        <x15:pivotRow count="3">
          <x15:c>
            <x15:v>444.72</x15:v>
          </x15:c>
          <x15:c>
            <x15:v>846.81333333333339</x15:v>
          </x15:c>
          <x15:c>
            <x15:v>1291.5333333333333</x15:v>
          </x15:c>
        </x15:pivotRow>
        <x15:pivotRow count="3">
          <x15:c>
            <x15:v>582</x15:v>
          </x15:c>
          <x15:c>
            <x15:v>1382.1333333333334</x15:v>
          </x15:c>
          <x15:c>
            <x15:v>1964.1333333333334</x15:v>
          </x15:c>
        </x15:pivotRow>
        <x15:pivotRow count="3">
          <x15:c>
            <x15:v>621</x15:v>
          </x15:c>
          <x15:c>
            <x15:v>1289.32</x15:v>
          </x15:c>
          <x15:c>
            <x15:v>1910.32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606</x15:v>
          </x15:c>
          <x15:c>
            <x15:v>1116.1466666666665</x15:v>
          </x15:c>
          <x15:c>
            <x15:v>1722.1466666666665</x15:v>
          </x15:c>
        </x15:pivotRow>
        <x15:pivotRow count="3">
          <x15:c>
            <x15:v>532.20000000000005</x15:v>
          </x15:c>
          <x15:c>
            <x15:v>779.59999999999991</x15:v>
          </x15:c>
          <x15:c>
            <x15:v>1311.8</x15:v>
          </x15:c>
        </x15:pivotRow>
        <x15:pivotRow count="3">
          <x15:c>
            <x15:v>600.6</x15:v>
          </x15:c>
          <x15:c>
            <x15:v>747.4</x15:v>
          </x15:c>
          <x15:c>
            <x15:v>1348</x15:v>
          </x15:c>
        </x15:pivotRow>
        <x15:pivotRow count="3">
          <x15:c>
            <x15:v>2014.2</x15:v>
          </x15:c>
          <x15:c>
            <x15:v>595.52</x15:v>
          </x15:c>
          <x15:c>
            <x15:v>2609.7200000000003</x15:v>
          </x15:c>
        </x15:pivotRow>
        <x15:pivotRow count="3">
          <x15:c>
            <x15:v>2413.8000000000002</x15:v>
          </x15:c>
          <x15:c>
            <x15:v>567.01333333333332</x15:v>
          </x15:c>
          <x15:c>
            <x15:v>2980.8133333333335</x15:v>
          </x15:c>
        </x15:pivotRow>
        <x15:pivotRow count="3">
          <x15:c>
            <x15:v>3464.4</x15:v>
          </x15:c>
          <x15:c>
            <x15:v>925.31999999999994</x15:v>
          </x15:c>
          <x15:c>
            <x15:v>4389.72</x15:v>
          </x15:c>
        </x15:pivotRow>
        <x15:pivotRow count="3">
          <x15:c>
            <x15:v>1023</x15:v>
          </x15:c>
          <x15:c>
            <x15:v>815.16000000000008</x15:v>
          </x15:c>
          <x15:c>
            <x15:v>1838.16</x15:v>
          </x15:c>
        </x15:pivotRow>
        <x15:pivotRow count="3">
          <x15:c>
            <x15:v>818.4</x15:v>
          </x15:c>
          <x15:c>
            <x15:v>688.13333333333333</x15:v>
          </x15:c>
          <x15:c>
            <x15:v>1506.5333333333333</x15:v>
          </x15:c>
        </x15:pivotRow>
        <x15:pivotRow count="3">
          <x15:c>
            <x15:v>922.8</x15:v>
          </x15:c>
          <x15:c>
            <x15:v>873.14666666666665</x15:v>
          </x15:c>
          <x15:c>
            <x15:v>1795.9466666666669</x15:v>
          </x15:c>
        </x15:pivotRow>
        <x15:pivotRow count="3">
          <x15:c>
            <x15:v>850.2</x15:v>
          </x15:c>
          <x15:c>
            <x15:v>556.80000000000007</x15:v>
          </x15:c>
          <x15:c>
            <x15:v>1407</x15:v>
          </x15:c>
        </x15:pivotRow>
        <x15:pivotRow count="3">
          <x15:c>
            <x15:v>697.8</x15:v>
          </x15:c>
          <x15:c>
            <x15:v>745.73333333333335</x15:v>
          </x15:c>
          <x15:c>
            <x15:v>1443.5333333333333</x15:v>
          </x15:c>
        </x15:pivotRow>
        <x15:pivotRow count="3">
          <x15:c>
            <x15:v>582</x15:v>
          </x15:c>
          <x15:c>
            <x15:v>685.16</x15:v>
          </x15:c>
          <x15:c>
            <x15:v>1267.1600000000001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621.6</x15:v>
          </x15:c>
          <x15:c>
            <x15:v>732.41333333333341</x15:v>
          </x15:c>
          <x15:c>
            <x15:v>1354.0133333333333</x15:v>
          </x15:c>
        </x15:pivotRow>
        <x15:pivotRow count="3">
          <x15:c>
            <x15:v>704.4</x15:v>
          </x15:c>
          <x15:c>
            <x15:v>752.0533333333334</x15:v>
          </x15:c>
          <x15:c>
            <x15:v>1456.4533333333331</x15:v>
          </x15:c>
        </x15:pivotRow>
        <x15:pivotRow count="3">
          <x15:c>
            <x15:v>979.2</x15:v>
          </x15:c>
          <x15:c>
            <x15:v>962.01333333333332</x15:v>
          </x15:c>
          <x15:c>
            <x15:v>1941.2133333333334</x15:v>
          </x15:c>
        </x15:pivotRow>
        <x15:pivotRow count="3">
          <x15:c>
            <x15:v>45381.599999999999</x15:v>
          </x15:c>
          <x15:c>
            <x15:v>40335.013333333321</x15:v>
          </x15:c>
          <x15:c>
            <x15:v>85716.613333333327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Combined!$A$1:$S$52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FF29-6CBA-46D2-99CC-5EFF09972526}">
  <dimension ref="A1:O521"/>
  <sheetViews>
    <sheetView tabSelected="1" workbookViewId="0">
      <selection activeCell="N1" sqref="N1"/>
    </sheetView>
  </sheetViews>
  <sheetFormatPr defaultRowHeight="14.4" x14ac:dyDescent="0.3"/>
  <cols>
    <col min="1" max="1" width="10.33203125" bestFit="1" customWidth="1"/>
    <col min="2" max="2" width="11.21875" bestFit="1" customWidth="1"/>
    <col min="3" max="3" width="16.5546875" bestFit="1" customWidth="1"/>
    <col min="4" max="4" width="13.77734375" bestFit="1" customWidth="1"/>
    <col min="5" max="6" width="8" bestFit="1" customWidth="1"/>
    <col min="7" max="8" width="12.77734375" bestFit="1" customWidth="1"/>
    <col min="9" max="9" width="11.33203125" bestFit="1" customWidth="1"/>
    <col min="10" max="10" width="13.88671875" bestFit="1" customWidth="1"/>
    <col min="11" max="11" width="14.6640625" bestFit="1" customWidth="1"/>
    <col min="12" max="12" width="7" bestFit="1" customWidth="1"/>
    <col min="13" max="13" width="6.77734375" bestFit="1" customWidth="1"/>
    <col min="14" max="14" width="10" bestFit="1" customWidth="1"/>
    <col min="15" max="15" width="12.77734375" bestFit="1" customWidth="1"/>
  </cols>
  <sheetData>
    <row r="1" spans="1:15" x14ac:dyDescent="0.3">
      <c r="A1" s="1" t="s">
        <v>0</v>
      </c>
      <c r="B1" s="5" t="s">
        <v>1</v>
      </c>
      <c r="C1" s="8" t="s">
        <v>4</v>
      </c>
      <c r="D1" s="8" t="s">
        <v>5</v>
      </c>
      <c r="E1" s="5" t="s">
        <v>6</v>
      </c>
      <c r="F1" s="5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11" t="s">
        <v>12</v>
      </c>
      <c r="L1" s="17" t="s">
        <v>13</v>
      </c>
      <c r="M1" s="17" t="s">
        <v>14</v>
      </c>
      <c r="N1" s="17" t="s">
        <v>16</v>
      </c>
      <c r="O1" s="18" t="s">
        <v>15</v>
      </c>
    </row>
    <row r="2" spans="1:15" x14ac:dyDescent="0.3">
      <c r="A2" s="2">
        <v>44302.395162037035</v>
      </c>
      <c r="B2" s="6" t="s">
        <v>2</v>
      </c>
      <c r="C2" s="9">
        <v>1204.54</v>
      </c>
      <c r="D2" s="9">
        <v>40000</v>
      </c>
      <c r="E2" s="6">
        <v>0</v>
      </c>
      <c r="F2" s="6">
        <v>0</v>
      </c>
      <c r="G2" s="9">
        <v>0</v>
      </c>
      <c r="H2" s="9">
        <v>0</v>
      </c>
      <c r="I2" s="9">
        <v>0</v>
      </c>
      <c r="J2" s="9">
        <v>0</v>
      </c>
      <c r="K2" s="12">
        <v>41204.54</v>
      </c>
      <c r="L2" s="13">
        <f>IFERROR(H2/$G2,0)</f>
        <v>0</v>
      </c>
      <c r="M2" s="15">
        <f>IFERROR(I2/$G2,0)</f>
        <v>0</v>
      </c>
      <c r="N2" s="15" t="str">
        <f>IF($E2&lt;&gt;0,"Beer",IF($F2&lt;&gt;0,"Liquor","-"))</f>
        <v>-</v>
      </c>
      <c r="O2" s="16">
        <f>IF($E2&lt;&gt;0,$E2,IF($F2&lt;&gt;0,$F2/0.75,0))</f>
        <v>0</v>
      </c>
    </row>
    <row r="3" spans="1:15" x14ac:dyDescent="0.3">
      <c r="A3" s="2">
        <v>44302.476805555554</v>
      </c>
      <c r="B3" s="6" t="s">
        <v>3</v>
      </c>
      <c r="C3" s="9">
        <v>41204.54</v>
      </c>
      <c r="D3" s="9">
        <v>0</v>
      </c>
      <c r="E3" s="6">
        <v>0</v>
      </c>
      <c r="F3" s="6">
        <v>39.69</v>
      </c>
      <c r="G3" s="9">
        <v>29047.599999999999</v>
      </c>
      <c r="H3" s="9">
        <v>10166.66</v>
      </c>
      <c r="I3" s="9">
        <v>392.14</v>
      </c>
      <c r="J3" s="9">
        <v>39606.400000000001</v>
      </c>
      <c r="K3" s="12">
        <v>1598.14</v>
      </c>
      <c r="L3" s="13">
        <f>IFERROR(H3/$G3,0)</f>
        <v>0.35000000000000003</v>
      </c>
      <c r="M3" s="15">
        <f>IFERROR(I3/$G3,0)</f>
        <v>1.3499910491744585E-2</v>
      </c>
      <c r="N3" s="15" t="str">
        <f t="shared" ref="N3:N66" si="0">IF($E3&lt;&gt;0,"Beer",IF($F3&lt;&gt;0,"Liquor","-"))</f>
        <v>Liquor</v>
      </c>
      <c r="O3" s="16">
        <f t="shared" ref="O3:O66" si="1">IF($E3&lt;&gt;0,$E3,IF($F3&lt;&gt;0,$F3/0.75,0))</f>
        <v>52.919999999999995</v>
      </c>
    </row>
    <row r="4" spans="1:15" x14ac:dyDescent="0.3">
      <c r="A4" s="2">
        <v>44303.429375</v>
      </c>
      <c r="B4" s="6" t="s">
        <v>2</v>
      </c>
      <c r="C4" s="9">
        <v>1598.14</v>
      </c>
      <c r="D4" s="9">
        <v>40000</v>
      </c>
      <c r="E4" s="6">
        <v>0</v>
      </c>
      <c r="F4" s="6">
        <v>0</v>
      </c>
      <c r="G4" s="9">
        <v>0</v>
      </c>
      <c r="H4" s="9">
        <v>0</v>
      </c>
      <c r="I4" s="9">
        <v>0</v>
      </c>
      <c r="J4" s="9">
        <v>0</v>
      </c>
      <c r="K4" s="12">
        <v>41598.14</v>
      </c>
      <c r="L4" s="13">
        <f t="shared" ref="L4:L67" si="2">IFERROR(H4/$G4,0)</f>
        <v>0</v>
      </c>
      <c r="M4" s="15">
        <f t="shared" ref="M4:M67" si="3">IFERROR(I4/$G4,0)</f>
        <v>0</v>
      </c>
      <c r="N4" s="15" t="str">
        <f t="shared" si="0"/>
        <v>-</v>
      </c>
      <c r="O4" s="16">
        <f t="shared" si="1"/>
        <v>0</v>
      </c>
    </row>
    <row r="5" spans="1:15" x14ac:dyDescent="0.3">
      <c r="A5" s="2">
        <v>44303.526828703703</v>
      </c>
      <c r="B5" s="6" t="s">
        <v>3</v>
      </c>
      <c r="C5" s="9">
        <v>41598.14</v>
      </c>
      <c r="D5" s="9">
        <v>0</v>
      </c>
      <c r="E5" s="6">
        <v>0</v>
      </c>
      <c r="F5" s="6">
        <v>39.15</v>
      </c>
      <c r="G5" s="9">
        <v>29920.62</v>
      </c>
      <c r="H5" s="9">
        <v>10472.219999999999</v>
      </c>
      <c r="I5" s="9">
        <v>403.93</v>
      </c>
      <c r="J5" s="9">
        <v>40796.769999999997</v>
      </c>
      <c r="K5" s="12">
        <v>801.37</v>
      </c>
      <c r="L5" s="13">
        <f t="shared" si="2"/>
        <v>0.35000010026530198</v>
      </c>
      <c r="M5" s="15">
        <f t="shared" si="3"/>
        <v>1.3500054477480749E-2</v>
      </c>
      <c r="N5" s="15" t="str">
        <f t="shared" si="0"/>
        <v>Liquor</v>
      </c>
      <c r="O5" s="16">
        <f t="shared" si="1"/>
        <v>52.199999999999996</v>
      </c>
    </row>
    <row r="6" spans="1:15" x14ac:dyDescent="0.3">
      <c r="A6" s="2">
        <v>44305.457245370373</v>
      </c>
      <c r="B6" s="6" t="s">
        <v>2</v>
      </c>
      <c r="C6" s="9">
        <v>801.37</v>
      </c>
      <c r="D6" s="9">
        <v>40000</v>
      </c>
      <c r="E6" s="6">
        <v>0</v>
      </c>
      <c r="F6" s="6">
        <v>0</v>
      </c>
      <c r="G6" s="9">
        <v>0</v>
      </c>
      <c r="H6" s="9">
        <v>0</v>
      </c>
      <c r="I6" s="9">
        <v>0</v>
      </c>
      <c r="J6" s="9">
        <v>0</v>
      </c>
      <c r="K6" s="12">
        <v>40801.370000000003</v>
      </c>
      <c r="L6" s="13">
        <f t="shared" si="2"/>
        <v>0</v>
      </c>
      <c r="M6" s="15">
        <f t="shared" si="3"/>
        <v>0</v>
      </c>
      <c r="N6" s="15" t="str">
        <f t="shared" si="0"/>
        <v>-</v>
      </c>
      <c r="O6" s="16">
        <f t="shared" si="1"/>
        <v>0</v>
      </c>
    </row>
    <row r="7" spans="1:15" x14ac:dyDescent="0.3">
      <c r="A7" s="2">
        <v>44305.546840277777</v>
      </c>
      <c r="B7" s="6" t="s">
        <v>3</v>
      </c>
      <c r="C7" s="9">
        <v>40801.370000000003</v>
      </c>
      <c r="D7" s="9">
        <v>0</v>
      </c>
      <c r="E7" s="6">
        <v>0</v>
      </c>
      <c r="F7" s="6">
        <v>38.880000000000003</v>
      </c>
      <c r="G7" s="9">
        <v>29841.26</v>
      </c>
      <c r="H7" s="9">
        <v>10444.459999999999</v>
      </c>
      <c r="I7" s="9">
        <v>403</v>
      </c>
      <c r="J7" s="9">
        <v>40688.720000000001</v>
      </c>
      <c r="K7" s="12">
        <v>112.65</v>
      </c>
      <c r="L7" s="13">
        <f t="shared" si="2"/>
        <v>0.35000063670233761</v>
      </c>
      <c r="M7" s="15">
        <f t="shared" si="3"/>
        <v>1.3504791687750451E-2</v>
      </c>
      <c r="N7" s="15" t="str">
        <f t="shared" si="0"/>
        <v>Liquor</v>
      </c>
      <c r="O7" s="16">
        <f t="shared" si="1"/>
        <v>51.84</v>
      </c>
    </row>
    <row r="8" spans="1:15" x14ac:dyDescent="0.3">
      <c r="A8" s="2">
        <v>44306.462858796294</v>
      </c>
      <c r="B8" s="6" t="s">
        <v>2</v>
      </c>
      <c r="C8" s="9">
        <v>112.65</v>
      </c>
      <c r="D8" s="9">
        <v>40000</v>
      </c>
      <c r="E8" s="6">
        <v>0</v>
      </c>
      <c r="F8" s="6">
        <v>0</v>
      </c>
      <c r="G8" s="9">
        <v>0</v>
      </c>
      <c r="H8" s="9">
        <v>0</v>
      </c>
      <c r="I8" s="9">
        <v>0</v>
      </c>
      <c r="J8" s="9">
        <v>0</v>
      </c>
      <c r="K8" s="12">
        <v>40112.65</v>
      </c>
      <c r="L8" s="13">
        <f t="shared" si="2"/>
        <v>0</v>
      </c>
      <c r="M8" s="15">
        <f t="shared" si="3"/>
        <v>0</v>
      </c>
      <c r="N8" s="15" t="str">
        <f t="shared" si="0"/>
        <v>-</v>
      </c>
      <c r="O8" s="16">
        <f t="shared" si="1"/>
        <v>0</v>
      </c>
    </row>
    <row r="9" spans="1:15" x14ac:dyDescent="0.3">
      <c r="A9" s="2">
        <v>44306.626493055555</v>
      </c>
      <c r="B9" s="6" t="s">
        <v>3</v>
      </c>
      <c r="C9" s="9">
        <v>40112.65</v>
      </c>
      <c r="D9" s="9">
        <v>0</v>
      </c>
      <c r="E9" s="6">
        <v>0</v>
      </c>
      <c r="F9" s="6">
        <v>38.880000000000003</v>
      </c>
      <c r="G9" s="9">
        <v>29206.33</v>
      </c>
      <c r="H9" s="9">
        <v>10222.24</v>
      </c>
      <c r="I9" s="9">
        <v>394</v>
      </c>
      <c r="J9" s="9">
        <v>39822.57</v>
      </c>
      <c r="K9" s="12">
        <v>290.08</v>
      </c>
      <c r="L9" s="13">
        <f t="shared" si="2"/>
        <v>0.35000083885924727</v>
      </c>
      <c r="M9" s="15">
        <f t="shared" si="3"/>
        <v>1.3490226262594444E-2</v>
      </c>
      <c r="N9" s="15" t="str">
        <f t="shared" si="0"/>
        <v>Liquor</v>
      </c>
      <c r="O9" s="16">
        <f t="shared" si="1"/>
        <v>51.84</v>
      </c>
    </row>
    <row r="10" spans="1:15" x14ac:dyDescent="0.3">
      <c r="A10" s="2">
        <v>44308.442696759259</v>
      </c>
      <c r="B10" s="6" t="s">
        <v>2</v>
      </c>
      <c r="C10" s="9">
        <v>290.08</v>
      </c>
      <c r="D10" s="9">
        <v>18800</v>
      </c>
      <c r="E10" s="6">
        <v>0</v>
      </c>
      <c r="F10" s="6">
        <v>0</v>
      </c>
      <c r="G10" s="9">
        <v>0</v>
      </c>
      <c r="H10" s="9">
        <v>0</v>
      </c>
      <c r="I10" s="9">
        <v>0</v>
      </c>
      <c r="J10" s="9">
        <v>0</v>
      </c>
      <c r="K10" s="12">
        <v>19090.080000000002</v>
      </c>
      <c r="L10" s="13">
        <f t="shared" si="2"/>
        <v>0</v>
      </c>
      <c r="M10" s="15">
        <f t="shared" si="3"/>
        <v>0</v>
      </c>
      <c r="N10" s="15" t="str">
        <f t="shared" si="0"/>
        <v>-</v>
      </c>
      <c r="O10" s="16">
        <f t="shared" si="1"/>
        <v>0</v>
      </c>
    </row>
    <row r="11" spans="1:15" x14ac:dyDescent="0.3">
      <c r="A11" s="2">
        <v>44308.739016203705</v>
      </c>
      <c r="B11" s="6" t="s">
        <v>3</v>
      </c>
      <c r="C11" s="9">
        <v>19090.080000000002</v>
      </c>
      <c r="D11" s="9">
        <v>0</v>
      </c>
      <c r="E11" s="6">
        <v>94.2</v>
      </c>
      <c r="F11" s="6">
        <v>0</v>
      </c>
      <c r="G11" s="9">
        <v>13809.51</v>
      </c>
      <c r="H11" s="9">
        <v>4833.3500000000004</v>
      </c>
      <c r="I11" s="9">
        <v>186</v>
      </c>
      <c r="J11" s="9">
        <v>18828.86</v>
      </c>
      <c r="K11" s="12">
        <v>261.22000000000003</v>
      </c>
      <c r="L11" s="13">
        <f t="shared" si="2"/>
        <v>0.35000155689810863</v>
      </c>
      <c r="M11" s="15">
        <f t="shared" si="3"/>
        <v>1.3468978986220365E-2</v>
      </c>
      <c r="N11" s="15" t="str">
        <f t="shared" si="0"/>
        <v>Beer</v>
      </c>
      <c r="O11" s="16">
        <f t="shared" si="1"/>
        <v>94.2</v>
      </c>
    </row>
    <row r="12" spans="1:15" x14ac:dyDescent="0.3">
      <c r="A12" s="2">
        <v>44309.498356481483</v>
      </c>
      <c r="B12" s="6" t="s">
        <v>2</v>
      </c>
      <c r="C12" s="9">
        <v>261.22000000000003</v>
      </c>
      <c r="D12" s="9">
        <v>19500</v>
      </c>
      <c r="E12" s="6">
        <v>0</v>
      </c>
      <c r="F12" s="6">
        <v>0</v>
      </c>
      <c r="G12" s="9">
        <v>0</v>
      </c>
      <c r="H12" s="9">
        <v>0</v>
      </c>
      <c r="I12" s="9">
        <v>0</v>
      </c>
      <c r="J12" s="9">
        <v>0</v>
      </c>
      <c r="K12" s="12">
        <v>19761.22</v>
      </c>
      <c r="L12" s="13">
        <f t="shared" si="2"/>
        <v>0</v>
      </c>
      <c r="M12" s="15">
        <f t="shared" si="3"/>
        <v>0</v>
      </c>
      <c r="N12" s="15" t="str">
        <f t="shared" si="0"/>
        <v>-</v>
      </c>
      <c r="O12" s="16">
        <f t="shared" si="1"/>
        <v>0</v>
      </c>
    </row>
    <row r="13" spans="1:15" x14ac:dyDescent="0.3">
      <c r="A13" s="2">
        <v>44309.647627314815</v>
      </c>
      <c r="B13" s="6" t="s">
        <v>3</v>
      </c>
      <c r="C13" s="9">
        <v>19761.22</v>
      </c>
      <c r="D13" s="9">
        <v>0</v>
      </c>
      <c r="E13" s="6">
        <v>97.8</v>
      </c>
      <c r="F13" s="6">
        <v>0</v>
      </c>
      <c r="G13" s="9">
        <v>14126.97</v>
      </c>
      <c r="H13" s="9">
        <v>4944.46</v>
      </c>
      <c r="I13" s="9">
        <v>191</v>
      </c>
      <c r="J13" s="9">
        <v>19262.43</v>
      </c>
      <c r="K13" s="12">
        <v>498.79</v>
      </c>
      <c r="L13" s="13">
        <f t="shared" si="2"/>
        <v>0.35000145112504666</v>
      </c>
      <c r="M13" s="15">
        <f t="shared" si="3"/>
        <v>1.3520238239339363E-2</v>
      </c>
      <c r="N13" s="15" t="str">
        <f t="shared" si="0"/>
        <v>Beer</v>
      </c>
      <c r="O13" s="16">
        <f t="shared" si="1"/>
        <v>97.8</v>
      </c>
    </row>
    <row r="14" spans="1:15" x14ac:dyDescent="0.3">
      <c r="A14" s="2">
        <v>44311.861180555556</v>
      </c>
      <c r="B14" s="6" t="s">
        <v>2</v>
      </c>
      <c r="C14" s="9">
        <v>498.79</v>
      </c>
      <c r="D14" s="9">
        <v>200000</v>
      </c>
      <c r="E14" s="6">
        <v>0</v>
      </c>
      <c r="F14" s="6">
        <v>0</v>
      </c>
      <c r="G14" s="9">
        <v>0</v>
      </c>
      <c r="H14" s="9">
        <v>0</v>
      </c>
      <c r="I14" s="9">
        <v>0</v>
      </c>
      <c r="J14" s="9">
        <v>0</v>
      </c>
      <c r="K14" s="12">
        <v>200498.79</v>
      </c>
      <c r="L14" s="13">
        <f t="shared" si="2"/>
        <v>0</v>
      </c>
      <c r="M14" s="15">
        <f t="shared" si="3"/>
        <v>0</v>
      </c>
      <c r="N14" s="15" t="str">
        <f t="shared" si="0"/>
        <v>-</v>
      </c>
      <c r="O14" s="16">
        <f t="shared" si="1"/>
        <v>0</v>
      </c>
    </row>
    <row r="15" spans="1:15" x14ac:dyDescent="0.3">
      <c r="A15" s="2">
        <v>44311.862638888888</v>
      </c>
      <c r="B15" s="6" t="s">
        <v>2</v>
      </c>
      <c r="C15" s="9">
        <v>200498.79</v>
      </c>
      <c r="D15" s="9">
        <v>209000</v>
      </c>
      <c r="E15" s="6">
        <v>0</v>
      </c>
      <c r="F15" s="6">
        <v>0</v>
      </c>
      <c r="G15" s="9">
        <v>0</v>
      </c>
      <c r="H15" s="9">
        <v>0</v>
      </c>
      <c r="I15" s="9">
        <v>0</v>
      </c>
      <c r="J15" s="9">
        <v>0</v>
      </c>
      <c r="K15" s="12">
        <v>409498.79</v>
      </c>
      <c r="L15" s="13">
        <f t="shared" si="2"/>
        <v>0</v>
      </c>
      <c r="M15" s="15">
        <f t="shared" si="3"/>
        <v>0</v>
      </c>
      <c r="N15" s="15" t="str">
        <f t="shared" si="0"/>
        <v>-</v>
      </c>
      <c r="O15" s="16">
        <f t="shared" si="1"/>
        <v>0</v>
      </c>
    </row>
    <row r="16" spans="1:15" x14ac:dyDescent="0.3">
      <c r="A16" s="2">
        <v>44312.463078703702</v>
      </c>
      <c r="B16" s="6" t="s">
        <v>3</v>
      </c>
      <c r="C16" s="9">
        <v>409498.79</v>
      </c>
      <c r="D16" s="9">
        <v>0</v>
      </c>
      <c r="E16" s="6">
        <v>549</v>
      </c>
      <c r="F16" s="6">
        <v>0</v>
      </c>
      <c r="G16" s="9">
        <v>82936.45</v>
      </c>
      <c r="H16" s="9">
        <v>29027.85</v>
      </c>
      <c r="I16" s="9">
        <v>1120</v>
      </c>
      <c r="J16" s="9">
        <v>113084.3</v>
      </c>
      <c r="K16" s="12">
        <v>296414.49</v>
      </c>
      <c r="L16" s="13">
        <f t="shared" si="2"/>
        <v>0.35000111531178391</v>
      </c>
      <c r="M16" s="15">
        <f t="shared" si="3"/>
        <v>1.3504315653732467E-2</v>
      </c>
      <c r="N16" s="15" t="str">
        <f t="shared" si="0"/>
        <v>Beer</v>
      </c>
      <c r="O16" s="16">
        <f t="shared" si="1"/>
        <v>549</v>
      </c>
    </row>
    <row r="17" spans="1:15" x14ac:dyDescent="0.3">
      <c r="A17" s="2">
        <v>44312.49046296296</v>
      </c>
      <c r="B17" s="6" t="s">
        <v>3</v>
      </c>
      <c r="C17" s="9">
        <v>296414.49</v>
      </c>
      <c r="D17" s="9">
        <v>0</v>
      </c>
      <c r="E17" s="6">
        <v>0</v>
      </c>
      <c r="F17" s="6">
        <v>267.02999999999997</v>
      </c>
      <c r="G17" s="9">
        <v>216587.35</v>
      </c>
      <c r="H17" s="9">
        <v>75805.62</v>
      </c>
      <c r="I17" s="9">
        <v>2924</v>
      </c>
      <c r="J17" s="9">
        <v>295316.96999999997</v>
      </c>
      <c r="K17" s="12">
        <v>1097.52</v>
      </c>
      <c r="L17" s="13">
        <f t="shared" si="2"/>
        <v>0.35000021931105391</v>
      </c>
      <c r="M17" s="15">
        <f t="shared" si="3"/>
        <v>1.350032677347038E-2</v>
      </c>
      <c r="N17" s="15" t="str">
        <f t="shared" si="0"/>
        <v>Liquor</v>
      </c>
      <c r="O17" s="16">
        <f t="shared" si="1"/>
        <v>356.03999999999996</v>
      </c>
    </row>
    <row r="18" spans="1:15" x14ac:dyDescent="0.3">
      <c r="A18" s="2">
        <v>44313.447638888887</v>
      </c>
      <c r="B18" s="6" t="s">
        <v>2</v>
      </c>
      <c r="C18" s="9">
        <v>1097.52</v>
      </c>
      <c r="D18" s="9">
        <v>143000</v>
      </c>
      <c r="E18" s="6">
        <v>0</v>
      </c>
      <c r="F18" s="6">
        <v>0</v>
      </c>
      <c r="G18" s="9">
        <v>0</v>
      </c>
      <c r="H18" s="9">
        <v>0</v>
      </c>
      <c r="I18" s="9">
        <v>0</v>
      </c>
      <c r="J18" s="9">
        <v>0</v>
      </c>
      <c r="K18" s="12">
        <v>144097.51999999999</v>
      </c>
      <c r="L18" s="13">
        <f t="shared" si="2"/>
        <v>0</v>
      </c>
      <c r="M18" s="15">
        <f t="shared" si="3"/>
        <v>0</v>
      </c>
      <c r="N18" s="15" t="str">
        <f t="shared" si="0"/>
        <v>-</v>
      </c>
      <c r="O18" s="16">
        <f t="shared" si="1"/>
        <v>0</v>
      </c>
    </row>
    <row r="19" spans="1:15" x14ac:dyDescent="0.3">
      <c r="A19" s="2">
        <v>44313.674166666664</v>
      </c>
      <c r="B19" s="6" t="s">
        <v>3</v>
      </c>
      <c r="C19" s="9">
        <v>144097.51999999999</v>
      </c>
      <c r="D19" s="9">
        <v>0</v>
      </c>
      <c r="E19" s="6">
        <v>0</v>
      </c>
      <c r="F19" s="6">
        <v>97.74</v>
      </c>
      <c r="G19" s="9">
        <v>79523.81</v>
      </c>
      <c r="H19" s="9">
        <v>27833.360000000001</v>
      </c>
      <c r="I19" s="9">
        <v>1074</v>
      </c>
      <c r="J19" s="9">
        <v>108431.17</v>
      </c>
      <c r="K19" s="12">
        <v>35666.35</v>
      </c>
      <c r="L19" s="13">
        <f t="shared" si="2"/>
        <v>0.35000033323353097</v>
      </c>
      <c r="M19" s="15">
        <f t="shared" si="3"/>
        <v>1.3505389140686294E-2</v>
      </c>
      <c r="N19" s="15" t="str">
        <f t="shared" si="0"/>
        <v>Liquor</v>
      </c>
      <c r="O19" s="16">
        <f t="shared" si="1"/>
        <v>130.32</v>
      </c>
    </row>
    <row r="20" spans="1:15" x14ac:dyDescent="0.3">
      <c r="A20" s="2">
        <v>44313.674583333333</v>
      </c>
      <c r="B20" s="6" t="s">
        <v>3</v>
      </c>
      <c r="C20" s="9">
        <v>35666.35</v>
      </c>
      <c r="D20" s="9">
        <v>0</v>
      </c>
      <c r="E20" s="6">
        <v>173.4</v>
      </c>
      <c r="F20" s="6">
        <v>0</v>
      </c>
      <c r="G20" s="9">
        <v>25872.99</v>
      </c>
      <c r="H20" s="9">
        <v>9055.59</v>
      </c>
      <c r="I20" s="9">
        <v>349</v>
      </c>
      <c r="J20" s="9">
        <v>35277.58</v>
      </c>
      <c r="K20" s="12">
        <v>388.77</v>
      </c>
      <c r="L20" s="13">
        <f t="shared" si="2"/>
        <v>0.35000168129002485</v>
      </c>
      <c r="M20" s="15">
        <f t="shared" si="3"/>
        <v>1.3488970544185267E-2</v>
      </c>
      <c r="N20" s="15" t="str">
        <f t="shared" si="0"/>
        <v>Beer</v>
      </c>
      <c r="O20" s="16">
        <f t="shared" si="1"/>
        <v>173.4</v>
      </c>
    </row>
    <row r="21" spans="1:15" x14ac:dyDescent="0.3">
      <c r="A21" s="2">
        <v>44314.531064814815</v>
      </c>
      <c r="B21" s="6" t="s">
        <v>2</v>
      </c>
      <c r="C21" s="9">
        <v>388.77</v>
      </c>
      <c r="D21" s="9">
        <v>100000</v>
      </c>
      <c r="E21" s="6">
        <v>0</v>
      </c>
      <c r="F21" s="6">
        <v>0</v>
      </c>
      <c r="G21" s="9">
        <v>0</v>
      </c>
      <c r="H21" s="9">
        <v>0</v>
      </c>
      <c r="I21" s="9">
        <v>0</v>
      </c>
      <c r="J21" s="9">
        <v>0</v>
      </c>
      <c r="K21" s="12">
        <v>100388.77</v>
      </c>
      <c r="L21" s="13">
        <f t="shared" si="2"/>
        <v>0</v>
      </c>
      <c r="M21" s="15">
        <f t="shared" si="3"/>
        <v>0</v>
      </c>
      <c r="N21" s="15" t="str">
        <f t="shared" si="0"/>
        <v>-</v>
      </c>
      <c r="O21" s="16">
        <f t="shared" si="1"/>
        <v>0</v>
      </c>
    </row>
    <row r="22" spans="1:15" x14ac:dyDescent="0.3">
      <c r="A22" s="2">
        <v>44314.627430555556</v>
      </c>
      <c r="B22" s="6" t="s">
        <v>3</v>
      </c>
      <c r="C22" s="9">
        <v>100388.77</v>
      </c>
      <c r="D22" s="9">
        <v>0</v>
      </c>
      <c r="E22" s="6">
        <v>0</v>
      </c>
      <c r="F22" s="6">
        <v>78.84</v>
      </c>
      <c r="G22" s="9">
        <v>62380.95</v>
      </c>
      <c r="H22" s="9">
        <v>21833.35</v>
      </c>
      <c r="I22" s="9">
        <v>842</v>
      </c>
      <c r="J22" s="9">
        <v>85056.3</v>
      </c>
      <c r="K22" s="12">
        <v>15332.47</v>
      </c>
      <c r="L22" s="13">
        <f t="shared" si="2"/>
        <v>0.35000028053436183</v>
      </c>
      <c r="M22" s="15">
        <f t="shared" si="3"/>
        <v>1.349771043884391E-2</v>
      </c>
      <c r="N22" s="15" t="str">
        <f t="shared" si="0"/>
        <v>Liquor</v>
      </c>
      <c r="O22" s="16">
        <f t="shared" si="1"/>
        <v>105.12</v>
      </c>
    </row>
    <row r="23" spans="1:15" x14ac:dyDescent="0.3">
      <c r="A23" s="2">
        <v>44314.627870370372</v>
      </c>
      <c r="B23" s="6" t="s">
        <v>3</v>
      </c>
      <c r="C23" s="9">
        <v>15332.47</v>
      </c>
      <c r="D23" s="9">
        <v>0</v>
      </c>
      <c r="E23" s="6">
        <v>78</v>
      </c>
      <c r="F23" s="6">
        <v>0</v>
      </c>
      <c r="G23" s="9">
        <v>11111.1</v>
      </c>
      <c r="H23" s="9">
        <v>3888.89</v>
      </c>
      <c r="I23" s="9">
        <v>150</v>
      </c>
      <c r="J23" s="9">
        <v>15149.98</v>
      </c>
      <c r="K23" s="12">
        <v>182.49</v>
      </c>
      <c r="L23" s="13">
        <f t="shared" si="2"/>
        <v>0.35000045000044999</v>
      </c>
      <c r="M23" s="15">
        <f t="shared" si="3"/>
        <v>1.3500013500013499E-2</v>
      </c>
      <c r="N23" s="15" t="str">
        <f t="shared" si="0"/>
        <v>Beer</v>
      </c>
      <c r="O23" s="16">
        <f t="shared" si="1"/>
        <v>78</v>
      </c>
    </row>
    <row r="24" spans="1:15" x14ac:dyDescent="0.3">
      <c r="A24" s="2">
        <v>44315.477025462962</v>
      </c>
      <c r="B24" s="6" t="s">
        <v>2</v>
      </c>
      <c r="C24" s="9">
        <v>182.49</v>
      </c>
      <c r="D24" s="9">
        <v>20000</v>
      </c>
      <c r="E24" s="6">
        <v>0</v>
      </c>
      <c r="F24" s="6">
        <v>0</v>
      </c>
      <c r="G24" s="9">
        <v>0</v>
      </c>
      <c r="H24" s="9">
        <v>0</v>
      </c>
      <c r="I24" s="9">
        <v>0</v>
      </c>
      <c r="J24" s="9">
        <v>0</v>
      </c>
      <c r="K24" s="12">
        <v>20182.490000000002</v>
      </c>
      <c r="L24" s="13">
        <f t="shared" si="2"/>
        <v>0</v>
      </c>
      <c r="M24" s="15">
        <f t="shared" si="3"/>
        <v>0</v>
      </c>
      <c r="N24" s="15" t="str">
        <f t="shared" si="0"/>
        <v>-</v>
      </c>
      <c r="O24" s="16">
        <f t="shared" si="1"/>
        <v>0</v>
      </c>
    </row>
    <row r="25" spans="1:15" x14ac:dyDescent="0.3">
      <c r="A25" s="2">
        <v>44315.681631944448</v>
      </c>
      <c r="B25" s="6" t="s">
        <v>3</v>
      </c>
      <c r="C25" s="9">
        <v>20182.490000000002</v>
      </c>
      <c r="D25" s="9">
        <v>0</v>
      </c>
      <c r="E25" s="6">
        <v>91.2</v>
      </c>
      <c r="F25" s="6">
        <v>0</v>
      </c>
      <c r="G25" s="9">
        <v>14603.16</v>
      </c>
      <c r="H25" s="9">
        <v>5111.1099999999997</v>
      </c>
      <c r="I25" s="9">
        <v>197.14</v>
      </c>
      <c r="J25" s="9">
        <v>19911.41</v>
      </c>
      <c r="K25" s="12">
        <v>271.08</v>
      </c>
      <c r="L25" s="13">
        <f t="shared" si="2"/>
        <v>0.35000027391331739</v>
      </c>
      <c r="M25" s="15">
        <f t="shared" si="3"/>
        <v>1.3499817847643933E-2</v>
      </c>
      <c r="N25" s="15" t="str">
        <f t="shared" si="0"/>
        <v>Beer</v>
      </c>
      <c r="O25" s="16">
        <f t="shared" si="1"/>
        <v>91.2</v>
      </c>
    </row>
    <row r="26" spans="1:15" x14ac:dyDescent="0.3">
      <c r="A26" s="2">
        <v>44316.448101851849</v>
      </c>
      <c r="B26" s="6" t="s">
        <v>2</v>
      </c>
      <c r="C26" s="9">
        <v>271.08</v>
      </c>
      <c r="D26" s="9">
        <v>56000</v>
      </c>
      <c r="E26" s="6">
        <v>0</v>
      </c>
      <c r="F26" s="6">
        <v>0</v>
      </c>
      <c r="G26" s="9">
        <v>0</v>
      </c>
      <c r="H26" s="9">
        <v>0</v>
      </c>
      <c r="I26" s="9">
        <v>0</v>
      </c>
      <c r="J26" s="9">
        <v>0</v>
      </c>
      <c r="K26" s="12">
        <v>56271.08</v>
      </c>
      <c r="L26" s="13">
        <f t="shared" si="2"/>
        <v>0</v>
      </c>
      <c r="M26" s="15">
        <f t="shared" si="3"/>
        <v>0</v>
      </c>
      <c r="N26" s="15" t="str">
        <f t="shared" si="0"/>
        <v>-</v>
      </c>
      <c r="O26" s="16">
        <f t="shared" si="1"/>
        <v>0</v>
      </c>
    </row>
    <row r="27" spans="1:15" x14ac:dyDescent="0.3">
      <c r="A27" s="2">
        <v>44316.501539351855</v>
      </c>
      <c r="B27" s="6" t="s">
        <v>3</v>
      </c>
      <c r="C27" s="9">
        <v>56271.08</v>
      </c>
      <c r="D27" s="9">
        <v>0</v>
      </c>
      <c r="E27" s="6">
        <v>288.60000000000002</v>
      </c>
      <c r="F27" s="6">
        <v>0</v>
      </c>
      <c r="G27" s="9">
        <v>41111.07</v>
      </c>
      <c r="H27" s="9">
        <v>14388.87</v>
      </c>
      <c r="I27" s="9">
        <v>555</v>
      </c>
      <c r="J27" s="9">
        <v>56054.94</v>
      </c>
      <c r="K27" s="12">
        <v>216.14</v>
      </c>
      <c r="L27" s="13">
        <f t="shared" si="2"/>
        <v>0.34999989054043112</v>
      </c>
      <c r="M27" s="15">
        <f t="shared" si="3"/>
        <v>1.3500013500013499E-2</v>
      </c>
      <c r="N27" s="15" t="str">
        <f t="shared" si="0"/>
        <v>Beer</v>
      </c>
      <c r="O27" s="16">
        <f t="shared" si="1"/>
        <v>288.60000000000002</v>
      </c>
    </row>
    <row r="28" spans="1:15" x14ac:dyDescent="0.3">
      <c r="A28" s="2">
        <v>44317.845706018517</v>
      </c>
      <c r="B28" s="6" t="s">
        <v>2</v>
      </c>
      <c r="C28" s="9">
        <v>216.14</v>
      </c>
      <c r="D28" s="9">
        <v>500000</v>
      </c>
      <c r="E28" s="6">
        <v>0</v>
      </c>
      <c r="F28" s="6">
        <v>0</v>
      </c>
      <c r="G28" s="9">
        <v>0</v>
      </c>
      <c r="H28" s="9">
        <v>0</v>
      </c>
      <c r="I28" s="9">
        <v>0</v>
      </c>
      <c r="J28" s="9">
        <v>0</v>
      </c>
      <c r="K28" s="12">
        <v>500216.14</v>
      </c>
      <c r="L28" s="13">
        <f t="shared" si="2"/>
        <v>0</v>
      </c>
      <c r="M28" s="15">
        <f t="shared" si="3"/>
        <v>0</v>
      </c>
      <c r="N28" s="15" t="str">
        <f t="shared" si="0"/>
        <v>-</v>
      </c>
      <c r="O28" s="16">
        <f t="shared" si="1"/>
        <v>0</v>
      </c>
    </row>
    <row r="29" spans="1:15" x14ac:dyDescent="0.3">
      <c r="A29" s="2">
        <v>44318.865983796299</v>
      </c>
      <c r="B29" s="6" t="s">
        <v>2</v>
      </c>
      <c r="C29" s="9">
        <v>500216.14</v>
      </c>
      <c r="D29" s="9">
        <v>200000</v>
      </c>
      <c r="E29" s="6">
        <v>0</v>
      </c>
      <c r="F29" s="6">
        <v>0</v>
      </c>
      <c r="G29" s="9">
        <v>0</v>
      </c>
      <c r="H29" s="9">
        <v>0</v>
      </c>
      <c r="I29" s="9">
        <v>0</v>
      </c>
      <c r="J29" s="9">
        <v>0</v>
      </c>
      <c r="K29" s="12">
        <v>700216.14</v>
      </c>
      <c r="L29" s="13">
        <f t="shared" si="2"/>
        <v>0</v>
      </c>
      <c r="M29" s="15">
        <f t="shared" si="3"/>
        <v>0</v>
      </c>
      <c r="N29" s="15" t="str">
        <f t="shared" si="0"/>
        <v>-</v>
      </c>
      <c r="O29" s="16">
        <f t="shared" si="1"/>
        <v>0</v>
      </c>
    </row>
    <row r="30" spans="1:15" x14ac:dyDescent="0.3">
      <c r="A30" s="2">
        <v>44319.507210648146</v>
      </c>
      <c r="B30" s="6" t="s">
        <v>3</v>
      </c>
      <c r="C30" s="9">
        <v>700216.14</v>
      </c>
      <c r="D30" s="9">
        <v>0</v>
      </c>
      <c r="E30" s="6">
        <v>0</v>
      </c>
      <c r="F30" s="6">
        <v>421.61</v>
      </c>
      <c r="G30" s="9">
        <v>355912.76</v>
      </c>
      <c r="H30" s="9">
        <v>124569.47</v>
      </c>
      <c r="I30" s="9">
        <v>4804.82</v>
      </c>
      <c r="J30" s="9">
        <v>485287.04</v>
      </c>
      <c r="K30" s="12">
        <v>214929.1</v>
      </c>
      <c r="L30" s="13">
        <f t="shared" si="2"/>
        <v>0.35000001123870916</v>
      </c>
      <c r="M30" s="15">
        <f t="shared" si="3"/>
        <v>1.3499993650129317E-2</v>
      </c>
      <c r="N30" s="15" t="str">
        <f t="shared" si="0"/>
        <v>Liquor</v>
      </c>
      <c r="O30" s="16">
        <f t="shared" si="1"/>
        <v>562.14666666666665</v>
      </c>
    </row>
    <row r="31" spans="1:15" x14ac:dyDescent="0.3">
      <c r="A31" s="2">
        <v>44319.507638888892</v>
      </c>
      <c r="B31" s="6" t="s">
        <v>3</v>
      </c>
      <c r="C31" s="9">
        <v>214929.1</v>
      </c>
      <c r="D31" s="9">
        <v>0</v>
      </c>
      <c r="E31" s="6">
        <v>1012.2</v>
      </c>
      <c r="F31" s="6">
        <v>0</v>
      </c>
      <c r="G31" s="9">
        <v>157301.5</v>
      </c>
      <c r="H31" s="9">
        <v>55055.53</v>
      </c>
      <c r="I31" s="9">
        <v>2123.5700000000002</v>
      </c>
      <c r="J31" s="9">
        <v>214480.6</v>
      </c>
      <c r="K31" s="12">
        <v>448.5</v>
      </c>
      <c r="L31" s="13">
        <f t="shared" si="2"/>
        <v>0.35000003178609229</v>
      </c>
      <c r="M31" s="15">
        <f t="shared" si="3"/>
        <v>1.3499998410695385E-2</v>
      </c>
      <c r="N31" s="15" t="str">
        <f t="shared" si="0"/>
        <v>Beer</v>
      </c>
      <c r="O31" s="16">
        <f t="shared" si="1"/>
        <v>1012.2</v>
      </c>
    </row>
    <row r="32" spans="1:15" x14ac:dyDescent="0.3">
      <c r="A32" s="2">
        <v>44319.923854166664</v>
      </c>
      <c r="B32" s="6" t="s">
        <v>2</v>
      </c>
      <c r="C32" s="9">
        <v>448.5</v>
      </c>
      <c r="D32" s="9">
        <v>450000</v>
      </c>
      <c r="E32" s="6">
        <v>0</v>
      </c>
      <c r="F32" s="6">
        <v>0</v>
      </c>
      <c r="G32" s="9">
        <v>0</v>
      </c>
      <c r="H32" s="9">
        <v>0</v>
      </c>
      <c r="I32" s="9">
        <v>0</v>
      </c>
      <c r="J32" s="9">
        <v>0</v>
      </c>
      <c r="K32" s="12">
        <v>450448.5</v>
      </c>
      <c r="L32" s="13">
        <f t="shared" si="2"/>
        <v>0</v>
      </c>
      <c r="M32" s="15">
        <f t="shared" si="3"/>
        <v>0</v>
      </c>
      <c r="N32" s="15" t="str">
        <f t="shared" si="0"/>
        <v>-</v>
      </c>
      <c r="O32" s="16">
        <f t="shared" si="1"/>
        <v>0</v>
      </c>
    </row>
    <row r="33" spans="1:15" x14ac:dyDescent="0.3">
      <c r="A33" s="2">
        <v>44319.975972222222</v>
      </c>
      <c r="B33" s="6" t="s">
        <v>2</v>
      </c>
      <c r="C33" s="9">
        <v>450448.5</v>
      </c>
      <c r="D33" s="9">
        <v>314000</v>
      </c>
      <c r="E33" s="6">
        <v>0</v>
      </c>
      <c r="F33" s="6">
        <v>0</v>
      </c>
      <c r="G33" s="9">
        <v>0</v>
      </c>
      <c r="H33" s="9">
        <v>0</v>
      </c>
      <c r="I33" s="9">
        <v>0</v>
      </c>
      <c r="J33" s="9">
        <v>0</v>
      </c>
      <c r="K33" s="12">
        <v>764448.5</v>
      </c>
      <c r="L33" s="13">
        <f t="shared" si="2"/>
        <v>0</v>
      </c>
      <c r="M33" s="15">
        <f t="shared" si="3"/>
        <v>0</v>
      </c>
      <c r="N33" s="15" t="str">
        <f t="shared" si="0"/>
        <v>-</v>
      </c>
      <c r="O33" s="16">
        <f t="shared" si="1"/>
        <v>0</v>
      </c>
    </row>
    <row r="34" spans="1:15" x14ac:dyDescent="0.3">
      <c r="A34" s="2">
        <v>44320.040682870371</v>
      </c>
      <c r="B34" s="6" t="s">
        <v>2</v>
      </c>
      <c r="C34" s="9">
        <v>764448.5</v>
      </c>
      <c r="D34" s="9">
        <v>389000</v>
      </c>
      <c r="E34" s="6">
        <v>0</v>
      </c>
      <c r="F34" s="6">
        <v>0</v>
      </c>
      <c r="G34" s="9">
        <v>0</v>
      </c>
      <c r="H34" s="9">
        <v>0</v>
      </c>
      <c r="I34" s="9">
        <v>0</v>
      </c>
      <c r="J34" s="9">
        <v>0</v>
      </c>
      <c r="K34" s="12">
        <v>1153448.5</v>
      </c>
      <c r="L34" s="13">
        <f t="shared" si="2"/>
        <v>0</v>
      </c>
      <c r="M34" s="15">
        <f t="shared" si="3"/>
        <v>0</v>
      </c>
      <c r="N34" s="15" t="str">
        <f t="shared" si="0"/>
        <v>-</v>
      </c>
      <c r="O34" s="16">
        <f t="shared" si="1"/>
        <v>0</v>
      </c>
    </row>
    <row r="35" spans="1:15" x14ac:dyDescent="0.3">
      <c r="A35" s="2">
        <v>44320.372337962966</v>
      </c>
      <c r="B35" s="6" t="s">
        <v>2</v>
      </c>
      <c r="C35" s="9">
        <v>1153448.5</v>
      </c>
      <c r="D35" s="9">
        <v>300000</v>
      </c>
      <c r="E35" s="6">
        <v>0</v>
      </c>
      <c r="F35" s="6">
        <v>0</v>
      </c>
      <c r="G35" s="9">
        <v>0</v>
      </c>
      <c r="H35" s="9">
        <v>0</v>
      </c>
      <c r="I35" s="9">
        <v>0</v>
      </c>
      <c r="J35" s="9">
        <v>0</v>
      </c>
      <c r="K35" s="12">
        <v>1453448.5</v>
      </c>
      <c r="L35" s="13">
        <f t="shared" si="2"/>
        <v>0</v>
      </c>
      <c r="M35" s="15">
        <f t="shared" si="3"/>
        <v>0</v>
      </c>
      <c r="N35" s="15" t="str">
        <f t="shared" si="0"/>
        <v>-</v>
      </c>
      <c r="O35" s="16">
        <f t="shared" si="1"/>
        <v>0</v>
      </c>
    </row>
    <row r="36" spans="1:15" x14ac:dyDescent="0.3">
      <c r="A36" s="2">
        <v>44320.624351851853</v>
      </c>
      <c r="B36" s="6" t="s">
        <v>3</v>
      </c>
      <c r="C36" s="9">
        <v>1453448.5</v>
      </c>
      <c r="D36" s="9">
        <v>0</v>
      </c>
      <c r="E36" s="6">
        <v>1392</v>
      </c>
      <c r="F36" s="6">
        <v>0</v>
      </c>
      <c r="G36" s="9">
        <v>220952.16</v>
      </c>
      <c r="H36" s="9">
        <v>77333.259999999995</v>
      </c>
      <c r="I36" s="9">
        <v>2982.85</v>
      </c>
      <c r="J36" s="9">
        <v>301268.27</v>
      </c>
      <c r="K36" s="12">
        <v>1152180.23</v>
      </c>
      <c r="L36" s="13">
        <f t="shared" si="2"/>
        <v>0.35000001810346637</v>
      </c>
      <c r="M36" s="15">
        <f t="shared" si="3"/>
        <v>1.3499981172394964E-2</v>
      </c>
      <c r="N36" s="15" t="str">
        <f t="shared" si="0"/>
        <v>Beer</v>
      </c>
      <c r="O36" s="16">
        <f t="shared" si="1"/>
        <v>1392</v>
      </c>
    </row>
    <row r="37" spans="1:15" x14ac:dyDescent="0.3">
      <c r="A37" s="2">
        <v>44320.639803240738</v>
      </c>
      <c r="B37" s="6" t="s">
        <v>3</v>
      </c>
      <c r="C37" s="9">
        <v>1152180.23</v>
      </c>
      <c r="D37" s="9">
        <v>0</v>
      </c>
      <c r="E37" s="6">
        <v>0</v>
      </c>
      <c r="F37" s="6">
        <v>1037.8800000000001</v>
      </c>
      <c r="G37" s="9">
        <v>844682.62</v>
      </c>
      <c r="H37" s="9">
        <v>295638.92</v>
      </c>
      <c r="I37" s="9">
        <v>11403.22</v>
      </c>
      <c r="J37" s="9">
        <v>1151724.75</v>
      </c>
      <c r="K37" s="12">
        <v>455.48</v>
      </c>
      <c r="L37" s="13">
        <f t="shared" si="2"/>
        <v>0.3500000035516298</v>
      </c>
      <c r="M37" s="15">
        <f t="shared" si="3"/>
        <v>1.3500005481348722E-2</v>
      </c>
      <c r="N37" s="15" t="str">
        <f t="shared" si="0"/>
        <v>Liquor</v>
      </c>
      <c r="O37" s="16">
        <f t="shared" si="1"/>
        <v>1383.8400000000001</v>
      </c>
    </row>
    <row r="38" spans="1:15" x14ac:dyDescent="0.3">
      <c r="A38" s="2">
        <v>44324.691967592589</v>
      </c>
      <c r="B38" s="6" t="s">
        <v>2</v>
      </c>
      <c r="C38" s="9">
        <v>455.48</v>
      </c>
      <c r="D38" s="9">
        <v>500</v>
      </c>
      <c r="E38" s="6">
        <v>0</v>
      </c>
      <c r="F38" s="6">
        <v>0</v>
      </c>
      <c r="G38" s="9">
        <v>0</v>
      </c>
      <c r="H38" s="9">
        <v>0</v>
      </c>
      <c r="I38" s="9">
        <v>0</v>
      </c>
      <c r="J38" s="9">
        <v>0</v>
      </c>
      <c r="K38" s="12">
        <v>955.48</v>
      </c>
      <c r="L38" s="13">
        <f t="shared" si="2"/>
        <v>0</v>
      </c>
      <c r="M38" s="15">
        <f t="shared" si="3"/>
        <v>0</v>
      </c>
      <c r="N38" s="15" t="str">
        <f t="shared" si="0"/>
        <v>-</v>
      </c>
      <c r="O38" s="16">
        <f t="shared" si="1"/>
        <v>0</v>
      </c>
    </row>
    <row r="39" spans="1:15" x14ac:dyDescent="0.3">
      <c r="A39" s="2">
        <v>44334.299618055556</v>
      </c>
      <c r="B39" s="6" t="s">
        <v>2</v>
      </c>
      <c r="C39" s="9">
        <v>955.48</v>
      </c>
      <c r="D39" s="9">
        <v>145000</v>
      </c>
      <c r="E39" s="6">
        <v>0</v>
      </c>
      <c r="F39" s="6">
        <v>0</v>
      </c>
      <c r="G39" s="9">
        <v>0</v>
      </c>
      <c r="H39" s="9">
        <v>0</v>
      </c>
      <c r="I39" s="9">
        <v>0</v>
      </c>
      <c r="J39" s="9">
        <v>0</v>
      </c>
      <c r="K39" s="12">
        <v>145955.48000000001</v>
      </c>
      <c r="L39" s="13">
        <f t="shared" si="2"/>
        <v>0</v>
      </c>
      <c r="M39" s="15">
        <f t="shared" si="3"/>
        <v>0</v>
      </c>
      <c r="N39" s="15" t="str">
        <f t="shared" si="0"/>
        <v>-</v>
      </c>
      <c r="O39" s="16">
        <f t="shared" si="1"/>
        <v>0</v>
      </c>
    </row>
    <row r="40" spans="1:15" x14ac:dyDescent="0.3">
      <c r="A40" s="2">
        <v>44334.317384259259</v>
      </c>
      <c r="B40" s="6" t="s">
        <v>2</v>
      </c>
      <c r="C40" s="9">
        <v>145955.48000000001</v>
      </c>
      <c r="D40" s="9">
        <v>16000</v>
      </c>
      <c r="E40" s="6">
        <v>0</v>
      </c>
      <c r="F40" s="6">
        <v>0</v>
      </c>
      <c r="G40" s="9">
        <v>0</v>
      </c>
      <c r="H40" s="9">
        <v>0</v>
      </c>
      <c r="I40" s="9">
        <v>0</v>
      </c>
      <c r="J40" s="9">
        <v>0</v>
      </c>
      <c r="K40" s="12">
        <v>161955.48000000001</v>
      </c>
      <c r="L40" s="13">
        <f t="shared" si="2"/>
        <v>0</v>
      </c>
      <c r="M40" s="15">
        <f t="shared" si="3"/>
        <v>0</v>
      </c>
      <c r="N40" s="15" t="str">
        <f t="shared" si="0"/>
        <v>-</v>
      </c>
      <c r="O40" s="16">
        <f t="shared" si="1"/>
        <v>0</v>
      </c>
    </row>
    <row r="41" spans="1:15" x14ac:dyDescent="0.3">
      <c r="A41" s="2">
        <v>44334.494606481479</v>
      </c>
      <c r="B41" s="6" t="s">
        <v>3</v>
      </c>
      <c r="C41" s="9">
        <v>161955.48000000001</v>
      </c>
      <c r="D41" s="9">
        <v>0</v>
      </c>
      <c r="E41" s="6">
        <v>138</v>
      </c>
      <c r="F41" s="6">
        <v>0</v>
      </c>
      <c r="G41" s="9">
        <v>20634.900000000001</v>
      </c>
      <c r="H41" s="9">
        <v>7222.22</v>
      </c>
      <c r="I41" s="9">
        <v>278.57</v>
      </c>
      <c r="J41" s="9">
        <v>28135.69</v>
      </c>
      <c r="K41" s="12">
        <v>133819.79</v>
      </c>
      <c r="L41" s="13">
        <f t="shared" si="2"/>
        <v>0.35000024230793458</v>
      </c>
      <c r="M41" s="15">
        <f t="shared" si="3"/>
        <v>1.3499944269175036E-2</v>
      </c>
      <c r="N41" s="15" t="str">
        <f t="shared" si="0"/>
        <v>Beer</v>
      </c>
      <c r="O41" s="16">
        <f t="shared" si="1"/>
        <v>138</v>
      </c>
    </row>
    <row r="42" spans="1:15" x14ac:dyDescent="0.3">
      <c r="A42" s="2">
        <v>44334.49523148148</v>
      </c>
      <c r="B42" s="6" t="s">
        <v>3</v>
      </c>
      <c r="C42" s="9">
        <v>133819.79</v>
      </c>
      <c r="D42" s="9">
        <v>0</v>
      </c>
      <c r="E42" s="6">
        <v>0</v>
      </c>
      <c r="F42" s="6">
        <v>113.13</v>
      </c>
      <c r="G42" s="9">
        <v>93968.29</v>
      </c>
      <c r="H42" s="9">
        <v>32888.870000000003</v>
      </c>
      <c r="I42" s="9">
        <v>1269</v>
      </c>
      <c r="J42" s="9">
        <v>128126.16</v>
      </c>
      <c r="K42" s="12">
        <v>5693.63</v>
      </c>
      <c r="L42" s="13">
        <f t="shared" si="2"/>
        <v>0.34999966478053401</v>
      </c>
      <c r="M42" s="15">
        <f t="shared" si="3"/>
        <v>1.3504555632543703E-2</v>
      </c>
      <c r="N42" s="15" t="str">
        <f t="shared" si="0"/>
        <v>Liquor</v>
      </c>
      <c r="O42" s="16">
        <f t="shared" si="1"/>
        <v>150.84</v>
      </c>
    </row>
    <row r="43" spans="1:15" x14ac:dyDescent="0.3">
      <c r="A43" s="2">
        <v>44335.912673611114</v>
      </c>
      <c r="B43" s="6" t="s">
        <v>2</v>
      </c>
      <c r="C43" s="9">
        <v>5693.63</v>
      </c>
      <c r="D43" s="9">
        <v>115000</v>
      </c>
      <c r="E43" s="6">
        <v>0</v>
      </c>
      <c r="F43" s="6">
        <v>0</v>
      </c>
      <c r="G43" s="9">
        <v>0</v>
      </c>
      <c r="H43" s="9">
        <v>0</v>
      </c>
      <c r="I43" s="9">
        <v>0</v>
      </c>
      <c r="J43" s="9">
        <v>0</v>
      </c>
      <c r="K43" s="12">
        <v>120693.63</v>
      </c>
      <c r="L43" s="13">
        <f t="shared" si="2"/>
        <v>0</v>
      </c>
      <c r="M43" s="15">
        <f t="shared" si="3"/>
        <v>0</v>
      </c>
      <c r="N43" s="15" t="str">
        <f t="shared" si="0"/>
        <v>-</v>
      </c>
      <c r="O43" s="16">
        <f t="shared" si="1"/>
        <v>0</v>
      </c>
    </row>
    <row r="44" spans="1:15" x14ac:dyDescent="0.3">
      <c r="A44" s="2">
        <v>44336.009155092594</v>
      </c>
      <c r="B44" s="6" t="s">
        <v>2</v>
      </c>
      <c r="C44" s="9">
        <v>120693.63</v>
      </c>
      <c r="D44" s="9">
        <v>100000</v>
      </c>
      <c r="E44" s="6">
        <v>0</v>
      </c>
      <c r="F44" s="6">
        <v>0</v>
      </c>
      <c r="G44" s="9">
        <v>0</v>
      </c>
      <c r="H44" s="9">
        <v>0</v>
      </c>
      <c r="I44" s="9">
        <v>0</v>
      </c>
      <c r="J44" s="9">
        <v>0</v>
      </c>
      <c r="K44" s="12">
        <v>220693.63</v>
      </c>
      <c r="L44" s="13">
        <f t="shared" si="2"/>
        <v>0</v>
      </c>
      <c r="M44" s="15">
        <f t="shared" si="3"/>
        <v>0</v>
      </c>
      <c r="N44" s="15" t="str">
        <f t="shared" si="0"/>
        <v>-</v>
      </c>
      <c r="O44" s="16">
        <f t="shared" si="1"/>
        <v>0</v>
      </c>
    </row>
    <row r="45" spans="1:15" x14ac:dyDescent="0.3">
      <c r="A45" s="2">
        <v>44336.4215625</v>
      </c>
      <c r="B45" s="6" t="s">
        <v>3</v>
      </c>
      <c r="C45" s="9">
        <v>220693.63</v>
      </c>
      <c r="D45" s="9">
        <v>0</v>
      </c>
      <c r="E45" s="6">
        <v>177</v>
      </c>
      <c r="F45" s="6">
        <v>0</v>
      </c>
      <c r="G45" s="9">
        <v>26190.45</v>
      </c>
      <c r="H45" s="9">
        <v>9166.66</v>
      </c>
      <c r="I45" s="9">
        <v>353.57</v>
      </c>
      <c r="J45" s="9">
        <v>35710.68</v>
      </c>
      <c r="K45" s="12">
        <v>184982.95</v>
      </c>
      <c r="L45" s="13">
        <f t="shared" si="2"/>
        <v>0.35000009545464089</v>
      </c>
      <c r="M45" s="15">
        <f t="shared" si="3"/>
        <v>1.3499958954504409E-2</v>
      </c>
      <c r="N45" s="15" t="str">
        <f t="shared" si="0"/>
        <v>Beer</v>
      </c>
      <c r="O45" s="16">
        <f t="shared" si="1"/>
        <v>177</v>
      </c>
    </row>
    <row r="46" spans="1:15" x14ac:dyDescent="0.3">
      <c r="A46" s="2">
        <v>44336.423090277778</v>
      </c>
      <c r="B46" s="6" t="s">
        <v>3</v>
      </c>
      <c r="C46" s="9">
        <v>184982.95</v>
      </c>
      <c r="D46" s="9">
        <v>0</v>
      </c>
      <c r="E46" s="6">
        <v>0</v>
      </c>
      <c r="F46" s="6">
        <v>170.91</v>
      </c>
      <c r="G46" s="9">
        <v>134841.26999999999</v>
      </c>
      <c r="H46" s="9">
        <v>47194.49</v>
      </c>
      <c r="I46" s="9">
        <v>1820</v>
      </c>
      <c r="J46" s="9">
        <v>183855.76</v>
      </c>
      <c r="K46" s="12">
        <v>1127.19</v>
      </c>
      <c r="L46" s="13">
        <f t="shared" si="2"/>
        <v>0.35000033743378417</v>
      </c>
      <c r="M46" s="15">
        <f t="shared" si="3"/>
        <v>1.3497351367277987E-2</v>
      </c>
      <c r="N46" s="15" t="str">
        <f t="shared" si="0"/>
        <v>Liquor</v>
      </c>
      <c r="O46" s="16">
        <f t="shared" si="1"/>
        <v>227.88</v>
      </c>
    </row>
    <row r="47" spans="1:15" x14ac:dyDescent="0.3">
      <c r="A47" s="2">
        <v>44339.730787037035</v>
      </c>
      <c r="B47" s="6" t="s">
        <v>2</v>
      </c>
      <c r="C47" s="9">
        <v>1127.19</v>
      </c>
      <c r="D47" s="9">
        <v>121000</v>
      </c>
      <c r="E47" s="6">
        <v>0</v>
      </c>
      <c r="F47" s="6">
        <v>0</v>
      </c>
      <c r="G47" s="9">
        <v>0</v>
      </c>
      <c r="H47" s="9">
        <v>0</v>
      </c>
      <c r="I47" s="9">
        <v>0</v>
      </c>
      <c r="J47" s="9">
        <v>0</v>
      </c>
      <c r="K47" s="12">
        <v>122127.19</v>
      </c>
      <c r="L47" s="13">
        <f t="shared" si="2"/>
        <v>0</v>
      </c>
      <c r="M47" s="15">
        <f t="shared" si="3"/>
        <v>0</v>
      </c>
      <c r="N47" s="15" t="str">
        <f t="shared" si="0"/>
        <v>-</v>
      </c>
      <c r="O47" s="16">
        <f t="shared" si="1"/>
        <v>0</v>
      </c>
    </row>
    <row r="48" spans="1:15" x14ac:dyDescent="0.3">
      <c r="A48" s="2">
        <v>44339.973090277781</v>
      </c>
      <c r="B48" s="6" t="s">
        <v>2</v>
      </c>
      <c r="C48" s="9">
        <v>122127.19</v>
      </c>
      <c r="D48" s="9">
        <v>80000</v>
      </c>
      <c r="E48" s="6">
        <v>0</v>
      </c>
      <c r="F48" s="6">
        <v>0</v>
      </c>
      <c r="G48" s="9">
        <v>0</v>
      </c>
      <c r="H48" s="9">
        <v>0</v>
      </c>
      <c r="I48" s="9">
        <v>0</v>
      </c>
      <c r="J48" s="9">
        <v>0</v>
      </c>
      <c r="K48" s="12">
        <v>202127.19</v>
      </c>
      <c r="L48" s="13">
        <f t="shared" si="2"/>
        <v>0</v>
      </c>
      <c r="M48" s="15">
        <f t="shared" si="3"/>
        <v>0</v>
      </c>
      <c r="N48" s="15" t="str">
        <f t="shared" si="0"/>
        <v>-</v>
      </c>
      <c r="O48" s="16">
        <f t="shared" si="1"/>
        <v>0</v>
      </c>
    </row>
    <row r="49" spans="1:15" x14ac:dyDescent="0.3">
      <c r="A49" s="2">
        <v>44340.385717592595</v>
      </c>
      <c r="B49" s="6" t="s">
        <v>3</v>
      </c>
      <c r="C49" s="9">
        <v>202127.19</v>
      </c>
      <c r="D49" s="9">
        <v>0</v>
      </c>
      <c r="E49" s="6">
        <v>99</v>
      </c>
      <c r="F49" s="6">
        <v>0</v>
      </c>
      <c r="G49" s="9">
        <v>15079.35</v>
      </c>
      <c r="H49" s="9">
        <v>5277.77</v>
      </c>
      <c r="I49" s="9">
        <v>203.57</v>
      </c>
      <c r="J49" s="9">
        <v>20560.689999999999</v>
      </c>
      <c r="K49" s="12">
        <v>181566.5</v>
      </c>
      <c r="L49" s="13">
        <f t="shared" si="2"/>
        <v>0.34999983421036057</v>
      </c>
      <c r="M49" s="15">
        <f t="shared" si="3"/>
        <v>1.3499918763076657E-2</v>
      </c>
      <c r="N49" s="15" t="str">
        <f t="shared" si="0"/>
        <v>Beer</v>
      </c>
      <c r="O49" s="16">
        <f t="shared" si="1"/>
        <v>99</v>
      </c>
    </row>
    <row r="50" spans="1:15" x14ac:dyDescent="0.3">
      <c r="A50" s="2">
        <v>44340.386331018519</v>
      </c>
      <c r="B50" s="6" t="s">
        <v>3</v>
      </c>
      <c r="C50" s="9">
        <v>181566.5</v>
      </c>
      <c r="D50" s="9">
        <v>0</v>
      </c>
      <c r="E50" s="6">
        <v>0</v>
      </c>
      <c r="F50" s="6">
        <v>162.54</v>
      </c>
      <c r="G50" s="9">
        <v>131904.78</v>
      </c>
      <c r="H50" s="9">
        <v>46166.71</v>
      </c>
      <c r="I50" s="9">
        <v>1781</v>
      </c>
      <c r="J50" s="9">
        <v>179852.49</v>
      </c>
      <c r="K50" s="12">
        <v>1714.01</v>
      </c>
      <c r="L50" s="13">
        <f t="shared" si="2"/>
        <v>0.35000028050537668</v>
      </c>
      <c r="M50" s="15">
        <f t="shared" si="3"/>
        <v>1.3502164212699494E-2</v>
      </c>
      <c r="N50" s="15" t="str">
        <f t="shared" si="0"/>
        <v>Liquor</v>
      </c>
      <c r="O50" s="16">
        <f t="shared" si="1"/>
        <v>216.72</v>
      </c>
    </row>
    <row r="51" spans="1:15" x14ac:dyDescent="0.3">
      <c r="A51" s="2">
        <v>44343.865983796299</v>
      </c>
      <c r="B51" s="6" t="s">
        <v>2</v>
      </c>
      <c r="C51" s="9">
        <v>1714.01</v>
      </c>
      <c r="D51" s="9">
        <v>232000</v>
      </c>
      <c r="E51" s="6">
        <v>0</v>
      </c>
      <c r="F51" s="6">
        <v>0</v>
      </c>
      <c r="G51" s="9">
        <v>0</v>
      </c>
      <c r="H51" s="9">
        <v>0</v>
      </c>
      <c r="I51" s="9">
        <v>0</v>
      </c>
      <c r="J51" s="9">
        <v>0</v>
      </c>
      <c r="K51" s="12">
        <v>233714.01</v>
      </c>
      <c r="L51" s="13">
        <f t="shared" si="2"/>
        <v>0</v>
      </c>
      <c r="M51" s="15">
        <f t="shared" si="3"/>
        <v>0</v>
      </c>
      <c r="N51" s="15" t="str">
        <f t="shared" si="0"/>
        <v>-</v>
      </c>
      <c r="O51" s="16">
        <f t="shared" si="1"/>
        <v>0</v>
      </c>
    </row>
    <row r="52" spans="1:15" x14ac:dyDescent="0.3">
      <c r="A52" s="2">
        <v>44344.354710648149</v>
      </c>
      <c r="B52" s="6" t="s">
        <v>3</v>
      </c>
      <c r="C52" s="9">
        <v>233714.01</v>
      </c>
      <c r="D52" s="9">
        <v>0</v>
      </c>
      <c r="E52" s="6">
        <v>0</v>
      </c>
      <c r="F52" s="6">
        <v>150.12</v>
      </c>
      <c r="G52" s="9">
        <v>120079.4</v>
      </c>
      <c r="H52" s="9">
        <v>42027.79</v>
      </c>
      <c r="I52" s="9">
        <v>1621.07</v>
      </c>
      <c r="J52" s="9">
        <v>163728.26</v>
      </c>
      <c r="K52" s="12">
        <v>69985.75</v>
      </c>
      <c r="L52" s="13">
        <f t="shared" si="2"/>
        <v>0.35000000000000003</v>
      </c>
      <c r="M52" s="15">
        <f t="shared" si="3"/>
        <v>1.3499984177136128E-2</v>
      </c>
      <c r="N52" s="15" t="str">
        <f t="shared" si="0"/>
        <v>Liquor</v>
      </c>
      <c r="O52" s="16">
        <f t="shared" si="1"/>
        <v>200.16</v>
      </c>
    </row>
    <row r="53" spans="1:15" x14ac:dyDescent="0.3">
      <c r="A53" s="2">
        <v>44344.355162037034</v>
      </c>
      <c r="B53" s="6" t="s">
        <v>3</v>
      </c>
      <c r="C53" s="9">
        <v>69985.75</v>
      </c>
      <c r="D53" s="9">
        <v>0</v>
      </c>
      <c r="E53" s="6">
        <v>174</v>
      </c>
      <c r="F53" s="6">
        <v>0</v>
      </c>
      <c r="G53" s="9">
        <v>26349.18</v>
      </c>
      <c r="H53" s="9">
        <v>9222.2099999999991</v>
      </c>
      <c r="I53" s="9">
        <v>355.71</v>
      </c>
      <c r="J53" s="9">
        <v>35927.11</v>
      </c>
      <c r="K53" s="12">
        <v>34058.639999999999</v>
      </c>
      <c r="L53" s="13">
        <f t="shared" si="2"/>
        <v>0.34999988614446442</v>
      </c>
      <c r="M53" s="15">
        <f t="shared" si="3"/>
        <v>1.3499850849248438E-2</v>
      </c>
      <c r="N53" s="15" t="str">
        <f t="shared" si="0"/>
        <v>Beer</v>
      </c>
      <c r="O53" s="16">
        <f t="shared" si="1"/>
        <v>174</v>
      </c>
    </row>
    <row r="54" spans="1:15" x14ac:dyDescent="0.3">
      <c r="A54" s="2">
        <v>44347.004212962966</v>
      </c>
      <c r="B54" s="6" t="s">
        <v>2</v>
      </c>
      <c r="C54" s="9">
        <v>34058.639999999999</v>
      </c>
      <c r="D54" s="9">
        <v>74500</v>
      </c>
      <c r="E54" s="6">
        <v>0</v>
      </c>
      <c r="F54" s="6">
        <v>0</v>
      </c>
      <c r="G54" s="9">
        <v>0</v>
      </c>
      <c r="H54" s="9">
        <v>0</v>
      </c>
      <c r="I54" s="9">
        <v>0</v>
      </c>
      <c r="J54" s="9">
        <v>0</v>
      </c>
      <c r="K54" s="12">
        <v>108558.64</v>
      </c>
      <c r="L54" s="13">
        <f t="shared" si="2"/>
        <v>0</v>
      </c>
      <c r="M54" s="15">
        <f t="shared" si="3"/>
        <v>0</v>
      </c>
      <c r="N54" s="15" t="str">
        <f t="shared" si="0"/>
        <v>-</v>
      </c>
      <c r="O54" s="16">
        <f t="shared" si="1"/>
        <v>0</v>
      </c>
    </row>
    <row r="55" spans="1:15" x14ac:dyDescent="0.3">
      <c r="A55" s="2">
        <v>44347.992349537039</v>
      </c>
      <c r="B55" s="6" t="s">
        <v>2</v>
      </c>
      <c r="C55" s="9">
        <v>108558.64</v>
      </c>
      <c r="D55" s="9">
        <v>132000</v>
      </c>
      <c r="E55" s="6">
        <v>0</v>
      </c>
      <c r="F55" s="6">
        <v>0</v>
      </c>
      <c r="G55" s="9">
        <v>0</v>
      </c>
      <c r="H55" s="9">
        <v>0</v>
      </c>
      <c r="I55" s="9">
        <v>0</v>
      </c>
      <c r="J55" s="9">
        <v>0</v>
      </c>
      <c r="K55" s="12">
        <v>240558.64</v>
      </c>
      <c r="L55" s="13">
        <f t="shared" si="2"/>
        <v>0</v>
      </c>
      <c r="M55" s="15">
        <f t="shared" si="3"/>
        <v>0</v>
      </c>
      <c r="N55" s="15" t="str">
        <f t="shared" si="0"/>
        <v>-</v>
      </c>
      <c r="O55" s="16">
        <f t="shared" si="1"/>
        <v>0</v>
      </c>
    </row>
    <row r="56" spans="1:15" x14ac:dyDescent="0.3">
      <c r="A56" s="2">
        <v>44350.398564814815</v>
      </c>
      <c r="B56" s="6" t="s">
        <v>3</v>
      </c>
      <c r="C56" s="9">
        <v>240558.64</v>
      </c>
      <c r="D56" s="9">
        <v>0</v>
      </c>
      <c r="E56" s="6">
        <v>0</v>
      </c>
      <c r="F56" s="6">
        <v>155.25</v>
      </c>
      <c r="G56" s="9">
        <v>119999.96</v>
      </c>
      <c r="H56" s="9">
        <v>42000</v>
      </c>
      <c r="I56" s="9">
        <v>1620</v>
      </c>
      <c r="J56" s="9">
        <v>163619.96</v>
      </c>
      <c r="K56" s="12">
        <v>76938.679999999993</v>
      </c>
      <c r="L56" s="13">
        <f t="shared" si="2"/>
        <v>0.35000011666670555</v>
      </c>
      <c r="M56" s="15">
        <f t="shared" si="3"/>
        <v>1.35000045000015E-2</v>
      </c>
      <c r="N56" s="15" t="str">
        <f t="shared" si="0"/>
        <v>Liquor</v>
      </c>
      <c r="O56" s="16">
        <f t="shared" si="1"/>
        <v>207</v>
      </c>
    </row>
    <row r="57" spans="1:15" x14ac:dyDescent="0.3">
      <c r="A57" s="2">
        <v>44350.398993055554</v>
      </c>
      <c r="B57" s="6" t="s">
        <v>3</v>
      </c>
      <c r="C57" s="9">
        <v>76938.679999999993</v>
      </c>
      <c r="D57" s="9">
        <v>0</v>
      </c>
      <c r="E57" s="6">
        <v>138</v>
      </c>
      <c r="F57" s="6">
        <v>0</v>
      </c>
      <c r="G57" s="9">
        <v>20634.900000000001</v>
      </c>
      <c r="H57" s="9">
        <v>7222.22</v>
      </c>
      <c r="I57" s="9">
        <v>278.57</v>
      </c>
      <c r="J57" s="9">
        <v>28135.69</v>
      </c>
      <c r="K57" s="12">
        <v>48802.99</v>
      </c>
      <c r="L57" s="13">
        <f t="shared" si="2"/>
        <v>0.35000024230793458</v>
      </c>
      <c r="M57" s="15">
        <f t="shared" si="3"/>
        <v>1.3499944269175036E-2</v>
      </c>
      <c r="N57" s="15" t="str">
        <f t="shared" si="0"/>
        <v>Beer</v>
      </c>
      <c r="O57" s="16">
        <f t="shared" si="1"/>
        <v>138</v>
      </c>
    </row>
    <row r="58" spans="1:15" x14ac:dyDescent="0.3">
      <c r="A58" s="2">
        <v>44353.978703703702</v>
      </c>
      <c r="B58" s="6" t="s">
        <v>2</v>
      </c>
      <c r="C58" s="9">
        <v>48802.99</v>
      </c>
      <c r="D58" s="9">
        <v>70000</v>
      </c>
      <c r="E58" s="6">
        <v>0</v>
      </c>
      <c r="F58" s="6">
        <v>0</v>
      </c>
      <c r="G58" s="9">
        <v>0</v>
      </c>
      <c r="H58" s="9">
        <v>0</v>
      </c>
      <c r="I58" s="9">
        <v>0</v>
      </c>
      <c r="J58" s="9">
        <v>0</v>
      </c>
      <c r="K58" s="12">
        <v>118802.99</v>
      </c>
      <c r="L58" s="13">
        <f t="shared" si="2"/>
        <v>0</v>
      </c>
      <c r="M58" s="15">
        <f t="shared" si="3"/>
        <v>0</v>
      </c>
      <c r="N58" s="15" t="str">
        <f t="shared" si="0"/>
        <v>-</v>
      </c>
      <c r="O58" s="16">
        <f t="shared" si="1"/>
        <v>0</v>
      </c>
    </row>
    <row r="59" spans="1:15" x14ac:dyDescent="0.3">
      <c r="A59" s="2">
        <v>44356.379907407405</v>
      </c>
      <c r="B59" s="6" t="s">
        <v>3</v>
      </c>
      <c r="C59" s="9">
        <v>118802.99</v>
      </c>
      <c r="D59" s="9">
        <v>0</v>
      </c>
      <c r="E59" s="6">
        <v>0</v>
      </c>
      <c r="F59" s="6">
        <v>33.75</v>
      </c>
      <c r="G59" s="9">
        <v>33492.06</v>
      </c>
      <c r="H59" s="9">
        <v>11722.22</v>
      </c>
      <c r="I59" s="9">
        <v>452.14</v>
      </c>
      <c r="J59" s="9">
        <v>45666.42</v>
      </c>
      <c r="K59" s="12">
        <v>73136.570000000007</v>
      </c>
      <c r="L59" s="13">
        <f t="shared" si="2"/>
        <v>0.34999997014217699</v>
      </c>
      <c r="M59" s="15">
        <f t="shared" si="3"/>
        <v>1.3499916099517319E-2</v>
      </c>
      <c r="N59" s="15" t="str">
        <f t="shared" si="0"/>
        <v>Liquor</v>
      </c>
      <c r="O59" s="16">
        <f t="shared" si="1"/>
        <v>45</v>
      </c>
    </row>
    <row r="60" spans="1:15" x14ac:dyDescent="0.3">
      <c r="A60" s="2">
        <v>44360.781388888892</v>
      </c>
      <c r="B60" s="6" t="s">
        <v>2</v>
      </c>
      <c r="C60" s="9">
        <v>73136.570000000007</v>
      </c>
      <c r="D60" s="9">
        <v>56000</v>
      </c>
      <c r="E60" s="6">
        <v>0</v>
      </c>
      <c r="F60" s="6">
        <v>0</v>
      </c>
      <c r="G60" s="9">
        <v>0</v>
      </c>
      <c r="H60" s="9">
        <v>0</v>
      </c>
      <c r="I60" s="9">
        <v>0</v>
      </c>
      <c r="J60" s="9">
        <v>0</v>
      </c>
      <c r="K60" s="12">
        <v>129136.57</v>
      </c>
      <c r="L60" s="13">
        <f t="shared" si="2"/>
        <v>0</v>
      </c>
      <c r="M60" s="15">
        <f t="shared" si="3"/>
        <v>0</v>
      </c>
      <c r="N60" s="15" t="str">
        <f t="shared" si="0"/>
        <v>-</v>
      </c>
      <c r="O60" s="16">
        <f t="shared" si="1"/>
        <v>0</v>
      </c>
    </row>
    <row r="61" spans="1:15" x14ac:dyDescent="0.3">
      <c r="A61" s="2">
        <v>44361.391481481478</v>
      </c>
      <c r="B61" s="6" t="s">
        <v>3</v>
      </c>
      <c r="C61" s="9">
        <v>129136.57</v>
      </c>
      <c r="D61" s="9">
        <v>0</v>
      </c>
      <c r="E61" s="6">
        <v>0</v>
      </c>
      <c r="F61" s="6">
        <v>104.22</v>
      </c>
      <c r="G61" s="9">
        <v>83095.25</v>
      </c>
      <c r="H61" s="9">
        <v>29083.34</v>
      </c>
      <c r="I61" s="9">
        <v>1121.79</v>
      </c>
      <c r="J61" s="9">
        <v>113300.37</v>
      </c>
      <c r="K61" s="12">
        <v>15836.2</v>
      </c>
      <c r="L61" s="13">
        <f t="shared" si="2"/>
        <v>0.35000003008595559</v>
      </c>
      <c r="M61" s="15">
        <f t="shared" si="3"/>
        <v>1.3500049641826698E-2</v>
      </c>
      <c r="N61" s="15" t="str">
        <f t="shared" si="0"/>
        <v>Liquor</v>
      </c>
      <c r="O61" s="16">
        <f t="shared" si="1"/>
        <v>138.96</v>
      </c>
    </row>
    <row r="62" spans="1:15" x14ac:dyDescent="0.3">
      <c r="A62" s="2">
        <v>44361.391817129632</v>
      </c>
      <c r="B62" s="6" t="s">
        <v>3</v>
      </c>
      <c r="C62" s="9">
        <v>15836.2</v>
      </c>
      <c r="D62" s="9">
        <v>0</v>
      </c>
      <c r="E62" s="6">
        <v>78.599999999999994</v>
      </c>
      <c r="F62" s="6">
        <v>0</v>
      </c>
      <c r="G62" s="9">
        <v>11587.29</v>
      </c>
      <c r="H62" s="9">
        <v>4055.55</v>
      </c>
      <c r="I62" s="9">
        <v>156.43</v>
      </c>
      <c r="J62" s="9">
        <v>15799.27</v>
      </c>
      <c r="K62" s="12">
        <v>36.93</v>
      </c>
      <c r="L62" s="13">
        <f t="shared" si="2"/>
        <v>0.34999987054781573</v>
      </c>
      <c r="M62" s="15">
        <f t="shared" si="3"/>
        <v>1.350013678780802E-2</v>
      </c>
      <c r="N62" s="15" t="str">
        <f t="shared" si="0"/>
        <v>Beer</v>
      </c>
      <c r="O62" s="16">
        <f t="shared" si="1"/>
        <v>78.599999999999994</v>
      </c>
    </row>
    <row r="63" spans="1:15" x14ac:dyDescent="0.3">
      <c r="A63" s="2">
        <v>44364.007881944446</v>
      </c>
      <c r="B63" s="6" t="s">
        <v>2</v>
      </c>
      <c r="C63" s="9">
        <v>36.93</v>
      </c>
      <c r="D63" s="9">
        <v>124000</v>
      </c>
      <c r="E63" s="6">
        <v>0</v>
      </c>
      <c r="F63" s="6">
        <v>0</v>
      </c>
      <c r="G63" s="9">
        <v>0</v>
      </c>
      <c r="H63" s="9">
        <v>0</v>
      </c>
      <c r="I63" s="9">
        <v>0</v>
      </c>
      <c r="J63" s="9">
        <v>0</v>
      </c>
      <c r="K63" s="12">
        <v>124036.93</v>
      </c>
      <c r="L63" s="13">
        <f t="shared" si="2"/>
        <v>0</v>
      </c>
      <c r="M63" s="15">
        <f t="shared" si="3"/>
        <v>0</v>
      </c>
      <c r="N63" s="15" t="str">
        <f t="shared" si="0"/>
        <v>-</v>
      </c>
      <c r="O63" s="16">
        <f t="shared" si="1"/>
        <v>0</v>
      </c>
    </row>
    <row r="64" spans="1:15" x14ac:dyDescent="0.3">
      <c r="A64" s="2">
        <v>44364.28496527778</v>
      </c>
      <c r="B64" s="6" t="s">
        <v>2</v>
      </c>
      <c r="C64" s="9">
        <v>124036.93</v>
      </c>
      <c r="D64" s="9">
        <v>159000</v>
      </c>
      <c r="E64" s="6">
        <v>0</v>
      </c>
      <c r="F64" s="6">
        <v>0</v>
      </c>
      <c r="G64" s="9">
        <v>0</v>
      </c>
      <c r="H64" s="9">
        <v>0</v>
      </c>
      <c r="I64" s="9">
        <v>0</v>
      </c>
      <c r="J64" s="9">
        <v>0</v>
      </c>
      <c r="K64" s="12">
        <v>283036.93</v>
      </c>
      <c r="L64" s="13">
        <f t="shared" si="2"/>
        <v>0</v>
      </c>
      <c r="M64" s="15">
        <f t="shared" si="3"/>
        <v>0</v>
      </c>
      <c r="N64" s="15" t="str">
        <f t="shared" si="0"/>
        <v>-</v>
      </c>
      <c r="O64" s="16">
        <f t="shared" si="1"/>
        <v>0</v>
      </c>
    </row>
    <row r="65" spans="1:15" x14ac:dyDescent="0.3">
      <c r="A65" s="2">
        <v>44364.439039351855</v>
      </c>
      <c r="B65" s="6" t="s">
        <v>3</v>
      </c>
      <c r="C65" s="9">
        <v>283036.93</v>
      </c>
      <c r="D65" s="9">
        <v>0</v>
      </c>
      <c r="E65" s="6">
        <v>0</v>
      </c>
      <c r="F65" s="6">
        <v>202.5</v>
      </c>
      <c r="G65" s="9">
        <v>171031.77</v>
      </c>
      <c r="H65" s="9">
        <v>59861.120000000003</v>
      </c>
      <c r="I65" s="9">
        <v>2308.9299999999998</v>
      </c>
      <c r="J65" s="9">
        <v>233201.82</v>
      </c>
      <c r="K65" s="12">
        <v>49835.11</v>
      </c>
      <c r="L65" s="13">
        <f t="shared" si="2"/>
        <v>0.35000000292343353</v>
      </c>
      <c r="M65" s="15">
        <f t="shared" si="3"/>
        <v>1.3500006460787958E-2</v>
      </c>
      <c r="N65" s="15" t="str">
        <f t="shared" si="0"/>
        <v>Liquor</v>
      </c>
      <c r="O65" s="16">
        <f t="shared" si="1"/>
        <v>270</v>
      </c>
    </row>
    <row r="66" spans="1:15" x14ac:dyDescent="0.3">
      <c r="A66" s="2">
        <v>44364.439444444448</v>
      </c>
      <c r="B66" s="6" t="s">
        <v>3</v>
      </c>
      <c r="C66" s="9">
        <v>49835.11</v>
      </c>
      <c r="D66" s="9">
        <v>0</v>
      </c>
      <c r="E66" s="6">
        <v>237</v>
      </c>
      <c r="F66" s="6">
        <v>0</v>
      </c>
      <c r="G66" s="9">
        <v>35714.25</v>
      </c>
      <c r="H66" s="9">
        <v>12499.99</v>
      </c>
      <c r="I66" s="9">
        <v>482.14</v>
      </c>
      <c r="J66" s="9">
        <v>48696.38</v>
      </c>
      <c r="K66" s="12">
        <v>1138.73</v>
      </c>
      <c r="L66" s="13">
        <f t="shared" si="2"/>
        <v>0.35000007000007</v>
      </c>
      <c r="M66" s="15">
        <f t="shared" si="3"/>
        <v>1.34999334999335E-2</v>
      </c>
      <c r="N66" s="15" t="str">
        <f t="shared" si="0"/>
        <v>Beer</v>
      </c>
      <c r="O66" s="16">
        <f t="shared" si="1"/>
        <v>237</v>
      </c>
    </row>
    <row r="67" spans="1:15" x14ac:dyDescent="0.3">
      <c r="A67" s="2">
        <v>44367.979884259257</v>
      </c>
      <c r="B67" s="6" t="s">
        <v>2</v>
      </c>
      <c r="C67" s="9">
        <v>1138.73</v>
      </c>
      <c r="D67" s="9">
        <v>239000</v>
      </c>
      <c r="E67" s="6">
        <v>0</v>
      </c>
      <c r="F67" s="6">
        <v>0</v>
      </c>
      <c r="G67" s="9">
        <v>0</v>
      </c>
      <c r="H67" s="9">
        <v>0</v>
      </c>
      <c r="I67" s="9">
        <v>0</v>
      </c>
      <c r="J67" s="9">
        <v>0</v>
      </c>
      <c r="K67" s="12">
        <v>240138.73</v>
      </c>
      <c r="L67" s="13">
        <f t="shared" si="2"/>
        <v>0</v>
      </c>
      <c r="M67" s="15">
        <f t="shared" si="3"/>
        <v>0</v>
      </c>
      <c r="N67" s="15" t="str">
        <f t="shared" ref="N67:N130" si="4">IF($E67&lt;&gt;0,"Beer",IF($F67&lt;&gt;0,"Liquor","-"))</f>
        <v>-</v>
      </c>
      <c r="O67" s="16">
        <f t="shared" ref="O67:O130" si="5">IF($E67&lt;&gt;0,$E67,IF($F67&lt;&gt;0,$F67/0.75,0))</f>
        <v>0</v>
      </c>
    </row>
    <row r="68" spans="1:15" x14ac:dyDescent="0.3">
      <c r="A68" s="2">
        <v>44368.407083333332</v>
      </c>
      <c r="B68" s="6" t="s">
        <v>3</v>
      </c>
      <c r="C68" s="9">
        <v>240138.73</v>
      </c>
      <c r="D68" s="9">
        <v>0</v>
      </c>
      <c r="E68" s="6">
        <v>0</v>
      </c>
      <c r="F68" s="6">
        <v>182.52</v>
      </c>
      <c r="G68" s="9">
        <v>148174.64000000001</v>
      </c>
      <c r="H68" s="9">
        <v>51861.16</v>
      </c>
      <c r="I68" s="9">
        <v>2000</v>
      </c>
      <c r="J68" s="9">
        <v>202035.8</v>
      </c>
      <c r="K68" s="12">
        <v>38102.93</v>
      </c>
      <c r="L68" s="13">
        <f t="shared" ref="L68:L131" si="6">IFERROR(H68/$G68,0)</f>
        <v>0.35000024295655452</v>
      </c>
      <c r="M68" s="15">
        <f t="shared" ref="M68:M131" si="7">IFERROR(I68/$G68,0)</f>
        <v>1.3497586361606816E-2</v>
      </c>
      <c r="N68" s="15" t="str">
        <f t="shared" si="4"/>
        <v>Liquor</v>
      </c>
      <c r="O68" s="16">
        <f t="shared" si="5"/>
        <v>243.36</v>
      </c>
    </row>
    <row r="69" spans="1:15" x14ac:dyDescent="0.3">
      <c r="A69" s="2">
        <v>44368.414085648146</v>
      </c>
      <c r="B69" s="6" t="s">
        <v>3</v>
      </c>
      <c r="C69" s="9">
        <v>38102.93</v>
      </c>
      <c r="D69" s="9">
        <v>0</v>
      </c>
      <c r="E69" s="6">
        <v>184.8</v>
      </c>
      <c r="F69" s="6">
        <v>0</v>
      </c>
      <c r="G69" s="9">
        <v>27857.119999999999</v>
      </c>
      <c r="H69" s="9">
        <v>9749.99</v>
      </c>
      <c r="I69" s="9">
        <v>376.07</v>
      </c>
      <c r="J69" s="9">
        <v>37983.18</v>
      </c>
      <c r="K69" s="12">
        <v>119.75</v>
      </c>
      <c r="L69" s="13">
        <f t="shared" si="6"/>
        <v>0.34999992820506931</v>
      </c>
      <c r="M69" s="15">
        <f t="shared" si="7"/>
        <v>1.3499959794838806E-2</v>
      </c>
      <c r="N69" s="15" t="str">
        <f t="shared" si="4"/>
        <v>Beer</v>
      </c>
      <c r="O69" s="16">
        <f t="shared" si="5"/>
        <v>184.8</v>
      </c>
    </row>
    <row r="70" spans="1:15" x14ac:dyDescent="0.3">
      <c r="A70" s="2">
        <v>44370.382326388892</v>
      </c>
      <c r="B70" s="6" t="s">
        <v>2</v>
      </c>
      <c r="C70" s="9">
        <v>119.75</v>
      </c>
      <c r="D70" s="9">
        <v>114000</v>
      </c>
      <c r="E70" s="6">
        <v>0</v>
      </c>
      <c r="F70" s="6">
        <v>0</v>
      </c>
      <c r="G70" s="9">
        <v>0</v>
      </c>
      <c r="H70" s="9">
        <v>0</v>
      </c>
      <c r="I70" s="9">
        <v>0</v>
      </c>
      <c r="J70" s="9">
        <v>0</v>
      </c>
      <c r="K70" s="12">
        <v>114119.75</v>
      </c>
      <c r="L70" s="13">
        <f t="shared" si="6"/>
        <v>0</v>
      </c>
      <c r="M70" s="15">
        <f t="shared" si="7"/>
        <v>0</v>
      </c>
      <c r="N70" s="15" t="str">
        <f t="shared" si="4"/>
        <v>-</v>
      </c>
      <c r="O70" s="16">
        <f t="shared" si="5"/>
        <v>0</v>
      </c>
    </row>
    <row r="71" spans="1:15" x14ac:dyDescent="0.3">
      <c r="A71" s="2">
        <v>44370.431273148148</v>
      </c>
      <c r="B71" s="6" t="s">
        <v>2</v>
      </c>
      <c r="C71" s="9">
        <v>114119.75</v>
      </c>
      <c r="D71" s="9">
        <v>40000</v>
      </c>
      <c r="E71" s="6">
        <v>0</v>
      </c>
      <c r="F71" s="6">
        <v>0</v>
      </c>
      <c r="G71" s="9">
        <v>0</v>
      </c>
      <c r="H71" s="9">
        <v>0</v>
      </c>
      <c r="I71" s="9">
        <v>0</v>
      </c>
      <c r="J71" s="9">
        <v>0</v>
      </c>
      <c r="K71" s="12">
        <v>154119.75</v>
      </c>
      <c r="L71" s="13">
        <f t="shared" si="6"/>
        <v>0</v>
      </c>
      <c r="M71" s="15">
        <f t="shared" si="7"/>
        <v>0</v>
      </c>
      <c r="N71" s="15" t="str">
        <f t="shared" si="4"/>
        <v>-</v>
      </c>
      <c r="O71" s="16">
        <f t="shared" si="5"/>
        <v>0</v>
      </c>
    </row>
    <row r="72" spans="1:15" x14ac:dyDescent="0.3">
      <c r="A72" s="2">
        <v>44370.483136574076</v>
      </c>
      <c r="B72" s="6" t="s">
        <v>3</v>
      </c>
      <c r="C72" s="9">
        <v>154119.75</v>
      </c>
      <c r="D72" s="9">
        <v>0</v>
      </c>
      <c r="E72" s="6">
        <v>0</v>
      </c>
      <c r="F72" s="6">
        <v>128.38999999999999</v>
      </c>
      <c r="G72" s="9">
        <v>109841.3</v>
      </c>
      <c r="H72" s="9">
        <v>38444.46</v>
      </c>
      <c r="I72" s="9">
        <v>1483</v>
      </c>
      <c r="J72" s="9">
        <v>149768.76</v>
      </c>
      <c r="K72" s="12">
        <v>4350.99</v>
      </c>
      <c r="L72" s="13">
        <f t="shared" si="6"/>
        <v>0.35000004552021868</v>
      </c>
      <c r="M72" s="15">
        <f t="shared" si="7"/>
        <v>1.3501296871031205E-2</v>
      </c>
      <c r="N72" s="15" t="str">
        <f t="shared" si="4"/>
        <v>Liquor</v>
      </c>
      <c r="O72" s="16">
        <f t="shared" si="5"/>
        <v>171.18666666666664</v>
      </c>
    </row>
    <row r="73" spans="1:15" x14ac:dyDescent="0.3">
      <c r="A73" s="2">
        <v>44372.374050925922</v>
      </c>
      <c r="B73" s="6" t="s">
        <v>2</v>
      </c>
      <c r="C73" s="9">
        <v>4350.99</v>
      </c>
      <c r="D73" s="9">
        <v>160000</v>
      </c>
      <c r="E73" s="6">
        <v>0</v>
      </c>
      <c r="F73" s="6">
        <v>0</v>
      </c>
      <c r="G73" s="9">
        <v>0</v>
      </c>
      <c r="H73" s="9">
        <v>0</v>
      </c>
      <c r="I73" s="9">
        <v>0</v>
      </c>
      <c r="J73" s="9">
        <v>0</v>
      </c>
      <c r="K73" s="12">
        <v>164350.99</v>
      </c>
      <c r="L73" s="13">
        <f t="shared" si="6"/>
        <v>0</v>
      </c>
      <c r="M73" s="15">
        <f t="shared" si="7"/>
        <v>0</v>
      </c>
      <c r="N73" s="15" t="str">
        <f t="shared" si="4"/>
        <v>-</v>
      </c>
      <c r="O73" s="16">
        <f t="shared" si="5"/>
        <v>0</v>
      </c>
    </row>
    <row r="74" spans="1:15" x14ac:dyDescent="0.3">
      <c r="A74" s="2">
        <v>44372.409907407404</v>
      </c>
      <c r="B74" s="6" t="s">
        <v>3</v>
      </c>
      <c r="C74" s="9">
        <v>164350.99</v>
      </c>
      <c r="D74" s="9">
        <v>0</v>
      </c>
      <c r="E74" s="6">
        <v>169.8</v>
      </c>
      <c r="F74" s="6">
        <v>0</v>
      </c>
      <c r="G74" s="9">
        <v>25555.53</v>
      </c>
      <c r="H74" s="9">
        <v>8944.44</v>
      </c>
      <c r="I74" s="9">
        <v>345</v>
      </c>
      <c r="J74" s="9">
        <v>34844.97</v>
      </c>
      <c r="K74" s="12">
        <v>129506.02</v>
      </c>
      <c r="L74" s="13">
        <f t="shared" si="6"/>
        <v>0.35000017608713263</v>
      </c>
      <c r="M74" s="15">
        <f t="shared" si="7"/>
        <v>1.3500013500013501E-2</v>
      </c>
      <c r="N74" s="15" t="str">
        <f t="shared" si="4"/>
        <v>Beer</v>
      </c>
      <c r="O74" s="16">
        <f t="shared" si="5"/>
        <v>169.8</v>
      </c>
    </row>
    <row r="75" spans="1:15" x14ac:dyDescent="0.3">
      <c r="A75" s="2">
        <v>44372.42931712963</v>
      </c>
      <c r="B75" s="6" t="s">
        <v>3</v>
      </c>
      <c r="C75" s="9">
        <v>129506.02</v>
      </c>
      <c r="D75" s="9">
        <v>0</v>
      </c>
      <c r="E75" s="6">
        <v>0</v>
      </c>
      <c r="F75" s="6">
        <v>117.45</v>
      </c>
      <c r="G75" s="9">
        <v>94523.839999999997</v>
      </c>
      <c r="H75" s="9">
        <v>33083.360000000001</v>
      </c>
      <c r="I75" s="9">
        <v>1276</v>
      </c>
      <c r="J75" s="9">
        <v>128883.2</v>
      </c>
      <c r="K75" s="12">
        <v>622.82000000000005</v>
      </c>
      <c r="L75" s="13">
        <f t="shared" si="6"/>
        <v>0.35000016926946687</v>
      </c>
      <c r="M75" s="15">
        <f t="shared" si="7"/>
        <v>1.3499239980093912E-2</v>
      </c>
      <c r="N75" s="15" t="str">
        <f t="shared" si="4"/>
        <v>Liquor</v>
      </c>
      <c r="O75" s="16">
        <f t="shared" si="5"/>
        <v>156.6</v>
      </c>
    </row>
    <row r="76" spans="1:15" x14ac:dyDescent="0.3">
      <c r="A76" s="2">
        <v>44376.313750000001</v>
      </c>
      <c r="B76" s="6" t="s">
        <v>2</v>
      </c>
      <c r="C76" s="9">
        <v>622.82000000000005</v>
      </c>
      <c r="D76" s="9">
        <v>105500</v>
      </c>
      <c r="E76" s="6">
        <v>0</v>
      </c>
      <c r="F76" s="6">
        <v>0</v>
      </c>
      <c r="G76" s="9">
        <v>0</v>
      </c>
      <c r="H76" s="9">
        <v>0</v>
      </c>
      <c r="I76" s="9">
        <v>0</v>
      </c>
      <c r="J76" s="9">
        <v>0</v>
      </c>
      <c r="K76" s="12">
        <v>106122.82</v>
      </c>
      <c r="L76" s="13">
        <f t="shared" si="6"/>
        <v>0</v>
      </c>
      <c r="M76" s="15">
        <f t="shared" si="7"/>
        <v>0</v>
      </c>
      <c r="N76" s="15" t="str">
        <f t="shared" si="4"/>
        <v>-</v>
      </c>
      <c r="O76" s="16">
        <f t="shared" si="5"/>
        <v>0</v>
      </c>
    </row>
    <row r="77" spans="1:15" x14ac:dyDescent="0.3">
      <c r="A77" s="2">
        <v>44376.379652777781</v>
      </c>
      <c r="B77" s="6" t="s">
        <v>2</v>
      </c>
      <c r="C77" s="9">
        <v>106122.82</v>
      </c>
      <c r="D77" s="9">
        <v>75000</v>
      </c>
      <c r="E77" s="6">
        <v>0</v>
      </c>
      <c r="F77" s="6">
        <v>0</v>
      </c>
      <c r="G77" s="9">
        <v>0</v>
      </c>
      <c r="H77" s="9">
        <v>0</v>
      </c>
      <c r="I77" s="9">
        <v>0</v>
      </c>
      <c r="J77" s="9">
        <v>0</v>
      </c>
      <c r="K77" s="12">
        <v>181122.82</v>
      </c>
      <c r="L77" s="13">
        <f t="shared" si="6"/>
        <v>0</v>
      </c>
      <c r="M77" s="15">
        <f t="shared" si="7"/>
        <v>0</v>
      </c>
      <c r="N77" s="15" t="str">
        <f t="shared" si="4"/>
        <v>-</v>
      </c>
      <c r="O77" s="16">
        <f t="shared" si="5"/>
        <v>0</v>
      </c>
    </row>
    <row r="78" spans="1:15" x14ac:dyDescent="0.3">
      <c r="A78" s="2">
        <v>44376.396689814814</v>
      </c>
      <c r="B78" s="6" t="s">
        <v>2</v>
      </c>
      <c r="C78" s="9">
        <v>181122.82</v>
      </c>
      <c r="D78" s="9">
        <v>15000</v>
      </c>
      <c r="E78" s="6">
        <v>0</v>
      </c>
      <c r="F78" s="6">
        <v>0</v>
      </c>
      <c r="G78" s="9">
        <v>0</v>
      </c>
      <c r="H78" s="9">
        <v>0</v>
      </c>
      <c r="I78" s="9">
        <v>0</v>
      </c>
      <c r="J78" s="9">
        <v>0</v>
      </c>
      <c r="K78" s="12">
        <v>196122.82</v>
      </c>
      <c r="L78" s="13">
        <f t="shared" si="6"/>
        <v>0</v>
      </c>
      <c r="M78" s="15">
        <f t="shared" si="7"/>
        <v>0</v>
      </c>
      <c r="N78" s="15" t="str">
        <f t="shared" si="4"/>
        <v>-</v>
      </c>
      <c r="O78" s="16">
        <f t="shared" si="5"/>
        <v>0</v>
      </c>
    </row>
    <row r="79" spans="1:15" x14ac:dyDescent="0.3">
      <c r="A79" s="2">
        <v>44376.406956018516</v>
      </c>
      <c r="B79" s="6" t="s">
        <v>2</v>
      </c>
      <c r="C79" s="9">
        <v>196122.82</v>
      </c>
      <c r="D79" s="9">
        <v>34000</v>
      </c>
      <c r="E79" s="6">
        <v>0</v>
      </c>
      <c r="F79" s="6">
        <v>0</v>
      </c>
      <c r="G79" s="9">
        <v>0</v>
      </c>
      <c r="H79" s="9">
        <v>0</v>
      </c>
      <c r="I79" s="9">
        <v>0</v>
      </c>
      <c r="J79" s="9">
        <v>0</v>
      </c>
      <c r="K79" s="12">
        <v>230122.82</v>
      </c>
      <c r="L79" s="13">
        <f t="shared" si="6"/>
        <v>0</v>
      </c>
      <c r="M79" s="15">
        <f t="shared" si="7"/>
        <v>0</v>
      </c>
      <c r="N79" s="15" t="str">
        <f t="shared" si="4"/>
        <v>-</v>
      </c>
      <c r="O79" s="16">
        <f t="shared" si="5"/>
        <v>0</v>
      </c>
    </row>
    <row r="80" spans="1:15" x14ac:dyDescent="0.3">
      <c r="A80" s="2">
        <v>44376.484733796293</v>
      </c>
      <c r="B80" s="6" t="s">
        <v>3</v>
      </c>
      <c r="C80" s="9">
        <v>230122.82</v>
      </c>
      <c r="D80" s="9">
        <v>0</v>
      </c>
      <c r="E80" s="6">
        <v>0</v>
      </c>
      <c r="F80" s="6">
        <v>195.75</v>
      </c>
      <c r="G80" s="9">
        <v>166349.26999999999</v>
      </c>
      <c r="H80" s="9">
        <v>58222.26</v>
      </c>
      <c r="I80" s="9">
        <v>2246</v>
      </c>
      <c r="J80" s="9">
        <v>226817.53</v>
      </c>
      <c r="K80" s="12">
        <v>3305.29</v>
      </c>
      <c r="L80" s="13">
        <f t="shared" si="6"/>
        <v>0.35000009317744529</v>
      </c>
      <c r="M80" s="15">
        <f t="shared" si="7"/>
        <v>1.3501712391043256E-2</v>
      </c>
      <c r="N80" s="15" t="str">
        <f t="shared" si="4"/>
        <v>Liquor</v>
      </c>
      <c r="O80" s="16">
        <f t="shared" si="5"/>
        <v>261</v>
      </c>
    </row>
    <row r="81" spans="1:15" x14ac:dyDescent="0.3">
      <c r="A81" s="2">
        <v>44378.364861111113</v>
      </c>
      <c r="B81" s="6" t="s">
        <v>2</v>
      </c>
      <c r="C81" s="9">
        <v>3305.29</v>
      </c>
      <c r="D81" s="9">
        <v>200000</v>
      </c>
      <c r="E81" s="6">
        <v>0</v>
      </c>
      <c r="F81" s="6">
        <v>0</v>
      </c>
      <c r="G81" s="9">
        <v>0</v>
      </c>
      <c r="H81" s="9">
        <v>0</v>
      </c>
      <c r="I81" s="9">
        <v>0</v>
      </c>
      <c r="J81" s="9">
        <v>0</v>
      </c>
      <c r="K81" s="12">
        <v>203305.29</v>
      </c>
      <c r="L81" s="13">
        <f t="shared" si="6"/>
        <v>0</v>
      </c>
      <c r="M81" s="15">
        <f t="shared" si="7"/>
        <v>0</v>
      </c>
      <c r="N81" s="15" t="str">
        <f t="shared" si="4"/>
        <v>-</v>
      </c>
      <c r="O81" s="16">
        <f t="shared" si="5"/>
        <v>0</v>
      </c>
    </row>
    <row r="82" spans="1:15" x14ac:dyDescent="0.3">
      <c r="A82" s="2">
        <v>44378.419548611113</v>
      </c>
      <c r="B82" s="6" t="s">
        <v>3</v>
      </c>
      <c r="C82" s="9">
        <v>203305.29</v>
      </c>
      <c r="D82" s="9">
        <v>0</v>
      </c>
      <c r="E82" s="6">
        <v>0</v>
      </c>
      <c r="F82" s="6">
        <v>151.19999999999999</v>
      </c>
      <c r="G82" s="9">
        <v>127936.55</v>
      </c>
      <c r="H82" s="9">
        <v>44777.79</v>
      </c>
      <c r="I82" s="9">
        <v>1727.14</v>
      </c>
      <c r="J82" s="9">
        <v>174441.49</v>
      </c>
      <c r="K82" s="12">
        <v>28863.8</v>
      </c>
      <c r="L82" s="13">
        <f t="shared" si="6"/>
        <v>0.3499999804590635</v>
      </c>
      <c r="M82" s="15">
        <f t="shared" si="7"/>
        <v>1.3499973228916991E-2</v>
      </c>
      <c r="N82" s="15" t="str">
        <f t="shared" si="4"/>
        <v>Liquor</v>
      </c>
      <c r="O82" s="16">
        <f t="shared" si="5"/>
        <v>201.6</v>
      </c>
    </row>
    <row r="83" spans="1:15" x14ac:dyDescent="0.3">
      <c r="A83" s="2">
        <v>44378.419872685183</v>
      </c>
      <c r="B83" s="6" t="s">
        <v>3</v>
      </c>
      <c r="C83" s="9">
        <v>28863.8</v>
      </c>
      <c r="D83" s="9">
        <v>0</v>
      </c>
      <c r="E83" s="6">
        <v>138</v>
      </c>
      <c r="F83" s="6">
        <v>0</v>
      </c>
      <c r="G83" s="9">
        <v>20634.900000000001</v>
      </c>
      <c r="H83" s="9">
        <v>7222.22</v>
      </c>
      <c r="I83" s="9">
        <v>278.57</v>
      </c>
      <c r="J83" s="9">
        <v>28135.69</v>
      </c>
      <c r="K83" s="12">
        <v>728.11</v>
      </c>
      <c r="L83" s="13">
        <f t="shared" si="6"/>
        <v>0.35000024230793458</v>
      </c>
      <c r="M83" s="15">
        <f t="shared" si="7"/>
        <v>1.3499944269175036E-2</v>
      </c>
      <c r="N83" s="15" t="str">
        <f t="shared" si="4"/>
        <v>Beer</v>
      </c>
      <c r="O83" s="16">
        <f t="shared" si="5"/>
        <v>138</v>
      </c>
    </row>
    <row r="84" spans="1:15" x14ac:dyDescent="0.3">
      <c r="A84" s="2">
        <v>44382.371122685188</v>
      </c>
      <c r="B84" s="6" t="s">
        <v>2</v>
      </c>
      <c r="C84" s="9">
        <v>728.11</v>
      </c>
      <c r="D84" s="9">
        <v>25000</v>
      </c>
      <c r="E84" s="6">
        <v>0</v>
      </c>
      <c r="F84" s="6">
        <v>0</v>
      </c>
      <c r="G84" s="9">
        <v>0</v>
      </c>
      <c r="H84" s="9">
        <v>0</v>
      </c>
      <c r="I84" s="9">
        <v>0</v>
      </c>
      <c r="J84" s="9">
        <v>0</v>
      </c>
      <c r="K84" s="12">
        <v>25728.11</v>
      </c>
      <c r="L84" s="13">
        <f t="shared" si="6"/>
        <v>0</v>
      </c>
      <c r="M84" s="15">
        <f t="shared" si="7"/>
        <v>0</v>
      </c>
      <c r="N84" s="15" t="str">
        <f t="shared" si="4"/>
        <v>-</v>
      </c>
      <c r="O84" s="16">
        <f t="shared" si="5"/>
        <v>0</v>
      </c>
    </row>
    <row r="85" spans="1:15" x14ac:dyDescent="0.3">
      <c r="A85" s="2">
        <v>44382.423310185186</v>
      </c>
      <c r="B85" s="6" t="s">
        <v>3</v>
      </c>
      <c r="C85" s="9">
        <v>25728.11</v>
      </c>
      <c r="D85" s="9">
        <v>0</v>
      </c>
      <c r="E85" s="6">
        <v>126</v>
      </c>
      <c r="F85" s="6">
        <v>0</v>
      </c>
      <c r="G85" s="9">
        <v>18730.14</v>
      </c>
      <c r="H85" s="9">
        <v>6555.55</v>
      </c>
      <c r="I85" s="9">
        <v>252.86</v>
      </c>
      <c r="J85" s="9">
        <v>25538.55</v>
      </c>
      <c r="K85" s="12">
        <v>189.56</v>
      </c>
      <c r="L85" s="13">
        <f t="shared" si="6"/>
        <v>0.35000005338988394</v>
      </c>
      <c r="M85" s="15">
        <f t="shared" si="7"/>
        <v>1.3500166042538925E-2</v>
      </c>
      <c r="N85" s="15" t="str">
        <f t="shared" si="4"/>
        <v>Beer</v>
      </c>
      <c r="O85" s="16">
        <f t="shared" si="5"/>
        <v>126</v>
      </c>
    </row>
    <row r="86" spans="1:15" x14ac:dyDescent="0.3">
      <c r="A86" s="2">
        <v>44384.031875000001</v>
      </c>
      <c r="B86" s="6" t="s">
        <v>2</v>
      </c>
      <c r="C86" s="9">
        <v>189.56</v>
      </c>
      <c r="D86" s="9">
        <v>140000</v>
      </c>
      <c r="E86" s="6">
        <v>0</v>
      </c>
      <c r="F86" s="6">
        <v>0</v>
      </c>
      <c r="G86" s="9">
        <v>0</v>
      </c>
      <c r="H86" s="9">
        <v>0</v>
      </c>
      <c r="I86" s="9">
        <v>0</v>
      </c>
      <c r="J86" s="9">
        <v>0</v>
      </c>
      <c r="K86" s="12">
        <v>140189.56</v>
      </c>
      <c r="L86" s="13">
        <f t="shared" si="6"/>
        <v>0</v>
      </c>
      <c r="M86" s="15">
        <f t="shared" si="7"/>
        <v>0</v>
      </c>
      <c r="N86" s="15" t="str">
        <f t="shared" si="4"/>
        <v>-</v>
      </c>
      <c r="O86" s="16">
        <f t="shared" si="5"/>
        <v>0</v>
      </c>
    </row>
    <row r="87" spans="1:15" x14ac:dyDescent="0.3">
      <c r="A87" s="2">
        <v>44384.375486111108</v>
      </c>
      <c r="B87" s="6" t="s">
        <v>2</v>
      </c>
      <c r="C87" s="9">
        <v>140189.56</v>
      </c>
      <c r="D87" s="9">
        <v>160000</v>
      </c>
      <c r="E87" s="6">
        <v>0</v>
      </c>
      <c r="F87" s="6">
        <v>0</v>
      </c>
      <c r="G87" s="9">
        <v>0</v>
      </c>
      <c r="H87" s="9">
        <v>0</v>
      </c>
      <c r="I87" s="9">
        <v>0</v>
      </c>
      <c r="J87" s="9">
        <v>0</v>
      </c>
      <c r="K87" s="12">
        <v>300189.56</v>
      </c>
      <c r="L87" s="13">
        <f t="shared" si="6"/>
        <v>0</v>
      </c>
      <c r="M87" s="15">
        <f t="shared" si="7"/>
        <v>0</v>
      </c>
      <c r="N87" s="15" t="str">
        <f t="shared" si="4"/>
        <v>-</v>
      </c>
      <c r="O87" s="16">
        <f t="shared" si="5"/>
        <v>0</v>
      </c>
    </row>
    <row r="88" spans="1:15" x14ac:dyDescent="0.3">
      <c r="A88" s="2">
        <v>44384.425312500003</v>
      </c>
      <c r="B88" s="6" t="s">
        <v>3</v>
      </c>
      <c r="C88" s="9">
        <v>300189.56</v>
      </c>
      <c r="D88" s="9">
        <v>0</v>
      </c>
      <c r="E88" s="6">
        <v>149.4</v>
      </c>
      <c r="F88" s="6">
        <v>0</v>
      </c>
      <c r="G88" s="9">
        <v>22460.32</v>
      </c>
      <c r="H88" s="9">
        <v>7861.11</v>
      </c>
      <c r="I88" s="9">
        <v>303.20999999999998</v>
      </c>
      <c r="J88" s="9">
        <v>30624.65</v>
      </c>
      <c r="K88" s="12">
        <v>269564.90999999997</v>
      </c>
      <c r="L88" s="13">
        <f t="shared" si="6"/>
        <v>0.34999991095407368</v>
      </c>
      <c r="M88" s="15">
        <f t="shared" si="7"/>
        <v>1.3499807660799133E-2</v>
      </c>
      <c r="N88" s="15" t="str">
        <f t="shared" si="4"/>
        <v>Beer</v>
      </c>
      <c r="O88" s="16">
        <f t="shared" si="5"/>
        <v>149.4</v>
      </c>
    </row>
    <row r="89" spans="1:15" x14ac:dyDescent="0.3">
      <c r="A89" s="2">
        <v>44384.442106481481</v>
      </c>
      <c r="B89" s="6" t="s">
        <v>3</v>
      </c>
      <c r="C89" s="9">
        <v>269564.90999999997</v>
      </c>
      <c r="D89" s="9">
        <v>0</v>
      </c>
      <c r="E89" s="6">
        <v>0</v>
      </c>
      <c r="F89" s="6">
        <v>238.55</v>
      </c>
      <c r="G89" s="9">
        <v>197063.53</v>
      </c>
      <c r="H89" s="9">
        <v>68972.289999999994</v>
      </c>
      <c r="I89" s="9">
        <v>2660</v>
      </c>
      <c r="J89" s="9">
        <v>268695.81</v>
      </c>
      <c r="K89" s="12">
        <v>869.1</v>
      </c>
      <c r="L89" s="13">
        <f t="shared" si="6"/>
        <v>0.35000027656055888</v>
      </c>
      <c r="M89" s="15">
        <f t="shared" si="7"/>
        <v>1.3498185077675204E-2</v>
      </c>
      <c r="N89" s="15" t="str">
        <f t="shared" si="4"/>
        <v>Liquor</v>
      </c>
      <c r="O89" s="16">
        <f t="shared" si="5"/>
        <v>318.06666666666666</v>
      </c>
    </row>
    <row r="90" spans="1:15" x14ac:dyDescent="0.3">
      <c r="A90" s="2">
        <v>44386.343865740739</v>
      </c>
      <c r="B90" s="6" t="s">
        <v>2</v>
      </c>
      <c r="C90" s="9">
        <v>869.1</v>
      </c>
      <c r="D90" s="9">
        <v>199000</v>
      </c>
      <c r="E90" s="6">
        <v>0</v>
      </c>
      <c r="F90" s="6">
        <v>0</v>
      </c>
      <c r="G90" s="9">
        <v>0</v>
      </c>
      <c r="H90" s="9">
        <v>0</v>
      </c>
      <c r="I90" s="9">
        <v>0</v>
      </c>
      <c r="J90" s="9">
        <v>0</v>
      </c>
      <c r="K90" s="12">
        <v>199869.1</v>
      </c>
      <c r="L90" s="13">
        <f t="shared" si="6"/>
        <v>0</v>
      </c>
      <c r="M90" s="15">
        <f t="shared" si="7"/>
        <v>0</v>
      </c>
      <c r="N90" s="15" t="str">
        <f t="shared" si="4"/>
        <v>-</v>
      </c>
      <c r="O90" s="16">
        <f t="shared" si="5"/>
        <v>0</v>
      </c>
    </row>
    <row r="91" spans="1:15" x14ac:dyDescent="0.3">
      <c r="A91" s="2">
        <v>44386.409212962964</v>
      </c>
      <c r="B91" s="6" t="s">
        <v>3</v>
      </c>
      <c r="C91" s="9">
        <v>199869.1</v>
      </c>
      <c r="D91" s="9">
        <v>0</v>
      </c>
      <c r="E91" s="6">
        <v>161.4</v>
      </c>
      <c r="F91" s="6">
        <v>0</v>
      </c>
      <c r="G91" s="9">
        <v>25952.37</v>
      </c>
      <c r="H91" s="9">
        <v>9083.33</v>
      </c>
      <c r="I91" s="9">
        <v>350.36</v>
      </c>
      <c r="J91" s="9">
        <v>35386.06</v>
      </c>
      <c r="K91" s="12">
        <v>164483.04</v>
      </c>
      <c r="L91" s="13">
        <f t="shared" si="6"/>
        <v>0.35000001926606317</v>
      </c>
      <c r="M91" s="15">
        <f t="shared" si="7"/>
        <v>1.3500115789039691E-2</v>
      </c>
      <c r="N91" s="15" t="str">
        <f t="shared" si="4"/>
        <v>Beer</v>
      </c>
      <c r="O91" s="16">
        <f t="shared" si="5"/>
        <v>161.4</v>
      </c>
    </row>
    <row r="92" spans="1:15" x14ac:dyDescent="0.3">
      <c r="A92" s="2">
        <v>44386.409756944442</v>
      </c>
      <c r="B92" s="6" t="s">
        <v>3</v>
      </c>
      <c r="C92" s="9">
        <v>164483.04</v>
      </c>
      <c r="D92" s="9">
        <v>0</v>
      </c>
      <c r="E92" s="6">
        <v>0</v>
      </c>
      <c r="F92" s="6">
        <v>137.69999999999999</v>
      </c>
      <c r="G92" s="9">
        <v>119920.65</v>
      </c>
      <c r="H92" s="9">
        <v>41972.23</v>
      </c>
      <c r="I92" s="9">
        <v>1618.93</v>
      </c>
      <c r="J92" s="9">
        <v>163511.81</v>
      </c>
      <c r="K92" s="12">
        <v>971.23</v>
      </c>
      <c r="L92" s="13">
        <f t="shared" si="6"/>
        <v>0.35000002084711851</v>
      </c>
      <c r="M92" s="15">
        <f t="shared" si="7"/>
        <v>1.3500010215088062E-2</v>
      </c>
      <c r="N92" s="15" t="str">
        <f t="shared" si="4"/>
        <v>Liquor</v>
      </c>
      <c r="O92" s="16">
        <f t="shared" si="5"/>
        <v>183.6</v>
      </c>
    </row>
    <row r="93" spans="1:15" x14ac:dyDescent="0.3">
      <c r="A93" s="2">
        <v>44391.334826388891</v>
      </c>
      <c r="B93" s="6" t="s">
        <v>2</v>
      </c>
      <c r="C93" s="9">
        <v>971.23</v>
      </c>
      <c r="D93" s="9">
        <v>332000</v>
      </c>
      <c r="E93" s="6">
        <v>0</v>
      </c>
      <c r="F93" s="6">
        <v>0</v>
      </c>
      <c r="G93" s="9">
        <v>0</v>
      </c>
      <c r="H93" s="9">
        <v>0</v>
      </c>
      <c r="I93" s="9">
        <v>0</v>
      </c>
      <c r="J93" s="9">
        <v>0</v>
      </c>
      <c r="K93" s="12">
        <v>332971.23</v>
      </c>
      <c r="L93" s="13">
        <f t="shared" si="6"/>
        <v>0</v>
      </c>
      <c r="M93" s="15">
        <f t="shared" si="7"/>
        <v>0</v>
      </c>
      <c r="N93" s="15" t="str">
        <f t="shared" si="4"/>
        <v>-</v>
      </c>
      <c r="O93" s="16">
        <f t="shared" si="5"/>
        <v>0</v>
      </c>
    </row>
    <row r="94" spans="1:15" x14ac:dyDescent="0.3">
      <c r="A94" s="2">
        <v>44391.362870370373</v>
      </c>
      <c r="B94" s="6" t="s">
        <v>2</v>
      </c>
      <c r="C94" s="9">
        <v>332971.23</v>
      </c>
      <c r="D94" s="9">
        <v>200000</v>
      </c>
      <c r="E94" s="6">
        <v>0</v>
      </c>
      <c r="F94" s="6">
        <v>0</v>
      </c>
      <c r="G94" s="9">
        <v>0</v>
      </c>
      <c r="H94" s="9">
        <v>0</v>
      </c>
      <c r="I94" s="9">
        <v>0</v>
      </c>
      <c r="J94" s="9">
        <v>0</v>
      </c>
      <c r="K94" s="12">
        <v>532971.23</v>
      </c>
      <c r="L94" s="13">
        <f t="shared" si="6"/>
        <v>0</v>
      </c>
      <c r="M94" s="15">
        <f t="shared" si="7"/>
        <v>0</v>
      </c>
      <c r="N94" s="15" t="str">
        <f t="shared" si="4"/>
        <v>-</v>
      </c>
      <c r="O94" s="16">
        <f t="shared" si="5"/>
        <v>0</v>
      </c>
    </row>
    <row r="95" spans="1:15" x14ac:dyDescent="0.3">
      <c r="A95" s="2">
        <v>44391.523923611108</v>
      </c>
      <c r="B95" s="6" t="s">
        <v>3</v>
      </c>
      <c r="C95" s="9">
        <v>532971.23</v>
      </c>
      <c r="D95" s="9">
        <v>0</v>
      </c>
      <c r="E95" s="6">
        <v>0</v>
      </c>
      <c r="F95" s="6">
        <v>373.14</v>
      </c>
      <c r="G95" s="9">
        <v>311349.24</v>
      </c>
      <c r="H95" s="9">
        <v>108972.32</v>
      </c>
      <c r="I95" s="9">
        <v>4203</v>
      </c>
      <c r="J95" s="9">
        <v>424524.56</v>
      </c>
      <c r="K95" s="12">
        <v>108446.67</v>
      </c>
      <c r="L95" s="13">
        <f t="shared" si="6"/>
        <v>0.35000027621715091</v>
      </c>
      <c r="M95" s="15">
        <f t="shared" si="7"/>
        <v>1.3499310292197919E-2</v>
      </c>
      <c r="N95" s="15" t="str">
        <f t="shared" si="4"/>
        <v>Liquor</v>
      </c>
      <c r="O95" s="16">
        <f t="shared" si="5"/>
        <v>497.52</v>
      </c>
    </row>
    <row r="96" spans="1:15" x14ac:dyDescent="0.3">
      <c r="A96" s="2">
        <v>44391.524594907409</v>
      </c>
      <c r="B96" s="6" t="s">
        <v>3</v>
      </c>
      <c r="C96" s="9">
        <v>108446.67</v>
      </c>
      <c r="D96" s="9">
        <v>0</v>
      </c>
      <c r="E96" s="6">
        <v>506.4</v>
      </c>
      <c r="F96" s="6">
        <v>0</v>
      </c>
      <c r="G96" s="9">
        <v>78809.56</v>
      </c>
      <c r="H96" s="9">
        <v>27583.45</v>
      </c>
      <c r="I96" s="9">
        <v>1064</v>
      </c>
      <c r="J96" s="9">
        <v>107457.01</v>
      </c>
      <c r="K96" s="12">
        <v>989.66</v>
      </c>
      <c r="L96" s="13">
        <f t="shared" si="6"/>
        <v>0.35000131963685627</v>
      </c>
      <c r="M96" s="15">
        <f t="shared" si="7"/>
        <v>1.3500900144601747E-2</v>
      </c>
      <c r="N96" s="15" t="str">
        <f t="shared" si="4"/>
        <v>Beer</v>
      </c>
      <c r="O96" s="16">
        <f t="shared" si="5"/>
        <v>506.4</v>
      </c>
    </row>
    <row r="97" spans="1:15" x14ac:dyDescent="0.3">
      <c r="A97" s="2">
        <v>44393.415914351855</v>
      </c>
      <c r="B97" s="6" t="s">
        <v>2</v>
      </c>
      <c r="C97" s="9">
        <v>989.66</v>
      </c>
      <c r="D97" s="9">
        <v>149000</v>
      </c>
      <c r="E97" s="6">
        <v>0</v>
      </c>
      <c r="F97" s="6">
        <v>0</v>
      </c>
      <c r="G97" s="9">
        <v>0</v>
      </c>
      <c r="H97" s="9">
        <v>0</v>
      </c>
      <c r="I97" s="9">
        <v>0</v>
      </c>
      <c r="J97" s="9">
        <v>0</v>
      </c>
      <c r="K97" s="12">
        <v>149989.66</v>
      </c>
      <c r="L97" s="13">
        <f t="shared" si="6"/>
        <v>0</v>
      </c>
      <c r="M97" s="15">
        <f t="shared" si="7"/>
        <v>0</v>
      </c>
      <c r="N97" s="15" t="str">
        <f t="shared" si="4"/>
        <v>-</v>
      </c>
      <c r="O97" s="16">
        <f t="shared" si="5"/>
        <v>0</v>
      </c>
    </row>
    <row r="98" spans="1:15" x14ac:dyDescent="0.3">
      <c r="A98" s="2">
        <v>44393.431481481479</v>
      </c>
      <c r="B98" s="6" t="s">
        <v>3</v>
      </c>
      <c r="C98" s="9">
        <v>149989.66</v>
      </c>
      <c r="D98" s="9">
        <v>0</v>
      </c>
      <c r="E98" s="6">
        <v>60</v>
      </c>
      <c r="F98" s="6">
        <v>0</v>
      </c>
      <c r="G98" s="9">
        <v>9523.7999999999993</v>
      </c>
      <c r="H98" s="9">
        <v>3333.33</v>
      </c>
      <c r="I98" s="9">
        <v>128.57</v>
      </c>
      <c r="J98" s="9">
        <v>12985.7</v>
      </c>
      <c r="K98" s="12">
        <v>137003.96</v>
      </c>
      <c r="L98" s="13">
        <f t="shared" si="6"/>
        <v>0.35000000000000003</v>
      </c>
      <c r="M98" s="15">
        <f t="shared" si="7"/>
        <v>1.34998634998635E-2</v>
      </c>
      <c r="N98" s="15" t="str">
        <f t="shared" si="4"/>
        <v>Beer</v>
      </c>
      <c r="O98" s="16">
        <f t="shared" si="5"/>
        <v>60</v>
      </c>
    </row>
    <row r="99" spans="1:15" x14ac:dyDescent="0.3">
      <c r="A99" s="2">
        <v>44393.449421296296</v>
      </c>
      <c r="B99" s="6" t="s">
        <v>3</v>
      </c>
      <c r="C99" s="9">
        <v>137003.96</v>
      </c>
      <c r="D99" s="9">
        <v>0</v>
      </c>
      <c r="E99" s="6">
        <v>0</v>
      </c>
      <c r="F99" s="6">
        <v>123.66</v>
      </c>
      <c r="G99" s="9">
        <v>100396.84</v>
      </c>
      <c r="H99" s="9">
        <v>35138.89</v>
      </c>
      <c r="I99" s="9">
        <v>1355.36</v>
      </c>
      <c r="J99" s="9">
        <v>136891.09</v>
      </c>
      <c r="K99" s="12">
        <v>112.87</v>
      </c>
      <c r="L99" s="13">
        <f t="shared" si="6"/>
        <v>0.34999996015810858</v>
      </c>
      <c r="M99" s="15">
        <f t="shared" si="7"/>
        <v>1.3500026494857806E-2</v>
      </c>
      <c r="N99" s="15" t="str">
        <f t="shared" si="4"/>
        <v>Liquor</v>
      </c>
      <c r="O99" s="16">
        <f t="shared" si="5"/>
        <v>164.88</v>
      </c>
    </row>
    <row r="100" spans="1:15" x14ac:dyDescent="0.3">
      <c r="A100" s="2">
        <v>44397.38994212963</v>
      </c>
      <c r="B100" s="6" t="s">
        <v>2</v>
      </c>
      <c r="C100" s="9">
        <v>112.87</v>
      </c>
      <c r="D100" s="9">
        <v>150000</v>
      </c>
      <c r="E100" s="6">
        <v>0</v>
      </c>
      <c r="F100" s="6">
        <v>0</v>
      </c>
      <c r="G100" s="9">
        <v>0</v>
      </c>
      <c r="H100" s="9">
        <v>0</v>
      </c>
      <c r="I100" s="9">
        <v>0</v>
      </c>
      <c r="J100" s="9">
        <v>0</v>
      </c>
      <c r="K100" s="12">
        <v>150112.87</v>
      </c>
      <c r="L100" s="13">
        <f t="shared" si="6"/>
        <v>0</v>
      </c>
      <c r="M100" s="15">
        <f t="shared" si="7"/>
        <v>0</v>
      </c>
      <c r="N100" s="15" t="str">
        <f t="shared" si="4"/>
        <v>-</v>
      </c>
      <c r="O100" s="16">
        <f t="shared" si="5"/>
        <v>0</v>
      </c>
    </row>
    <row r="101" spans="1:15" x14ac:dyDescent="0.3">
      <c r="A101" s="2">
        <v>44397.448784722219</v>
      </c>
      <c r="B101" s="6" t="s">
        <v>3</v>
      </c>
      <c r="C101" s="9">
        <v>150112.87</v>
      </c>
      <c r="D101" s="9">
        <v>0</v>
      </c>
      <c r="E101" s="6">
        <v>0</v>
      </c>
      <c r="F101" s="6">
        <v>117.72</v>
      </c>
      <c r="G101" s="9">
        <v>93888.9</v>
      </c>
      <c r="H101" s="9">
        <v>32861.120000000003</v>
      </c>
      <c r="I101" s="9">
        <v>1267.5</v>
      </c>
      <c r="J101" s="9">
        <v>128017.52</v>
      </c>
      <c r="K101" s="12">
        <v>22095.35</v>
      </c>
      <c r="L101" s="13">
        <f t="shared" si="6"/>
        <v>0.35000005325443162</v>
      </c>
      <c r="M101" s="15">
        <f t="shared" si="7"/>
        <v>1.3499998402367054E-2</v>
      </c>
      <c r="N101" s="15" t="str">
        <f t="shared" si="4"/>
        <v>Liquor</v>
      </c>
      <c r="O101" s="16">
        <f t="shared" si="5"/>
        <v>156.96</v>
      </c>
    </row>
    <row r="102" spans="1:15" x14ac:dyDescent="0.3">
      <c r="A102" s="2">
        <v>44397.449282407404</v>
      </c>
      <c r="B102" s="6" t="s">
        <v>3</v>
      </c>
      <c r="C102" s="9">
        <v>22095.35</v>
      </c>
      <c r="D102" s="9">
        <v>0</v>
      </c>
      <c r="E102" s="6">
        <v>106.2</v>
      </c>
      <c r="F102" s="6">
        <v>0</v>
      </c>
      <c r="G102" s="9">
        <v>15714.27</v>
      </c>
      <c r="H102" s="9">
        <v>5499.99</v>
      </c>
      <c r="I102" s="9">
        <v>212.14</v>
      </c>
      <c r="J102" s="9">
        <v>21426.41</v>
      </c>
      <c r="K102" s="12">
        <v>668.94</v>
      </c>
      <c r="L102" s="13">
        <f t="shared" si="6"/>
        <v>0.34999971363607724</v>
      </c>
      <c r="M102" s="15">
        <f t="shared" si="7"/>
        <v>1.3499831681649862E-2</v>
      </c>
      <c r="N102" s="15" t="str">
        <f t="shared" si="4"/>
        <v>Beer</v>
      </c>
      <c r="O102" s="16">
        <f t="shared" si="5"/>
        <v>106.2</v>
      </c>
    </row>
    <row r="103" spans="1:15" x14ac:dyDescent="0.3">
      <c r="A103" s="2">
        <v>44403.455081018517</v>
      </c>
      <c r="B103" s="6" t="s">
        <v>2</v>
      </c>
      <c r="C103" s="9">
        <v>668.94</v>
      </c>
      <c r="D103" s="9">
        <v>126500</v>
      </c>
      <c r="E103" s="6">
        <v>0</v>
      </c>
      <c r="F103" s="6">
        <v>0</v>
      </c>
      <c r="G103" s="9">
        <v>0</v>
      </c>
      <c r="H103" s="9">
        <v>0</v>
      </c>
      <c r="I103" s="9">
        <v>0</v>
      </c>
      <c r="J103" s="9">
        <v>0</v>
      </c>
      <c r="K103" s="12">
        <v>127168.94</v>
      </c>
      <c r="L103" s="13">
        <f t="shared" si="6"/>
        <v>0</v>
      </c>
      <c r="M103" s="15">
        <f t="shared" si="7"/>
        <v>0</v>
      </c>
      <c r="N103" s="15" t="str">
        <f t="shared" si="4"/>
        <v>-</v>
      </c>
      <c r="O103" s="16">
        <f t="shared" si="5"/>
        <v>0</v>
      </c>
    </row>
    <row r="104" spans="1:15" x14ac:dyDescent="0.3">
      <c r="A104" s="2">
        <v>44403.499224537038</v>
      </c>
      <c r="B104" s="6" t="s">
        <v>3</v>
      </c>
      <c r="C104" s="9">
        <v>127168.94</v>
      </c>
      <c r="D104" s="9">
        <v>0</v>
      </c>
      <c r="E104" s="6">
        <v>0</v>
      </c>
      <c r="F104" s="6">
        <v>97.47</v>
      </c>
      <c r="G104" s="9">
        <v>77857.149999999994</v>
      </c>
      <c r="H104" s="9">
        <v>27250</v>
      </c>
      <c r="I104" s="9">
        <v>1051.07</v>
      </c>
      <c r="J104" s="9">
        <v>106158.22</v>
      </c>
      <c r="K104" s="12">
        <v>21010.720000000001</v>
      </c>
      <c r="L104" s="13">
        <f t="shared" si="6"/>
        <v>0.34999996788991122</v>
      </c>
      <c r="M104" s="15">
        <f t="shared" si="7"/>
        <v>1.3499980412845834E-2</v>
      </c>
      <c r="N104" s="15" t="str">
        <f t="shared" si="4"/>
        <v>Liquor</v>
      </c>
      <c r="O104" s="16">
        <f t="shared" si="5"/>
        <v>129.96</v>
      </c>
    </row>
    <row r="105" spans="1:15" x14ac:dyDescent="0.3">
      <c r="A105" s="2">
        <v>44403.500208333331</v>
      </c>
      <c r="B105" s="6" t="s">
        <v>3</v>
      </c>
      <c r="C105" s="9">
        <v>21010.720000000001</v>
      </c>
      <c r="D105" s="9">
        <v>0</v>
      </c>
      <c r="E105" s="6">
        <v>98.4</v>
      </c>
      <c r="F105" s="6">
        <v>0</v>
      </c>
      <c r="G105" s="9">
        <v>14603.16</v>
      </c>
      <c r="H105" s="9">
        <v>5111.1099999999997</v>
      </c>
      <c r="I105" s="9">
        <v>197.14</v>
      </c>
      <c r="J105" s="9">
        <v>19911.41</v>
      </c>
      <c r="K105" s="12">
        <v>1099.31</v>
      </c>
      <c r="L105" s="13">
        <f t="shared" si="6"/>
        <v>0.35000027391331739</v>
      </c>
      <c r="M105" s="15">
        <f t="shared" si="7"/>
        <v>1.3499817847643933E-2</v>
      </c>
      <c r="N105" s="15" t="str">
        <f t="shared" si="4"/>
        <v>Beer</v>
      </c>
      <c r="O105" s="16">
        <f t="shared" si="5"/>
        <v>98.4</v>
      </c>
    </row>
    <row r="106" spans="1:15" x14ac:dyDescent="0.3">
      <c r="A106" s="2">
        <v>44405.390648148146</v>
      </c>
      <c r="B106" s="6" t="s">
        <v>2</v>
      </c>
      <c r="C106" s="9">
        <v>1099.31</v>
      </c>
      <c r="D106" s="9">
        <v>62000</v>
      </c>
      <c r="E106" s="6">
        <v>0</v>
      </c>
      <c r="F106" s="6">
        <v>0</v>
      </c>
      <c r="G106" s="9">
        <v>0</v>
      </c>
      <c r="H106" s="9">
        <v>0</v>
      </c>
      <c r="I106" s="9">
        <v>0</v>
      </c>
      <c r="J106" s="9">
        <v>0</v>
      </c>
      <c r="K106" s="12">
        <v>63099.31</v>
      </c>
      <c r="L106" s="13">
        <f t="shared" si="6"/>
        <v>0</v>
      </c>
      <c r="M106" s="15">
        <f t="shared" si="7"/>
        <v>0</v>
      </c>
      <c r="N106" s="15" t="str">
        <f t="shared" si="4"/>
        <v>-</v>
      </c>
      <c r="O106" s="16">
        <f t="shared" si="5"/>
        <v>0</v>
      </c>
    </row>
    <row r="107" spans="1:15" x14ac:dyDescent="0.3">
      <c r="A107" s="2">
        <v>44405.41883101852</v>
      </c>
      <c r="B107" s="6" t="s">
        <v>2</v>
      </c>
      <c r="C107" s="9">
        <v>63099.31</v>
      </c>
      <c r="D107" s="9">
        <v>70000</v>
      </c>
      <c r="E107" s="6">
        <v>0</v>
      </c>
      <c r="F107" s="6">
        <v>0</v>
      </c>
      <c r="G107" s="9">
        <v>0</v>
      </c>
      <c r="H107" s="9">
        <v>0</v>
      </c>
      <c r="I107" s="9">
        <v>0</v>
      </c>
      <c r="J107" s="9">
        <v>0</v>
      </c>
      <c r="K107" s="12">
        <v>133099.31</v>
      </c>
      <c r="L107" s="13">
        <f t="shared" si="6"/>
        <v>0</v>
      </c>
      <c r="M107" s="15">
        <f t="shared" si="7"/>
        <v>0</v>
      </c>
      <c r="N107" s="15" t="str">
        <f t="shared" si="4"/>
        <v>-</v>
      </c>
      <c r="O107" s="16">
        <f t="shared" si="5"/>
        <v>0</v>
      </c>
    </row>
    <row r="108" spans="1:15" x14ac:dyDescent="0.3">
      <c r="A108" s="2">
        <v>44405.426249999997</v>
      </c>
      <c r="B108" s="6" t="s">
        <v>2</v>
      </c>
      <c r="C108" s="9">
        <v>133099.31</v>
      </c>
      <c r="D108" s="9">
        <v>1000</v>
      </c>
      <c r="E108" s="6">
        <v>0</v>
      </c>
      <c r="F108" s="6">
        <v>0</v>
      </c>
      <c r="G108" s="9">
        <v>0</v>
      </c>
      <c r="H108" s="9">
        <v>0</v>
      </c>
      <c r="I108" s="9">
        <v>0</v>
      </c>
      <c r="J108" s="9">
        <v>0</v>
      </c>
      <c r="K108" s="12">
        <v>134099.31</v>
      </c>
      <c r="L108" s="13">
        <f t="shared" si="6"/>
        <v>0</v>
      </c>
      <c r="M108" s="15">
        <f t="shared" si="7"/>
        <v>0</v>
      </c>
      <c r="N108" s="15" t="str">
        <f t="shared" si="4"/>
        <v>-</v>
      </c>
      <c r="O108" s="16">
        <f t="shared" si="5"/>
        <v>0</v>
      </c>
    </row>
    <row r="109" spans="1:15" x14ac:dyDescent="0.3">
      <c r="A109" s="2">
        <v>44405.479027777779</v>
      </c>
      <c r="B109" s="6" t="s">
        <v>3</v>
      </c>
      <c r="C109" s="9">
        <v>134099.31</v>
      </c>
      <c r="D109" s="9">
        <v>0</v>
      </c>
      <c r="E109" s="6">
        <v>48</v>
      </c>
      <c r="F109" s="6">
        <v>0</v>
      </c>
      <c r="G109" s="9">
        <v>7619.04</v>
      </c>
      <c r="H109" s="9">
        <v>2666.66</v>
      </c>
      <c r="I109" s="9">
        <v>102.86</v>
      </c>
      <c r="J109" s="9">
        <v>10388.56</v>
      </c>
      <c r="K109" s="12">
        <v>123710.75</v>
      </c>
      <c r="L109" s="13">
        <f t="shared" si="6"/>
        <v>0.34999947499947498</v>
      </c>
      <c r="M109" s="15">
        <f t="shared" si="7"/>
        <v>1.35003885003885E-2</v>
      </c>
      <c r="N109" s="15" t="str">
        <f t="shared" si="4"/>
        <v>Beer</v>
      </c>
      <c r="O109" s="16">
        <f t="shared" si="5"/>
        <v>48</v>
      </c>
    </row>
    <row r="110" spans="1:15" x14ac:dyDescent="0.3">
      <c r="A110" s="2">
        <v>44405.487812500003</v>
      </c>
      <c r="B110" s="6" t="s">
        <v>3</v>
      </c>
      <c r="C110" s="9">
        <v>123710.75</v>
      </c>
      <c r="D110" s="9">
        <v>0</v>
      </c>
      <c r="E110" s="6">
        <v>0</v>
      </c>
      <c r="F110" s="6">
        <v>110.43</v>
      </c>
      <c r="G110" s="9">
        <v>90158.75</v>
      </c>
      <c r="H110" s="9">
        <v>31555.56</v>
      </c>
      <c r="I110" s="9">
        <v>1217.1400000000001</v>
      </c>
      <c r="J110" s="9">
        <v>122931.46</v>
      </c>
      <c r="K110" s="12">
        <v>779.29</v>
      </c>
      <c r="L110" s="13">
        <f t="shared" si="6"/>
        <v>0.34999997227113289</v>
      </c>
      <c r="M110" s="15">
        <f t="shared" si="7"/>
        <v>1.349996533891608E-2</v>
      </c>
      <c r="N110" s="15" t="str">
        <f t="shared" si="4"/>
        <v>Liquor</v>
      </c>
      <c r="O110" s="16">
        <f t="shared" si="5"/>
        <v>147.24</v>
      </c>
    </row>
    <row r="111" spans="1:15" x14ac:dyDescent="0.3">
      <c r="A111" s="2">
        <v>44407.427465277775</v>
      </c>
      <c r="B111" s="6" t="s">
        <v>2</v>
      </c>
      <c r="C111" s="9">
        <v>779.29</v>
      </c>
      <c r="D111" s="9">
        <v>100500</v>
      </c>
      <c r="E111" s="6">
        <v>0</v>
      </c>
      <c r="F111" s="6">
        <v>0</v>
      </c>
      <c r="G111" s="9">
        <v>0</v>
      </c>
      <c r="H111" s="9">
        <v>0</v>
      </c>
      <c r="I111" s="9">
        <v>0</v>
      </c>
      <c r="J111" s="9">
        <v>0</v>
      </c>
      <c r="K111" s="12">
        <v>101279.29</v>
      </c>
      <c r="L111" s="13">
        <f t="shared" si="6"/>
        <v>0</v>
      </c>
      <c r="M111" s="15">
        <f t="shared" si="7"/>
        <v>0</v>
      </c>
      <c r="N111" s="15" t="str">
        <f t="shared" si="4"/>
        <v>-</v>
      </c>
      <c r="O111" s="16">
        <f t="shared" si="5"/>
        <v>0</v>
      </c>
    </row>
    <row r="112" spans="1:15" x14ac:dyDescent="0.3">
      <c r="A112" s="2">
        <v>44407.458726851852</v>
      </c>
      <c r="B112" s="6" t="s">
        <v>3</v>
      </c>
      <c r="C112" s="9">
        <v>101279.29</v>
      </c>
      <c r="D112" s="9">
        <v>0</v>
      </c>
      <c r="E112" s="6">
        <v>0</v>
      </c>
      <c r="F112" s="6">
        <v>84.51</v>
      </c>
      <c r="G112" s="9">
        <v>70952.39</v>
      </c>
      <c r="H112" s="9">
        <v>24833.34</v>
      </c>
      <c r="I112" s="9">
        <v>957.86</v>
      </c>
      <c r="J112" s="9">
        <v>96743.58</v>
      </c>
      <c r="K112" s="12">
        <v>4535.71</v>
      </c>
      <c r="L112" s="13">
        <f t="shared" si="6"/>
        <v>0.35000004932885276</v>
      </c>
      <c r="M112" s="15">
        <f t="shared" si="7"/>
        <v>1.350003854697495E-2</v>
      </c>
      <c r="N112" s="15" t="str">
        <f t="shared" si="4"/>
        <v>Liquor</v>
      </c>
      <c r="O112" s="16">
        <f t="shared" si="5"/>
        <v>112.68</v>
      </c>
    </row>
    <row r="113" spans="1:15" x14ac:dyDescent="0.3">
      <c r="A113" s="2">
        <v>44411.364259259259</v>
      </c>
      <c r="B113" s="6" t="s">
        <v>2</v>
      </c>
      <c r="C113" s="9">
        <v>4535.71</v>
      </c>
      <c r="D113" s="9">
        <v>107500</v>
      </c>
      <c r="E113" s="6">
        <v>0</v>
      </c>
      <c r="F113" s="6">
        <v>0</v>
      </c>
      <c r="G113" s="9">
        <v>0</v>
      </c>
      <c r="H113" s="9">
        <v>0</v>
      </c>
      <c r="I113" s="9">
        <v>0</v>
      </c>
      <c r="J113" s="9">
        <v>0</v>
      </c>
      <c r="K113" s="12">
        <v>112035.71</v>
      </c>
      <c r="L113" s="13">
        <f t="shared" si="6"/>
        <v>0</v>
      </c>
      <c r="M113" s="15">
        <f t="shared" si="7"/>
        <v>0</v>
      </c>
      <c r="N113" s="15" t="str">
        <f t="shared" si="4"/>
        <v>-</v>
      </c>
      <c r="O113" s="16">
        <f t="shared" si="5"/>
        <v>0</v>
      </c>
    </row>
    <row r="114" spans="1:15" x14ac:dyDescent="0.3">
      <c r="A114" s="2">
        <v>44411.368171296293</v>
      </c>
      <c r="B114" s="6" t="s">
        <v>2</v>
      </c>
      <c r="C114" s="9">
        <v>112035.71</v>
      </c>
      <c r="D114" s="9">
        <v>25000</v>
      </c>
      <c r="E114" s="6">
        <v>0</v>
      </c>
      <c r="F114" s="6">
        <v>0</v>
      </c>
      <c r="G114" s="9">
        <v>0</v>
      </c>
      <c r="H114" s="9">
        <v>0</v>
      </c>
      <c r="I114" s="9">
        <v>0</v>
      </c>
      <c r="J114" s="9">
        <v>0</v>
      </c>
      <c r="K114" s="12">
        <v>137035.71</v>
      </c>
      <c r="L114" s="13">
        <f t="shared" si="6"/>
        <v>0</v>
      </c>
      <c r="M114" s="15">
        <f t="shared" si="7"/>
        <v>0</v>
      </c>
      <c r="N114" s="15" t="str">
        <f t="shared" si="4"/>
        <v>-</v>
      </c>
      <c r="O114" s="16">
        <f t="shared" si="5"/>
        <v>0</v>
      </c>
    </row>
    <row r="115" spans="1:15" x14ac:dyDescent="0.3">
      <c r="A115" s="2">
        <v>44411.445243055554</v>
      </c>
      <c r="B115" s="6" t="s">
        <v>3</v>
      </c>
      <c r="C115" s="9">
        <v>137035.71</v>
      </c>
      <c r="D115" s="9">
        <v>0</v>
      </c>
      <c r="E115" s="6">
        <v>165.6</v>
      </c>
      <c r="F115" s="6">
        <v>0</v>
      </c>
      <c r="G115" s="9">
        <v>26111.1</v>
      </c>
      <c r="H115" s="9">
        <v>9138.89</v>
      </c>
      <c r="I115" s="9">
        <v>352.5</v>
      </c>
      <c r="J115" s="9">
        <v>35602.480000000003</v>
      </c>
      <c r="K115" s="12">
        <v>101433.23</v>
      </c>
      <c r="L115" s="13">
        <f t="shared" si="6"/>
        <v>0.35000019148944317</v>
      </c>
      <c r="M115" s="15">
        <f t="shared" si="7"/>
        <v>1.3500005744683297E-2</v>
      </c>
      <c r="N115" s="15" t="str">
        <f t="shared" si="4"/>
        <v>Beer</v>
      </c>
      <c r="O115" s="16">
        <f t="shared" si="5"/>
        <v>165.6</v>
      </c>
    </row>
    <row r="116" spans="1:15" x14ac:dyDescent="0.3">
      <c r="A116" s="2">
        <v>44411.445891203701</v>
      </c>
      <c r="B116" s="6" t="s">
        <v>3</v>
      </c>
      <c r="C116" s="9">
        <v>101433.23</v>
      </c>
      <c r="D116" s="9">
        <v>0</v>
      </c>
      <c r="E116" s="6">
        <v>0</v>
      </c>
      <c r="F116" s="6">
        <v>92.07</v>
      </c>
      <c r="G116" s="9">
        <v>73809.53</v>
      </c>
      <c r="H116" s="9">
        <v>25833.34</v>
      </c>
      <c r="I116" s="9">
        <v>996.43</v>
      </c>
      <c r="J116" s="9">
        <v>100639.29</v>
      </c>
      <c r="K116" s="12">
        <v>793.94</v>
      </c>
      <c r="L116" s="13">
        <f t="shared" si="6"/>
        <v>0.35000006096773684</v>
      </c>
      <c r="M116" s="15">
        <f t="shared" si="7"/>
        <v>1.3500018222579116E-2</v>
      </c>
      <c r="N116" s="15" t="str">
        <f t="shared" si="4"/>
        <v>Liquor</v>
      </c>
      <c r="O116" s="16">
        <f t="shared" si="5"/>
        <v>122.75999999999999</v>
      </c>
    </row>
    <row r="117" spans="1:15" x14ac:dyDescent="0.3">
      <c r="A117" s="2">
        <v>44415.333587962959</v>
      </c>
      <c r="B117" s="6" t="s">
        <v>2</v>
      </c>
      <c r="C117" s="9">
        <v>793.94</v>
      </c>
      <c r="D117" s="9">
        <v>152000</v>
      </c>
      <c r="E117" s="6">
        <v>0</v>
      </c>
      <c r="F117" s="6">
        <v>0</v>
      </c>
      <c r="G117" s="9">
        <v>0</v>
      </c>
      <c r="H117" s="9">
        <v>0</v>
      </c>
      <c r="I117" s="9">
        <v>0</v>
      </c>
      <c r="J117" s="9">
        <v>0</v>
      </c>
      <c r="K117" s="12">
        <v>152793.94</v>
      </c>
      <c r="L117" s="13">
        <f t="shared" si="6"/>
        <v>0</v>
      </c>
      <c r="M117" s="15">
        <f t="shared" si="7"/>
        <v>0</v>
      </c>
      <c r="N117" s="15" t="str">
        <f t="shared" si="4"/>
        <v>-</v>
      </c>
      <c r="O117" s="16">
        <f t="shared" si="5"/>
        <v>0</v>
      </c>
    </row>
    <row r="118" spans="1:15" x14ac:dyDescent="0.3">
      <c r="A118" s="2">
        <v>44415.371516203704</v>
      </c>
      <c r="B118" s="6" t="s">
        <v>2</v>
      </c>
      <c r="C118" s="9">
        <v>152793.94</v>
      </c>
      <c r="D118" s="9">
        <v>25000</v>
      </c>
      <c r="E118" s="6">
        <v>0</v>
      </c>
      <c r="F118" s="6">
        <v>0</v>
      </c>
      <c r="G118" s="9">
        <v>0</v>
      </c>
      <c r="H118" s="9">
        <v>0</v>
      </c>
      <c r="I118" s="9">
        <v>0</v>
      </c>
      <c r="J118" s="9">
        <v>0</v>
      </c>
      <c r="K118" s="12">
        <v>177793.94</v>
      </c>
      <c r="L118" s="13">
        <f t="shared" si="6"/>
        <v>0</v>
      </c>
      <c r="M118" s="15">
        <f t="shared" si="7"/>
        <v>0</v>
      </c>
      <c r="N118" s="15" t="str">
        <f t="shared" si="4"/>
        <v>-</v>
      </c>
      <c r="O118" s="16">
        <f t="shared" si="5"/>
        <v>0</v>
      </c>
    </row>
    <row r="119" spans="1:15" x14ac:dyDescent="0.3">
      <c r="A119" s="2">
        <v>44415.408159722225</v>
      </c>
      <c r="B119" s="6" t="s">
        <v>3</v>
      </c>
      <c r="C119" s="9">
        <v>177793.94</v>
      </c>
      <c r="D119" s="9">
        <v>0</v>
      </c>
      <c r="E119" s="6">
        <v>82.8</v>
      </c>
      <c r="F119" s="6">
        <v>0</v>
      </c>
      <c r="G119" s="9">
        <v>12380.94</v>
      </c>
      <c r="H119" s="9">
        <v>4333.33</v>
      </c>
      <c r="I119" s="9">
        <v>167.14</v>
      </c>
      <c r="J119" s="9">
        <v>16881.41</v>
      </c>
      <c r="K119" s="12">
        <v>160912.53</v>
      </c>
      <c r="L119" s="13">
        <f t="shared" si="6"/>
        <v>0.35000008076931149</v>
      </c>
      <c r="M119" s="15">
        <f t="shared" si="7"/>
        <v>1.3499782730551959E-2</v>
      </c>
      <c r="N119" s="15" t="str">
        <f t="shared" si="4"/>
        <v>Beer</v>
      </c>
      <c r="O119" s="16">
        <f t="shared" si="5"/>
        <v>82.8</v>
      </c>
    </row>
    <row r="120" spans="1:15" x14ac:dyDescent="0.3">
      <c r="A120" s="2">
        <v>44415.412175925929</v>
      </c>
      <c r="B120" s="6" t="s">
        <v>3</v>
      </c>
      <c r="C120" s="9">
        <v>160912.53</v>
      </c>
      <c r="D120" s="9">
        <v>0</v>
      </c>
      <c r="E120" s="6">
        <v>0</v>
      </c>
      <c r="F120" s="6">
        <v>143.91</v>
      </c>
      <c r="G120" s="9">
        <v>117698.42</v>
      </c>
      <c r="H120" s="9">
        <v>41194.449999999997</v>
      </c>
      <c r="I120" s="9">
        <v>1588.93</v>
      </c>
      <c r="J120" s="9">
        <v>160481.79999999999</v>
      </c>
      <c r="K120" s="12">
        <v>430.73</v>
      </c>
      <c r="L120" s="13">
        <f t="shared" si="6"/>
        <v>0.35000002548887232</v>
      </c>
      <c r="M120" s="15">
        <f t="shared" si="7"/>
        <v>1.3500011300066731E-2</v>
      </c>
      <c r="N120" s="15" t="str">
        <f t="shared" si="4"/>
        <v>Liquor</v>
      </c>
      <c r="O120" s="16">
        <f t="shared" si="5"/>
        <v>191.88</v>
      </c>
    </row>
    <row r="121" spans="1:15" x14ac:dyDescent="0.3">
      <c r="A121" s="2">
        <v>44418.403645833336</v>
      </c>
      <c r="B121" s="6" t="s">
        <v>2</v>
      </c>
      <c r="C121" s="9">
        <v>430.73</v>
      </c>
      <c r="D121" s="9">
        <v>156000</v>
      </c>
      <c r="E121" s="6">
        <v>0</v>
      </c>
      <c r="F121" s="6">
        <v>0</v>
      </c>
      <c r="G121" s="9">
        <v>0</v>
      </c>
      <c r="H121" s="9">
        <v>0</v>
      </c>
      <c r="I121" s="9">
        <v>0</v>
      </c>
      <c r="J121" s="9">
        <v>0</v>
      </c>
      <c r="K121" s="12">
        <v>156430.73000000001</v>
      </c>
      <c r="L121" s="13">
        <f t="shared" si="6"/>
        <v>0</v>
      </c>
      <c r="M121" s="15">
        <f t="shared" si="7"/>
        <v>0</v>
      </c>
      <c r="N121" s="15" t="str">
        <f t="shared" si="4"/>
        <v>-</v>
      </c>
      <c r="O121" s="16">
        <f t="shared" si="5"/>
        <v>0</v>
      </c>
    </row>
    <row r="122" spans="1:15" x14ac:dyDescent="0.3">
      <c r="A122" s="2">
        <v>44418.451655092591</v>
      </c>
      <c r="B122" s="6" t="s">
        <v>3</v>
      </c>
      <c r="C122" s="9">
        <v>156430.73000000001</v>
      </c>
      <c r="D122" s="9">
        <v>0</v>
      </c>
      <c r="E122" s="6">
        <v>70.8</v>
      </c>
      <c r="F122" s="6">
        <v>0</v>
      </c>
      <c r="G122" s="9">
        <v>10476.18</v>
      </c>
      <c r="H122" s="9">
        <v>3666.66</v>
      </c>
      <c r="I122" s="9">
        <v>141.43</v>
      </c>
      <c r="J122" s="9">
        <v>14284.27</v>
      </c>
      <c r="K122" s="12">
        <v>142146.46</v>
      </c>
      <c r="L122" s="13">
        <f t="shared" si="6"/>
        <v>0.34999971363607724</v>
      </c>
      <c r="M122" s="15">
        <f t="shared" si="7"/>
        <v>1.3500149863786228E-2</v>
      </c>
      <c r="N122" s="15" t="str">
        <f t="shared" si="4"/>
        <v>Beer</v>
      </c>
      <c r="O122" s="16">
        <f t="shared" si="5"/>
        <v>70.8</v>
      </c>
    </row>
    <row r="123" spans="1:15" x14ac:dyDescent="0.3">
      <c r="A123" s="2">
        <v>44418.452291666668</v>
      </c>
      <c r="B123" s="6" t="s">
        <v>3</v>
      </c>
      <c r="C123" s="9">
        <v>142146.46</v>
      </c>
      <c r="D123" s="9">
        <v>0</v>
      </c>
      <c r="E123" s="6">
        <v>0</v>
      </c>
      <c r="F123" s="6">
        <v>123.66</v>
      </c>
      <c r="G123" s="9">
        <v>103650.8</v>
      </c>
      <c r="H123" s="9">
        <v>36277.78</v>
      </c>
      <c r="I123" s="9">
        <v>1399.29</v>
      </c>
      <c r="J123" s="9">
        <v>141327.87</v>
      </c>
      <c r="K123" s="12">
        <v>818.59</v>
      </c>
      <c r="L123" s="13">
        <f t="shared" si="6"/>
        <v>0.35</v>
      </c>
      <c r="M123" s="15">
        <f t="shared" si="7"/>
        <v>1.350004052067133E-2</v>
      </c>
      <c r="N123" s="15" t="str">
        <f t="shared" si="4"/>
        <v>Liquor</v>
      </c>
      <c r="O123" s="16">
        <f t="shared" si="5"/>
        <v>164.88</v>
      </c>
    </row>
    <row r="124" spans="1:15" x14ac:dyDescent="0.3">
      <c r="A124" s="2">
        <v>44422.364722222221</v>
      </c>
      <c r="B124" s="6" t="s">
        <v>2</v>
      </c>
      <c r="C124" s="9">
        <v>818.59</v>
      </c>
      <c r="D124" s="9">
        <v>147000</v>
      </c>
      <c r="E124" s="6">
        <v>0</v>
      </c>
      <c r="F124" s="6">
        <v>0</v>
      </c>
      <c r="G124" s="9">
        <v>0</v>
      </c>
      <c r="H124" s="9">
        <v>0</v>
      </c>
      <c r="I124" s="9">
        <v>0</v>
      </c>
      <c r="J124" s="9">
        <v>0</v>
      </c>
      <c r="K124" s="12">
        <v>147818.59</v>
      </c>
      <c r="L124" s="13">
        <f t="shared" si="6"/>
        <v>0</v>
      </c>
      <c r="M124" s="15">
        <f t="shared" si="7"/>
        <v>0</v>
      </c>
      <c r="N124" s="15" t="str">
        <f t="shared" si="4"/>
        <v>-</v>
      </c>
      <c r="O124" s="16">
        <f t="shared" si="5"/>
        <v>0</v>
      </c>
    </row>
    <row r="125" spans="1:15" x14ac:dyDescent="0.3">
      <c r="A125" s="2">
        <v>44422.427754629629</v>
      </c>
      <c r="B125" s="6" t="s">
        <v>3</v>
      </c>
      <c r="C125" s="9">
        <v>147818.59</v>
      </c>
      <c r="D125" s="9">
        <v>0</v>
      </c>
      <c r="E125" s="6">
        <v>0</v>
      </c>
      <c r="F125" s="6">
        <v>117.45</v>
      </c>
      <c r="G125" s="9">
        <v>94920.639999999999</v>
      </c>
      <c r="H125" s="9">
        <v>33222.22</v>
      </c>
      <c r="I125" s="9">
        <v>1281.43</v>
      </c>
      <c r="J125" s="9">
        <v>129424.29</v>
      </c>
      <c r="K125" s="12">
        <v>18394.3</v>
      </c>
      <c r="L125" s="13">
        <f t="shared" si="6"/>
        <v>0.34999995785953403</v>
      </c>
      <c r="M125" s="15">
        <f t="shared" si="7"/>
        <v>1.3500014327758431E-2</v>
      </c>
      <c r="N125" s="15" t="str">
        <f t="shared" si="4"/>
        <v>Liquor</v>
      </c>
      <c r="O125" s="16">
        <f t="shared" si="5"/>
        <v>156.6</v>
      </c>
    </row>
    <row r="126" spans="1:15" x14ac:dyDescent="0.3">
      <c r="A126" s="2">
        <v>44422.428148148145</v>
      </c>
      <c r="B126" s="6" t="s">
        <v>3</v>
      </c>
      <c r="C126" s="9">
        <v>18394.3</v>
      </c>
      <c r="D126" s="9">
        <v>0</v>
      </c>
      <c r="E126" s="6">
        <v>82.8</v>
      </c>
      <c r="F126" s="6">
        <v>0</v>
      </c>
      <c r="G126" s="9">
        <v>12936.5</v>
      </c>
      <c r="H126" s="9">
        <v>4527.78</v>
      </c>
      <c r="I126" s="9">
        <v>174.64</v>
      </c>
      <c r="J126" s="9">
        <v>17638.919999999998</v>
      </c>
      <c r="K126" s="12">
        <v>755.38</v>
      </c>
      <c r="L126" s="13">
        <f t="shared" si="6"/>
        <v>0.35000038650330456</v>
      </c>
      <c r="M126" s="15">
        <f t="shared" si="7"/>
        <v>1.3499787423182467E-2</v>
      </c>
      <c r="N126" s="15" t="str">
        <f t="shared" si="4"/>
        <v>Beer</v>
      </c>
      <c r="O126" s="16">
        <f t="shared" si="5"/>
        <v>82.8</v>
      </c>
    </row>
    <row r="127" spans="1:15" x14ac:dyDescent="0.3">
      <c r="A127" s="2">
        <v>44425.401435185187</v>
      </c>
      <c r="B127" s="6" t="s">
        <v>2</v>
      </c>
      <c r="C127" s="9">
        <v>755.38</v>
      </c>
      <c r="D127" s="9">
        <v>25000</v>
      </c>
      <c r="E127" s="6">
        <v>0</v>
      </c>
      <c r="F127" s="6">
        <v>0</v>
      </c>
      <c r="G127" s="9">
        <v>0</v>
      </c>
      <c r="H127" s="9">
        <v>0</v>
      </c>
      <c r="I127" s="9">
        <v>0</v>
      </c>
      <c r="J127" s="9">
        <v>0</v>
      </c>
      <c r="K127" s="12">
        <v>25755.38</v>
      </c>
      <c r="L127" s="13">
        <f t="shared" si="6"/>
        <v>0</v>
      </c>
      <c r="M127" s="15">
        <f t="shared" si="7"/>
        <v>0</v>
      </c>
      <c r="N127" s="15" t="str">
        <f t="shared" si="4"/>
        <v>-</v>
      </c>
      <c r="O127" s="16">
        <f t="shared" si="5"/>
        <v>0</v>
      </c>
    </row>
    <row r="128" spans="1:15" x14ac:dyDescent="0.3">
      <c r="A128" s="2">
        <v>44425.405729166669</v>
      </c>
      <c r="B128" s="6" t="s">
        <v>2</v>
      </c>
      <c r="C128" s="9">
        <v>25755.38</v>
      </c>
      <c r="D128" s="9">
        <v>115500</v>
      </c>
      <c r="E128" s="6">
        <v>0</v>
      </c>
      <c r="F128" s="6">
        <v>0</v>
      </c>
      <c r="G128" s="9">
        <v>0</v>
      </c>
      <c r="H128" s="9">
        <v>0</v>
      </c>
      <c r="I128" s="9">
        <v>0</v>
      </c>
      <c r="J128" s="9">
        <v>0</v>
      </c>
      <c r="K128" s="12">
        <v>141255.38</v>
      </c>
      <c r="L128" s="13">
        <f t="shared" si="6"/>
        <v>0</v>
      </c>
      <c r="M128" s="15">
        <f t="shared" si="7"/>
        <v>0</v>
      </c>
      <c r="N128" s="15" t="str">
        <f t="shared" si="4"/>
        <v>-</v>
      </c>
      <c r="O128" s="16">
        <f t="shared" si="5"/>
        <v>0</v>
      </c>
    </row>
    <row r="129" spans="1:15" x14ac:dyDescent="0.3">
      <c r="A129" s="2">
        <v>44425.442488425928</v>
      </c>
      <c r="B129" s="6" t="s">
        <v>3</v>
      </c>
      <c r="C129" s="9">
        <v>141255.38</v>
      </c>
      <c r="D129" s="9">
        <v>0</v>
      </c>
      <c r="E129" s="6">
        <v>0</v>
      </c>
      <c r="F129" s="6">
        <v>123.93</v>
      </c>
      <c r="G129" s="9">
        <v>101904.76</v>
      </c>
      <c r="H129" s="9">
        <v>35666.67</v>
      </c>
      <c r="I129" s="9">
        <v>1375.71</v>
      </c>
      <c r="J129" s="9">
        <v>138947.14000000001</v>
      </c>
      <c r="K129" s="12">
        <v>2308.2399999999998</v>
      </c>
      <c r="L129" s="13">
        <f t="shared" si="6"/>
        <v>0.35000003925233719</v>
      </c>
      <c r="M129" s="15">
        <f t="shared" si="7"/>
        <v>1.3499958196260903E-2</v>
      </c>
      <c r="N129" s="15" t="str">
        <f t="shared" si="4"/>
        <v>Liquor</v>
      </c>
      <c r="O129" s="16">
        <f t="shared" si="5"/>
        <v>165.24</v>
      </c>
    </row>
    <row r="130" spans="1:15" x14ac:dyDescent="0.3">
      <c r="A130" s="2">
        <v>44429.319965277777</v>
      </c>
      <c r="B130" s="6" t="s">
        <v>2</v>
      </c>
      <c r="C130" s="9">
        <v>2308.2399999999998</v>
      </c>
      <c r="D130" s="9">
        <v>170000</v>
      </c>
      <c r="E130" s="6">
        <v>0</v>
      </c>
      <c r="F130" s="6">
        <v>0</v>
      </c>
      <c r="G130" s="9">
        <v>0</v>
      </c>
      <c r="H130" s="9">
        <v>0</v>
      </c>
      <c r="I130" s="9">
        <v>0</v>
      </c>
      <c r="J130" s="9">
        <v>0</v>
      </c>
      <c r="K130" s="12">
        <v>172308.24</v>
      </c>
      <c r="L130" s="13">
        <f t="shared" si="6"/>
        <v>0</v>
      </c>
      <c r="M130" s="15">
        <f t="shared" si="7"/>
        <v>0</v>
      </c>
      <c r="N130" s="15" t="str">
        <f t="shared" si="4"/>
        <v>-</v>
      </c>
      <c r="O130" s="16">
        <f t="shared" si="5"/>
        <v>0</v>
      </c>
    </row>
    <row r="131" spans="1:15" x14ac:dyDescent="0.3">
      <c r="A131" s="2">
        <v>44429.421400462961</v>
      </c>
      <c r="B131" s="6" t="s">
        <v>3</v>
      </c>
      <c r="C131" s="9">
        <v>172308.24</v>
      </c>
      <c r="D131" s="9">
        <v>0</v>
      </c>
      <c r="E131" s="6">
        <v>0</v>
      </c>
      <c r="F131" s="6">
        <v>130.41</v>
      </c>
      <c r="G131" s="9">
        <v>107063.5</v>
      </c>
      <c r="H131" s="9">
        <v>37472.230000000003</v>
      </c>
      <c r="I131" s="9">
        <v>1445.36</v>
      </c>
      <c r="J131" s="9">
        <v>145981.07999999999</v>
      </c>
      <c r="K131" s="12">
        <v>26327.16</v>
      </c>
      <c r="L131" s="13">
        <f t="shared" si="6"/>
        <v>0.35000004670125678</v>
      </c>
      <c r="M131" s="15">
        <f t="shared" si="7"/>
        <v>1.3500025685691201E-2</v>
      </c>
      <c r="N131" s="15" t="str">
        <f t="shared" ref="N131:N194" si="8">IF($E131&lt;&gt;0,"Beer",IF($F131&lt;&gt;0,"Liquor","-"))</f>
        <v>Liquor</v>
      </c>
      <c r="O131" s="16">
        <f t="shared" ref="O131:O194" si="9">IF($E131&lt;&gt;0,$E131,IF($F131&lt;&gt;0,$F131/0.75,0))</f>
        <v>173.88</v>
      </c>
    </row>
    <row r="132" spans="1:15" x14ac:dyDescent="0.3">
      <c r="A132" s="2">
        <v>44429.421863425923</v>
      </c>
      <c r="B132" s="6" t="s">
        <v>3</v>
      </c>
      <c r="C132" s="9">
        <v>26327.16</v>
      </c>
      <c r="D132" s="9">
        <v>0</v>
      </c>
      <c r="E132" s="6">
        <v>118.2</v>
      </c>
      <c r="F132" s="6">
        <v>0</v>
      </c>
      <c r="G132" s="9">
        <v>18809.509999999998</v>
      </c>
      <c r="H132" s="9">
        <v>6583.33</v>
      </c>
      <c r="I132" s="9">
        <v>253.93</v>
      </c>
      <c r="J132" s="9">
        <v>25646.77</v>
      </c>
      <c r="K132" s="12">
        <v>680.39</v>
      </c>
      <c r="L132" s="13">
        <f t="shared" ref="L132:L195" si="10">IFERROR(H132/$G132,0)</f>
        <v>0.35000007974689401</v>
      </c>
      <c r="M132" s="15">
        <f t="shared" ref="M132:M195" si="11">IFERROR(I132/$G132,0)</f>
        <v>1.3500085860822532E-2</v>
      </c>
      <c r="N132" s="15" t="str">
        <f t="shared" si="8"/>
        <v>Beer</v>
      </c>
      <c r="O132" s="16">
        <f t="shared" si="9"/>
        <v>118.2</v>
      </c>
    </row>
    <row r="133" spans="1:15" x14ac:dyDescent="0.3">
      <c r="A133" s="2">
        <v>44432.38244212963</v>
      </c>
      <c r="B133" s="6" t="s">
        <v>2</v>
      </c>
      <c r="C133" s="9">
        <v>680.39</v>
      </c>
      <c r="D133" s="9">
        <v>136000</v>
      </c>
      <c r="E133" s="6">
        <v>0</v>
      </c>
      <c r="F133" s="6">
        <v>0</v>
      </c>
      <c r="G133" s="9">
        <v>0</v>
      </c>
      <c r="H133" s="9">
        <v>0</v>
      </c>
      <c r="I133" s="9">
        <v>0</v>
      </c>
      <c r="J133" s="9">
        <v>0</v>
      </c>
      <c r="K133" s="12">
        <v>136680.39000000001</v>
      </c>
      <c r="L133" s="13">
        <f t="shared" si="10"/>
        <v>0</v>
      </c>
      <c r="M133" s="15">
        <f t="shared" si="11"/>
        <v>0</v>
      </c>
      <c r="N133" s="15" t="str">
        <f t="shared" si="8"/>
        <v>-</v>
      </c>
      <c r="O133" s="16">
        <f t="shared" si="9"/>
        <v>0</v>
      </c>
    </row>
    <row r="134" spans="1:15" x14ac:dyDescent="0.3">
      <c r="A134" s="2">
        <v>44432.403310185182</v>
      </c>
      <c r="B134" s="6" t="s">
        <v>2</v>
      </c>
      <c r="C134" s="9">
        <v>136680.39000000001</v>
      </c>
      <c r="D134" s="9">
        <v>15000</v>
      </c>
      <c r="E134" s="6">
        <v>0</v>
      </c>
      <c r="F134" s="6">
        <v>0</v>
      </c>
      <c r="G134" s="9">
        <v>0</v>
      </c>
      <c r="H134" s="9">
        <v>0</v>
      </c>
      <c r="I134" s="9">
        <v>0</v>
      </c>
      <c r="J134" s="9">
        <v>0</v>
      </c>
      <c r="K134" s="12">
        <v>151680.39000000001</v>
      </c>
      <c r="L134" s="13">
        <f t="shared" si="10"/>
        <v>0</v>
      </c>
      <c r="M134" s="15">
        <f t="shared" si="11"/>
        <v>0</v>
      </c>
      <c r="N134" s="15" t="str">
        <f t="shared" si="8"/>
        <v>-</v>
      </c>
      <c r="O134" s="16">
        <f t="shared" si="9"/>
        <v>0</v>
      </c>
    </row>
    <row r="135" spans="1:15" x14ac:dyDescent="0.3">
      <c r="A135" s="2">
        <v>44432.45380787037</v>
      </c>
      <c r="B135" s="6" t="s">
        <v>3</v>
      </c>
      <c r="C135" s="9">
        <v>151680.39000000001</v>
      </c>
      <c r="D135" s="9">
        <v>0</v>
      </c>
      <c r="E135" s="6">
        <v>0</v>
      </c>
      <c r="F135" s="6">
        <v>110.7</v>
      </c>
      <c r="G135" s="9">
        <v>87936.52</v>
      </c>
      <c r="H135" s="9">
        <v>30777.78</v>
      </c>
      <c r="I135" s="9">
        <v>1187</v>
      </c>
      <c r="J135" s="9">
        <v>119901.3</v>
      </c>
      <c r="K135" s="12">
        <v>31779.09</v>
      </c>
      <c r="L135" s="13">
        <f t="shared" si="10"/>
        <v>0.34999997725632076</v>
      </c>
      <c r="M135" s="15">
        <f t="shared" si="11"/>
        <v>1.3498373599501094E-2</v>
      </c>
      <c r="N135" s="15" t="str">
        <f t="shared" si="8"/>
        <v>Liquor</v>
      </c>
      <c r="O135" s="16">
        <f t="shared" si="9"/>
        <v>147.6</v>
      </c>
    </row>
    <row r="136" spans="1:15" x14ac:dyDescent="0.3">
      <c r="A136" s="2">
        <v>44432.454270833332</v>
      </c>
      <c r="B136" s="6" t="s">
        <v>3</v>
      </c>
      <c r="C136" s="9">
        <v>31779.09</v>
      </c>
      <c r="D136" s="9">
        <v>0</v>
      </c>
      <c r="E136" s="6">
        <v>145.80000000000001</v>
      </c>
      <c r="F136" s="6">
        <v>0</v>
      </c>
      <c r="G136" s="9">
        <v>23253.96</v>
      </c>
      <c r="H136" s="9">
        <v>8138.89</v>
      </c>
      <c r="I136" s="9">
        <v>314</v>
      </c>
      <c r="J136" s="9">
        <v>31706.85</v>
      </c>
      <c r="K136" s="12">
        <v>72.239999999999995</v>
      </c>
      <c r="L136" s="13">
        <f t="shared" si="10"/>
        <v>0.35000017201371297</v>
      </c>
      <c r="M136" s="15">
        <f t="shared" si="11"/>
        <v>1.3503076465255811E-2</v>
      </c>
      <c r="N136" s="15" t="str">
        <f t="shared" si="8"/>
        <v>Beer</v>
      </c>
      <c r="O136" s="16">
        <f t="shared" si="9"/>
        <v>145.80000000000001</v>
      </c>
    </row>
    <row r="137" spans="1:15" x14ac:dyDescent="0.3">
      <c r="A137" s="2">
        <v>44436.335358796299</v>
      </c>
      <c r="B137" s="6" t="s">
        <v>2</v>
      </c>
      <c r="C137" s="9">
        <v>72.239999999999995</v>
      </c>
      <c r="D137" s="9">
        <v>150000</v>
      </c>
      <c r="E137" s="6">
        <v>0</v>
      </c>
      <c r="F137" s="6">
        <v>0</v>
      </c>
      <c r="G137" s="9">
        <v>0</v>
      </c>
      <c r="H137" s="9">
        <v>0</v>
      </c>
      <c r="I137" s="9">
        <v>0</v>
      </c>
      <c r="J137" s="9">
        <v>0</v>
      </c>
      <c r="K137" s="12">
        <v>150072.24</v>
      </c>
      <c r="L137" s="13">
        <f t="shared" si="10"/>
        <v>0</v>
      </c>
      <c r="M137" s="15">
        <f t="shared" si="11"/>
        <v>0</v>
      </c>
      <c r="N137" s="15" t="str">
        <f t="shared" si="8"/>
        <v>-</v>
      </c>
      <c r="O137" s="16">
        <f t="shared" si="9"/>
        <v>0</v>
      </c>
    </row>
    <row r="138" spans="1:15" x14ac:dyDescent="0.3">
      <c r="A138" s="2">
        <v>44436.414386574077</v>
      </c>
      <c r="B138" s="6" t="s">
        <v>3</v>
      </c>
      <c r="C138" s="9">
        <v>150072.24</v>
      </c>
      <c r="D138" s="9">
        <v>0</v>
      </c>
      <c r="E138" s="6">
        <v>78.599999999999994</v>
      </c>
      <c r="F138" s="6">
        <v>0</v>
      </c>
      <c r="G138" s="9">
        <v>11746.02</v>
      </c>
      <c r="H138" s="9">
        <v>4111.1099999999997</v>
      </c>
      <c r="I138" s="9">
        <v>159</v>
      </c>
      <c r="J138" s="9">
        <v>16016.13</v>
      </c>
      <c r="K138" s="12">
        <v>134056.10999999999</v>
      </c>
      <c r="L138" s="13">
        <f t="shared" si="10"/>
        <v>0.35000025540566077</v>
      </c>
      <c r="M138" s="15">
        <f t="shared" si="11"/>
        <v>1.3536500022986508E-2</v>
      </c>
      <c r="N138" s="15" t="str">
        <f t="shared" si="8"/>
        <v>Beer</v>
      </c>
      <c r="O138" s="16">
        <f t="shared" si="9"/>
        <v>78.599999999999994</v>
      </c>
    </row>
    <row r="139" spans="1:15" x14ac:dyDescent="0.3">
      <c r="A139" s="2">
        <v>44436.414930555555</v>
      </c>
      <c r="B139" s="6" t="s">
        <v>3</v>
      </c>
      <c r="C139" s="9">
        <v>134056.10999999999</v>
      </c>
      <c r="D139" s="9">
        <v>0</v>
      </c>
      <c r="E139" s="6">
        <v>0</v>
      </c>
      <c r="F139" s="6">
        <v>123.93</v>
      </c>
      <c r="G139" s="9">
        <v>98253.98</v>
      </c>
      <c r="H139" s="9">
        <v>34388.89</v>
      </c>
      <c r="I139" s="9">
        <v>1326</v>
      </c>
      <c r="J139" s="9">
        <v>133968.87</v>
      </c>
      <c r="K139" s="12">
        <v>87.24</v>
      </c>
      <c r="L139" s="13">
        <f t="shared" si="10"/>
        <v>0.34999996946688572</v>
      </c>
      <c r="M139" s="15">
        <f t="shared" si="11"/>
        <v>1.3495636512637962E-2</v>
      </c>
      <c r="N139" s="15" t="str">
        <f t="shared" si="8"/>
        <v>Liquor</v>
      </c>
      <c r="O139" s="16">
        <f t="shared" si="9"/>
        <v>165.24</v>
      </c>
    </row>
    <row r="140" spans="1:15" x14ac:dyDescent="0.3">
      <c r="A140" s="2">
        <v>44440.001192129632</v>
      </c>
      <c r="B140" s="6" t="s">
        <v>2</v>
      </c>
      <c r="C140" s="9">
        <v>87.24</v>
      </c>
      <c r="D140" s="9">
        <v>148000</v>
      </c>
      <c r="E140" s="6">
        <v>0</v>
      </c>
      <c r="F140" s="6">
        <v>0</v>
      </c>
      <c r="G140" s="9">
        <v>0</v>
      </c>
      <c r="H140" s="9">
        <v>0</v>
      </c>
      <c r="I140" s="9">
        <v>0</v>
      </c>
      <c r="J140" s="9">
        <v>0</v>
      </c>
      <c r="K140" s="12">
        <v>148087.24</v>
      </c>
      <c r="L140" s="13">
        <f t="shared" si="10"/>
        <v>0</v>
      </c>
      <c r="M140" s="15">
        <f t="shared" si="11"/>
        <v>0</v>
      </c>
      <c r="N140" s="15" t="str">
        <f t="shared" si="8"/>
        <v>-</v>
      </c>
      <c r="O140" s="16">
        <f t="shared" si="9"/>
        <v>0</v>
      </c>
    </row>
    <row r="141" spans="1:15" x14ac:dyDescent="0.3">
      <c r="A141" s="2">
        <v>44440.424201388887</v>
      </c>
      <c r="B141" s="6" t="s">
        <v>3</v>
      </c>
      <c r="C141" s="9">
        <v>148087.24</v>
      </c>
      <c r="D141" s="9">
        <v>0</v>
      </c>
      <c r="E141" s="6">
        <v>145.80000000000001</v>
      </c>
      <c r="F141" s="6">
        <v>0</v>
      </c>
      <c r="G141" s="9">
        <v>22857.13</v>
      </c>
      <c r="H141" s="9">
        <v>8000</v>
      </c>
      <c r="I141" s="9">
        <v>309</v>
      </c>
      <c r="J141" s="9">
        <v>31166.13</v>
      </c>
      <c r="K141" s="12">
        <v>116921.11</v>
      </c>
      <c r="L141" s="13">
        <f t="shared" si="10"/>
        <v>0.35000019687511075</v>
      </c>
      <c r="M141" s="15">
        <f t="shared" si="11"/>
        <v>1.3518757604301152E-2</v>
      </c>
      <c r="N141" s="15" t="str">
        <f t="shared" si="8"/>
        <v>Beer</v>
      </c>
      <c r="O141" s="16">
        <f t="shared" si="9"/>
        <v>145.80000000000001</v>
      </c>
    </row>
    <row r="142" spans="1:15" x14ac:dyDescent="0.3">
      <c r="A142" s="2">
        <v>44440.42528935185</v>
      </c>
      <c r="B142" s="6" t="s">
        <v>3</v>
      </c>
      <c r="C142" s="9">
        <v>116921.11</v>
      </c>
      <c r="D142" s="9">
        <v>0</v>
      </c>
      <c r="E142" s="6">
        <v>0</v>
      </c>
      <c r="F142" s="6">
        <v>104.49</v>
      </c>
      <c r="G142" s="9">
        <v>85238.09</v>
      </c>
      <c r="H142" s="9">
        <v>29833.33</v>
      </c>
      <c r="I142" s="9">
        <v>1151</v>
      </c>
      <c r="J142" s="9">
        <v>116222.42</v>
      </c>
      <c r="K142" s="12">
        <v>698.69</v>
      </c>
      <c r="L142" s="13">
        <f t="shared" si="10"/>
        <v>0.34999998240223357</v>
      </c>
      <c r="M142" s="15">
        <f t="shared" si="11"/>
        <v>1.350335278512224E-2</v>
      </c>
      <c r="N142" s="15" t="str">
        <f t="shared" si="8"/>
        <v>Liquor</v>
      </c>
      <c r="O142" s="16">
        <f t="shared" si="9"/>
        <v>139.32</v>
      </c>
    </row>
    <row r="143" spans="1:15" x14ac:dyDescent="0.3">
      <c r="A143" s="2">
        <v>44442.392094907409</v>
      </c>
      <c r="B143" s="6" t="s">
        <v>2</v>
      </c>
      <c r="C143" s="9">
        <v>698.69</v>
      </c>
      <c r="D143" s="9">
        <v>134000</v>
      </c>
      <c r="E143" s="6">
        <v>0</v>
      </c>
      <c r="F143" s="6">
        <v>0</v>
      </c>
      <c r="G143" s="9">
        <v>0</v>
      </c>
      <c r="H143" s="9">
        <v>0</v>
      </c>
      <c r="I143" s="9">
        <v>0</v>
      </c>
      <c r="J143" s="9">
        <v>0</v>
      </c>
      <c r="K143" s="12">
        <v>134698.69</v>
      </c>
      <c r="L143" s="13">
        <f t="shared" si="10"/>
        <v>0</v>
      </c>
      <c r="M143" s="15">
        <f t="shared" si="11"/>
        <v>0</v>
      </c>
      <c r="N143" s="15" t="str">
        <f t="shared" si="8"/>
        <v>-</v>
      </c>
      <c r="O143" s="16">
        <f t="shared" si="9"/>
        <v>0</v>
      </c>
    </row>
    <row r="144" spans="1:15" x14ac:dyDescent="0.3">
      <c r="A144" s="2">
        <v>44442.432800925926</v>
      </c>
      <c r="B144" s="6" t="s">
        <v>3</v>
      </c>
      <c r="C144" s="9">
        <v>134698.69</v>
      </c>
      <c r="D144" s="9">
        <v>0</v>
      </c>
      <c r="E144" s="6">
        <v>0</v>
      </c>
      <c r="F144" s="6">
        <v>124.74</v>
      </c>
      <c r="G144" s="9">
        <v>98412.69</v>
      </c>
      <c r="H144" s="9">
        <v>34444.44</v>
      </c>
      <c r="I144" s="9">
        <v>1329</v>
      </c>
      <c r="J144" s="9">
        <v>134186.13</v>
      </c>
      <c r="K144" s="12">
        <v>512.55999999999995</v>
      </c>
      <c r="L144" s="13">
        <f t="shared" si="10"/>
        <v>0.34999998475806321</v>
      </c>
      <c r="M144" s="15">
        <f t="shared" si="11"/>
        <v>1.3504355993114302E-2</v>
      </c>
      <c r="N144" s="15" t="str">
        <f t="shared" si="8"/>
        <v>Liquor</v>
      </c>
      <c r="O144" s="16">
        <f t="shared" si="9"/>
        <v>166.32</v>
      </c>
    </row>
    <row r="145" spans="1:15" x14ac:dyDescent="0.3">
      <c r="A145" s="2">
        <v>44445.410011574073</v>
      </c>
      <c r="B145" s="6" t="s">
        <v>2</v>
      </c>
      <c r="C145" s="9">
        <v>512.55999999999995</v>
      </c>
      <c r="D145" s="9">
        <v>130000</v>
      </c>
      <c r="E145" s="6">
        <v>0</v>
      </c>
      <c r="F145" s="6">
        <v>0</v>
      </c>
      <c r="G145" s="9">
        <v>0</v>
      </c>
      <c r="H145" s="9">
        <v>0</v>
      </c>
      <c r="I145" s="9">
        <v>0</v>
      </c>
      <c r="J145" s="9">
        <v>0</v>
      </c>
      <c r="K145" s="12">
        <v>130512.56</v>
      </c>
      <c r="L145" s="13">
        <f t="shared" si="10"/>
        <v>0</v>
      </c>
      <c r="M145" s="15">
        <f t="shared" si="11"/>
        <v>0</v>
      </c>
      <c r="N145" s="15" t="str">
        <f t="shared" si="8"/>
        <v>-</v>
      </c>
      <c r="O145" s="16">
        <f t="shared" si="9"/>
        <v>0</v>
      </c>
    </row>
    <row r="146" spans="1:15" x14ac:dyDescent="0.3">
      <c r="A146" s="2">
        <v>44445.447812500002</v>
      </c>
      <c r="B146" s="6" t="s">
        <v>3</v>
      </c>
      <c r="C146" s="9">
        <v>130512.56</v>
      </c>
      <c r="D146" s="9">
        <v>0</v>
      </c>
      <c r="E146" s="6">
        <v>0</v>
      </c>
      <c r="F146" s="6">
        <v>98.28</v>
      </c>
      <c r="G146" s="9">
        <v>82539.679999999993</v>
      </c>
      <c r="H146" s="9">
        <v>28888.89</v>
      </c>
      <c r="I146" s="9">
        <v>1114</v>
      </c>
      <c r="J146" s="9">
        <v>112542.57</v>
      </c>
      <c r="K146" s="12">
        <v>17969.990000000002</v>
      </c>
      <c r="L146" s="13">
        <f t="shared" si="10"/>
        <v>0.35000002423076998</v>
      </c>
      <c r="M146" s="15">
        <f t="shared" si="11"/>
        <v>1.3496538876816582E-2</v>
      </c>
      <c r="N146" s="15" t="str">
        <f t="shared" si="8"/>
        <v>Liquor</v>
      </c>
      <c r="O146" s="16">
        <f t="shared" si="9"/>
        <v>131.04</v>
      </c>
    </row>
    <row r="147" spans="1:15" x14ac:dyDescent="0.3">
      <c r="A147" s="2">
        <v>44445.448321759257</v>
      </c>
      <c r="B147" s="6" t="s">
        <v>3</v>
      </c>
      <c r="C147" s="9">
        <v>17969.990000000002</v>
      </c>
      <c r="D147" s="9">
        <v>0</v>
      </c>
      <c r="E147" s="6">
        <v>82.2</v>
      </c>
      <c r="F147" s="6">
        <v>0</v>
      </c>
      <c r="G147" s="9">
        <v>13015.87</v>
      </c>
      <c r="H147" s="9">
        <v>4555.55</v>
      </c>
      <c r="I147" s="9">
        <v>176</v>
      </c>
      <c r="J147" s="9">
        <v>17747.419999999998</v>
      </c>
      <c r="K147" s="12">
        <v>222.57</v>
      </c>
      <c r="L147" s="13">
        <f t="shared" si="10"/>
        <v>0.34999965426821256</v>
      </c>
      <c r="M147" s="15">
        <f t="shared" si="11"/>
        <v>1.3521954352647959E-2</v>
      </c>
      <c r="N147" s="15" t="str">
        <f t="shared" si="8"/>
        <v>Beer</v>
      </c>
      <c r="O147" s="16">
        <f t="shared" si="9"/>
        <v>82.2</v>
      </c>
    </row>
    <row r="148" spans="1:15" x14ac:dyDescent="0.3">
      <c r="A148" s="2">
        <v>44450.037280092591</v>
      </c>
      <c r="B148" s="6" t="s">
        <v>2</v>
      </c>
      <c r="C148" s="9">
        <v>222.57</v>
      </c>
      <c r="D148" s="9">
        <v>191000</v>
      </c>
      <c r="E148" s="6">
        <v>0</v>
      </c>
      <c r="F148" s="6">
        <v>0</v>
      </c>
      <c r="G148" s="9">
        <v>0</v>
      </c>
      <c r="H148" s="9">
        <v>0</v>
      </c>
      <c r="I148" s="9">
        <v>0</v>
      </c>
      <c r="J148" s="9">
        <v>0</v>
      </c>
      <c r="K148" s="12">
        <v>191222.57</v>
      </c>
      <c r="L148" s="13">
        <f t="shared" si="10"/>
        <v>0</v>
      </c>
      <c r="M148" s="15">
        <f t="shared" si="11"/>
        <v>0</v>
      </c>
      <c r="N148" s="15" t="str">
        <f t="shared" si="8"/>
        <v>-</v>
      </c>
      <c r="O148" s="16">
        <f t="shared" si="9"/>
        <v>0</v>
      </c>
    </row>
    <row r="149" spans="1:15" x14ac:dyDescent="0.3">
      <c r="A149" s="2">
        <v>44450.421712962961</v>
      </c>
      <c r="B149" s="6" t="s">
        <v>3</v>
      </c>
      <c r="C149" s="9">
        <v>191222.57</v>
      </c>
      <c r="D149" s="9">
        <v>0</v>
      </c>
      <c r="E149" s="6">
        <v>0</v>
      </c>
      <c r="F149" s="6">
        <v>144.72</v>
      </c>
      <c r="G149" s="9">
        <v>117460.31</v>
      </c>
      <c r="H149" s="9">
        <v>41111.11</v>
      </c>
      <c r="I149" s="9">
        <v>1586</v>
      </c>
      <c r="J149" s="9">
        <v>160157.42000000001</v>
      </c>
      <c r="K149" s="12">
        <v>31065.15</v>
      </c>
      <c r="L149" s="13">
        <f t="shared" si="10"/>
        <v>0.3500000127702711</v>
      </c>
      <c r="M149" s="15">
        <f t="shared" si="11"/>
        <v>1.3502433290019412E-2</v>
      </c>
      <c r="N149" s="15" t="str">
        <f t="shared" si="8"/>
        <v>Liquor</v>
      </c>
      <c r="O149" s="16">
        <f t="shared" si="9"/>
        <v>192.96</v>
      </c>
    </row>
    <row r="150" spans="1:15" x14ac:dyDescent="0.3">
      <c r="A150" s="2">
        <v>44450.422615740739</v>
      </c>
      <c r="B150" s="6" t="s">
        <v>3</v>
      </c>
      <c r="C150" s="9">
        <v>31065.15</v>
      </c>
      <c r="D150" s="9">
        <v>0</v>
      </c>
      <c r="E150" s="6">
        <v>141.6</v>
      </c>
      <c r="F150" s="6">
        <v>0</v>
      </c>
      <c r="G150" s="9">
        <v>22380.94</v>
      </c>
      <c r="H150" s="9">
        <v>7833.33</v>
      </c>
      <c r="I150" s="9">
        <v>302</v>
      </c>
      <c r="J150" s="9">
        <v>30516.27</v>
      </c>
      <c r="K150" s="12">
        <v>548.88</v>
      </c>
      <c r="L150" s="13">
        <f t="shared" si="10"/>
        <v>0.35000004468087581</v>
      </c>
      <c r="M150" s="15">
        <f t="shared" si="11"/>
        <v>1.3493624485834823E-2</v>
      </c>
      <c r="N150" s="15" t="str">
        <f t="shared" si="8"/>
        <v>Beer</v>
      </c>
      <c r="O150" s="16">
        <f t="shared" si="9"/>
        <v>141.6</v>
      </c>
    </row>
    <row r="151" spans="1:15" x14ac:dyDescent="0.3">
      <c r="A151" s="2">
        <v>44453.387627314813</v>
      </c>
      <c r="B151" s="6" t="s">
        <v>2</v>
      </c>
      <c r="C151" s="9">
        <v>548.88</v>
      </c>
      <c r="D151" s="9">
        <v>111000</v>
      </c>
      <c r="E151" s="6">
        <v>0</v>
      </c>
      <c r="F151" s="6">
        <v>0</v>
      </c>
      <c r="G151" s="9">
        <v>0</v>
      </c>
      <c r="H151" s="9">
        <v>0</v>
      </c>
      <c r="I151" s="9">
        <v>0</v>
      </c>
      <c r="J151" s="9">
        <v>0</v>
      </c>
      <c r="K151" s="12">
        <v>111548.88</v>
      </c>
      <c r="L151" s="13">
        <f t="shared" si="10"/>
        <v>0</v>
      </c>
      <c r="M151" s="15">
        <f t="shared" si="11"/>
        <v>0</v>
      </c>
      <c r="N151" s="15" t="str">
        <f t="shared" si="8"/>
        <v>-</v>
      </c>
      <c r="O151" s="16">
        <f t="shared" si="9"/>
        <v>0</v>
      </c>
    </row>
    <row r="152" spans="1:15" x14ac:dyDescent="0.3">
      <c r="A152" s="2">
        <v>44453.43068287037</v>
      </c>
      <c r="B152" s="6" t="s">
        <v>3</v>
      </c>
      <c r="C152" s="9">
        <v>111548.88</v>
      </c>
      <c r="D152" s="9">
        <v>0</v>
      </c>
      <c r="E152" s="6">
        <v>0</v>
      </c>
      <c r="F152" s="6">
        <v>91.53</v>
      </c>
      <c r="G152" s="9">
        <v>79523.81</v>
      </c>
      <c r="H152" s="9">
        <v>27833.33</v>
      </c>
      <c r="I152" s="9">
        <v>1074</v>
      </c>
      <c r="J152" s="9">
        <v>108431.14</v>
      </c>
      <c r="K152" s="12">
        <v>3117.74</v>
      </c>
      <c r="L152" s="13">
        <f t="shared" si="10"/>
        <v>0.34999995598802425</v>
      </c>
      <c r="M152" s="15">
        <f t="shared" si="11"/>
        <v>1.3505389140686294E-2</v>
      </c>
      <c r="N152" s="15" t="str">
        <f t="shared" si="8"/>
        <v>Liquor</v>
      </c>
      <c r="O152" s="16">
        <f t="shared" si="9"/>
        <v>122.04</v>
      </c>
    </row>
    <row r="153" spans="1:15" x14ac:dyDescent="0.3">
      <c r="A153" s="2">
        <v>44457.336712962962</v>
      </c>
      <c r="B153" s="6" t="s">
        <v>2</v>
      </c>
      <c r="C153" s="9">
        <v>3117.74</v>
      </c>
      <c r="D153" s="9">
        <v>132000</v>
      </c>
      <c r="E153" s="6">
        <v>0</v>
      </c>
      <c r="F153" s="6">
        <v>0</v>
      </c>
      <c r="G153" s="9">
        <v>0</v>
      </c>
      <c r="H153" s="9">
        <v>0</v>
      </c>
      <c r="I153" s="9">
        <v>0</v>
      </c>
      <c r="J153" s="9">
        <v>0</v>
      </c>
      <c r="K153" s="12">
        <v>135117.74</v>
      </c>
      <c r="L153" s="13">
        <f t="shared" si="10"/>
        <v>0</v>
      </c>
      <c r="M153" s="15">
        <f t="shared" si="11"/>
        <v>0</v>
      </c>
      <c r="N153" s="15" t="str">
        <f t="shared" si="8"/>
        <v>-</v>
      </c>
      <c r="O153" s="16">
        <f t="shared" si="9"/>
        <v>0</v>
      </c>
    </row>
    <row r="154" spans="1:15" x14ac:dyDescent="0.3">
      <c r="A154" s="2">
        <v>44457.417002314818</v>
      </c>
      <c r="B154" s="6" t="s">
        <v>3</v>
      </c>
      <c r="C154" s="9">
        <v>135117.74</v>
      </c>
      <c r="D154" s="9">
        <v>0</v>
      </c>
      <c r="E154" s="6">
        <v>0</v>
      </c>
      <c r="F154" s="6">
        <v>97.74</v>
      </c>
      <c r="G154" s="9">
        <v>81587.31</v>
      </c>
      <c r="H154" s="9">
        <v>28555.56</v>
      </c>
      <c r="I154" s="9">
        <v>1101</v>
      </c>
      <c r="J154" s="9">
        <v>111243.87</v>
      </c>
      <c r="K154" s="12">
        <v>23873.87</v>
      </c>
      <c r="L154" s="13">
        <f t="shared" si="10"/>
        <v>0.35000001838521216</v>
      </c>
      <c r="M154" s="15">
        <f t="shared" si="11"/>
        <v>1.3494745690230504E-2</v>
      </c>
      <c r="N154" s="15" t="str">
        <f t="shared" si="8"/>
        <v>Liquor</v>
      </c>
      <c r="O154" s="16">
        <f t="shared" si="9"/>
        <v>130.32</v>
      </c>
    </row>
    <row r="155" spans="1:15" x14ac:dyDescent="0.3">
      <c r="A155" s="2">
        <v>44457.417280092595</v>
      </c>
      <c r="B155" s="6" t="s">
        <v>3</v>
      </c>
      <c r="C155" s="9">
        <v>23873.87</v>
      </c>
      <c r="D155" s="9">
        <v>0</v>
      </c>
      <c r="E155" s="6">
        <v>114</v>
      </c>
      <c r="F155" s="6">
        <v>0</v>
      </c>
      <c r="G155" s="9">
        <v>17380.939999999999</v>
      </c>
      <c r="H155" s="9">
        <v>6083.33</v>
      </c>
      <c r="I155" s="9">
        <v>235</v>
      </c>
      <c r="J155" s="9">
        <v>23699.27</v>
      </c>
      <c r="K155" s="12">
        <v>174.6</v>
      </c>
      <c r="L155" s="13">
        <f t="shared" si="10"/>
        <v>0.35000005753428759</v>
      </c>
      <c r="M155" s="15">
        <f t="shared" si="11"/>
        <v>1.352055757628759E-2</v>
      </c>
      <c r="N155" s="15" t="str">
        <f t="shared" si="8"/>
        <v>Beer</v>
      </c>
      <c r="O155" s="16">
        <f t="shared" si="9"/>
        <v>114</v>
      </c>
    </row>
    <row r="156" spans="1:15" x14ac:dyDescent="0.3">
      <c r="A156" s="2">
        <v>44460.315960648149</v>
      </c>
      <c r="B156" s="6" t="s">
        <v>2</v>
      </c>
      <c r="C156" s="9">
        <v>174.6</v>
      </c>
      <c r="D156" s="9">
        <v>217600</v>
      </c>
      <c r="E156" s="6">
        <v>0</v>
      </c>
      <c r="F156" s="6">
        <v>0</v>
      </c>
      <c r="G156" s="9">
        <v>0</v>
      </c>
      <c r="H156" s="9">
        <v>0</v>
      </c>
      <c r="I156" s="9">
        <v>0</v>
      </c>
      <c r="J156" s="9">
        <v>0</v>
      </c>
      <c r="K156" s="12">
        <v>217774.6</v>
      </c>
      <c r="L156" s="13">
        <f t="shared" si="10"/>
        <v>0</v>
      </c>
      <c r="M156" s="15">
        <f t="shared" si="11"/>
        <v>0</v>
      </c>
      <c r="N156" s="15" t="str">
        <f t="shared" si="8"/>
        <v>-</v>
      </c>
      <c r="O156" s="16">
        <f t="shared" si="9"/>
        <v>0</v>
      </c>
    </row>
    <row r="157" spans="1:15" x14ac:dyDescent="0.3">
      <c r="A157" s="2">
        <v>44460.431851851848</v>
      </c>
      <c r="B157" s="6" t="s">
        <v>3</v>
      </c>
      <c r="C157" s="9">
        <v>217774.6</v>
      </c>
      <c r="D157" s="9">
        <v>0</v>
      </c>
      <c r="E157" s="6">
        <v>149.4</v>
      </c>
      <c r="F157" s="6">
        <v>0</v>
      </c>
      <c r="G157" s="9">
        <v>23412.69</v>
      </c>
      <c r="H157" s="9">
        <v>8194.44</v>
      </c>
      <c r="I157" s="9">
        <v>316</v>
      </c>
      <c r="J157" s="9">
        <v>31923.13</v>
      </c>
      <c r="K157" s="12">
        <v>185851.47</v>
      </c>
      <c r="L157" s="13">
        <f t="shared" si="10"/>
        <v>0.34999993593218043</v>
      </c>
      <c r="M157" s="15">
        <f t="shared" si="11"/>
        <v>1.3496954002295338E-2</v>
      </c>
      <c r="N157" s="15" t="str">
        <f t="shared" si="8"/>
        <v>Beer</v>
      </c>
      <c r="O157" s="16">
        <f t="shared" si="9"/>
        <v>149.4</v>
      </c>
    </row>
    <row r="158" spans="1:15" x14ac:dyDescent="0.3">
      <c r="A158" s="2">
        <v>44460.432476851849</v>
      </c>
      <c r="B158" s="6" t="s">
        <v>3</v>
      </c>
      <c r="C158" s="9">
        <v>185851.47</v>
      </c>
      <c r="D158" s="9">
        <v>0</v>
      </c>
      <c r="E158" s="6">
        <v>0</v>
      </c>
      <c r="F158" s="6">
        <v>171.18</v>
      </c>
      <c r="G158" s="9">
        <v>135317.46</v>
      </c>
      <c r="H158" s="9">
        <v>47361.11</v>
      </c>
      <c r="I158" s="9">
        <v>1827</v>
      </c>
      <c r="J158" s="9">
        <v>184505.57</v>
      </c>
      <c r="K158" s="12">
        <v>1345.9</v>
      </c>
      <c r="L158" s="13">
        <f t="shared" si="10"/>
        <v>0.34999999260997067</v>
      </c>
      <c r="M158" s="15">
        <f t="shared" si="11"/>
        <v>1.350158360938788E-2</v>
      </c>
      <c r="N158" s="15" t="str">
        <f t="shared" si="8"/>
        <v>Liquor</v>
      </c>
      <c r="O158" s="16">
        <f t="shared" si="9"/>
        <v>228.24</v>
      </c>
    </row>
    <row r="159" spans="1:15" x14ac:dyDescent="0.3">
      <c r="A159" s="2">
        <v>44464.307974537034</v>
      </c>
      <c r="B159" s="6" t="s">
        <v>2</v>
      </c>
      <c r="C159" s="9">
        <v>1345.9</v>
      </c>
      <c r="D159" s="9">
        <v>150500</v>
      </c>
      <c r="E159" s="6">
        <v>0</v>
      </c>
      <c r="F159" s="6">
        <v>0</v>
      </c>
      <c r="G159" s="9">
        <v>0</v>
      </c>
      <c r="H159" s="9">
        <v>0</v>
      </c>
      <c r="I159" s="9">
        <v>0</v>
      </c>
      <c r="J159" s="9">
        <v>0</v>
      </c>
      <c r="K159" s="12">
        <v>151845.9</v>
      </c>
      <c r="L159" s="13">
        <f t="shared" si="10"/>
        <v>0</v>
      </c>
      <c r="M159" s="15">
        <f t="shared" si="11"/>
        <v>0</v>
      </c>
      <c r="N159" s="15" t="str">
        <f t="shared" si="8"/>
        <v>-</v>
      </c>
      <c r="O159" s="16">
        <f t="shared" si="9"/>
        <v>0</v>
      </c>
    </row>
    <row r="160" spans="1:15" x14ac:dyDescent="0.3">
      <c r="A160" s="2">
        <v>44464.431689814817</v>
      </c>
      <c r="B160" s="6" t="s">
        <v>3</v>
      </c>
      <c r="C160" s="9">
        <v>151845.9</v>
      </c>
      <c r="D160" s="9">
        <v>0</v>
      </c>
      <c r="E160" s="6">
        <v>86.4</v>
      </c>
      <c r="F160" s="6">
        <v>0</v>
      </c>
      <c r="G160" s="9">
        <v>13809.52</v>
      </c>
      <c r="H160" s="9">
        <v>4833.33</v>
      </c>
      <c r="I160" s="9">
        <v>186</v>
      </c>
      <c r="J160" s="9">
        <v>18828.849999999999</v>
      </c>
      <c r="K160" s="12">
        <v>133017.04999999999</v>
      </c>
      <c r="L160" s="13">
        <f t="shared" si="10"/>
        <v>0.34999985517237381</v>
      </c>
      <c r="M160" s="15">
        <f t="shared" si="11"/>
        <v>1.3468969232819098E-2</v>
      </c>
      <c r="N160" s="15" t="str">
        <f t="shared" si="8"/>
        <v>Beer</v>
      </c>
      <c r="O160" s="16">
        <f t="shared" si="9"/>
        <v>86.4</v>
      </c>
    </row>
    <row r="161" spans="1:15" x14ac:dyDescent="0.3">
      <c r="A161" s="2">
        <v>44464.432233796295</v>
      </c>
      <c r="B161" s="6" t="s">
        <v>3</v>
      </c>
      <c r="C161" s="9">
        <v>133017.04999999999</v>
      </c>
      <c r="D161" s="9">
        <v>0</v>
      </c>
      <c r="E161" s="6">
        <v>0</v>
      </c>
      <c r="F161" s="6">
        <v>117.45</v>
      </c>
      <c r="G161" s="9">
        <v>97539.68</v>
      </c>
      <c r="H161" s="9">
        <v>34138.89</v>
      </c>
      <c r="I161" s="9">
        <v>1317</v>
      </c>
      <c r="J161" s="9">
        <v>132995.57</v>
      </c>
      <c r="K161" s="12">
        <v>21.48</v>
      </c>
      <c r="L161" s="13">
        <f t="shared" si="10"/>
        <v>0.35000002050447576</v>
      </c>
      <c r="M161" s="15">
        <f t="shared" si="11"/>
        <v>1.3502197259617831E-2</v>
      </c>
      <c r="N161" s="15" t="str">
        <f t="shared" si="8"/>
        <v>Liquor</v>
      </c>
      <c r="O161" s="16">
        <f t="shared" si="9"/>
        <v>156.6</v>
      </c>
    </row>
    <row r="162" spans="1:15" x14ac:dyDescent="0.3">
      <c r="A162" s="2">
        <v>44468.997233796297</v>
      </c>
      <c r="B162" s="6" t="s">
        <v>2</v>
      </c>
      <c r="C162" s="9">
        <v>21.48</v>
      </c>
      <c r="D162" s="9">
        <v>112500</v>
      </c>
      <c r="E162" s="6">
        <v>0</v>
      </c>
      <c r="F162" s="6">
        <v>0</v>
      </c>
      <c r="G162" s="9">
        <v>0</v>
      </c>
      <c r="H162" s="9">
        <v>0</v>
      </c>
      <c r="I162" s="9">
        <v>0</v>
      </c>
      <c r="J162" s="9">
        <v>0</v>
      </c>
      <c r="K162" s="12">
        <v>112521.48</v>
      </c>
      <c r="L162" s="13">
        <f t="shared" si="10"/>
        <v>0</v>
      </c>
      <c r="M162" s="15">
        <f t="shared" si="11"/>
        <v>0</v>
      </c>
      <c r="N162" s="15" t="str">
        <f t="shared" si="8"/>
        <v>-</v>
      </c>
      <c r="O162" s="16">
        <f t="shared" si="9"/>
        <v>0</v>
      </c>
    </row>
    <row r="163" spans="1:15" x14ac:dyDescent="0.3">
      <c r="A163" s="2">
        <v>44469.418900462966</v>
      </c>
      <c r="B163" s="6" t="s">
        <v>3</v>
      </c>
      <c r="C163" s="9">
        <v>112521.48</v>
      </c>
      <c r="D163" s="9">
        <v>0</v>
      </c>
      <c r="E163" s="6">
        <v>0</v>
      </c>
      <c r="F163" s="6">
        <v>105.03</v>
      </c>
      <c r="G163" s="9">
        <v>81507.92</v>
      </c>
      <c r="H163" s="9">
        <v>28527.77</v>
      </c>
      <c r="I163" s="9">
        <v>1100</v>
      </c>
      <c r="J163" s="9">
        <v>111135.69</v>
      </c>
      <c r="K163" s="12">
        <v>1385.79</v>
      </c>
      <c r="L163" s="13">
        <f t="shared" si="10"/>
        <v>0.34999997546250722</v>
      </c>
      <c r="M163" s="15">
        <f t="shared" si="11"/>
        <v>1.3495621039035226E-2</v>
      </c>
      <c r="N163" s="15" t="str">
        <f t="shared" si="8"/>
        <v>Liquor</v>
      </c>
      <c r="O163" s="16">
        <f t="shared" si="9"/>
        <v>140.04</v>
      </c>
    </row>
    <row r="164" spans="1:15" x14ac:dyDescent="0.3">
      <c r="A164" s="2">
        <v>44470.312662037039</v>
      </c>
      <c r="B164" s="6" t="s">
        <v>2</v>
      </c>
      <c r="C164" s="9">
        <v>1385.79</v>
      </c>
      <c r="D164" s="9">
        <v>299000</v>
      </c>
      <c r="E164" s="6">
        <v>0</v>
      </c>
      <c r="F164" s="6">
        <v>0</v>
      </c>
      <c r="G164" s="9">
        <v>0</v>
      </c>
      <c r="H164" s="9">
        <v>0</v>
      </c>
      <c r="I164" s="9">
        <v>0</v>
      </c>
      <c r="J164" s="9">
        <v>0</v>
      </c>
      <c r="K164" s="12">
        <v>300385.78999999998</v>
      </c>
      <c r="L164" s="13">
        <f t="shared" si="10"/>
        <v>0</v>
      </c>
      <c r="M164" s="15">
        <f t="shared" si="11"/>
        <v>0</v>
      </c>
      <c r="N164" s="15" t="str">
        <f t="shared" si="8"/>
        <v>-</v>
      </c>
      <c r="O164" s="16">
        <f t="shared" si="9"/>
        <v>0</v>
      </c>
    </row>
    <row r="165" spans="1:15" x14ac:dyDescent="0.3">
      <c r="A165" s="2">
        <v>44470.500104166669</v>
      </c>
      <c r="B165" s="6" t="s">
        <v>3</v>
      </c>
      <c r="C165" s="9">
        <v>300385.78999999998</v>
      </c>
      <c r="D165" s="9">
        <v>0</v>
      </c>
      <c r="E165" s="6">
        <v>0</v>
      </c>
      <c r="F165" s="6">
        <v>223.56</v>
      </c>
      <c r="G165" s="9">
        <v>186746.06</v>
      </c>
      <c r="H165" s="9">
        <v>65361.120000000003</v>
      </c>
      <c r="I165" s="9">
        <v>2521</v>
      </c>
      <c r="J165" s="9">
        <v>254628.18</v>
      </c>
      <c r="K165" s="12">
        <v>45757.61</v>
      </c>
      <c r="L165" s="13">
        <f t="shared" si="10"/>
        <v>0.3499999946451347</v>
      </c>
      <c r="M165" s="15">
        <f t="shared" si="11"/>
        <v>1.3499615467121502E-2</v>
      </c>
      <c r="N165" s="15" t="str">
        <f t="shared" si="8"/>
        <v>Liquor</v>
      </c>
      <c r="O165" s="16">
        <f t="shared" si="9"/>
        <v>298.08</v>
      </c>
    </row>
    <row r="166" spans="1:15" x14ac:dyDescent="0.3">
      <c r="A166" s="2">
        <v>44470.501504629632</v>
      </c>
      <c r="B166" s="6" t="s">
        <v>3</v>
      </c>
      <c r="C166" s="9">
        <v>45757.61</v>
      </c>
      <c r="D166" s="9">
        <v>0</v>
      </c>
      <c r="E166" s="6">
        <v>200.4</v>
      </c>
      <c r="F166" s="6">
        <v>0</v>
      </c>
      <c r="G166" s="9">
        <v>32936.5</v>
      </c>
      <c r="H166" s="9">
        <v>11527.78</v>
      </c>
      <c r="I166" s="9">
        <v>445</v>
      </c>
      <c r="J166" s="9">
        <v>44909.279999999999</v>
      </c>
      <c r="K166" s="12">
        <v>848.33</v>
      </c>
      <c r="L166" s="13">
        <f t="shared" si="10"/>
        <v>0.35000015180726551</v>
      </c>
      <c r="M166" s="15">
        <f t="shared" si="11"/>
        <v>1.351084662911967E-2</v>
      </c>
      <c r="N166" s="15" t="str">
        <f t="shared" si="8"/>
        <v>Beer</v>
      </c>
      <c r="O166" s="16">
        <f t="shared" si="9"/>
        <v>200.4</v>
      </c>
    </row>
    <row r="167" spans="1:15" x14ac:dyDescent="0.3">
      <c r="A167" s="2">
        <v>44473.34783564815</v>
      </c>
      <c r="B167" s="6" t="s">
        <v>2</v>
      </c>
      <c r="C167" s="9">
        <v>848.33</v>
      </c>
      <c r="D167" s="9">
        <v>284000</v>
      </c>
      <c r="E167" s="6">
        <v>0</v>
      </c>
      <c r="F167" s="6">
        <v>0</v>
      </c>
      <c r="G167" s="9">
        <v>0</v>
      </c>
      <c r="H167" s="9">
        <v>0</v>
      </c>
      <c r="I167" s="9">
        <v>0</v>
      </c>
      <c r="J167" s="9">
        <v>0</v>
      </c>
      <c r="K167" s="12">
        <v>284848.33</v>
      </c>
      <c r="L167" s="13">
        <f t="shared" si="10"/>
        <v>0</v>
      </c>
      <c r="M167" s="15">
        <f t="shared" si="11"/>
        <v>0</v>
      </c>
      <c r="N167" s="15" t="str">
        <f t="shared" si="8"/>
        <v>-</v>
      </c>
      <c r="O167" s="16">
        <f t="shared" si="9"/>
        <v>0</v>
      </c>
    </row>
    <row r="168" spans="1:15" x14ac:dyDescent="0.3">
      <c r="A168" s="2">
        <v>44473.429166666669</v>
      </c>
      <c r="B168" s="6" t="s">
        <v>2</v>
      </c>
      <c r="C168" s="9">
        <v>284848.33</v>
      </c>
      <c r="D168" s="9">
        <v>185000</v>
      </c>
      <c r="E168" s="6">
        <v>0</v>
      </c>
      <c r="F168" s="6">
        <v>0</v>
      </c>
      <c r="G168" s="9">
        <v>0</v>
      </c>
      <c r="H168" s="9">
        <v>0</v>
      </c>
      <c r="I168" s="9">
        <v>0</v>
      </c>
      <c r="J168" s="9">
        <v>0</v>
      </c>
      <c r="K168" s="12">
        <v>469848.33</v>
      </c>
      <c r="L168" s="13">
        <f t="shared" si="10"/>
        <v>0</v>
      </c>
      <c r="M168" s="15">
        <f t="shared" si="11"/>
        <v>0</v>
      </c>
      <c r="N168" s="15" t="str">
        <f t="shared" si="8"/>
        <v>-</v>
      </c>
      <c r="O168" s="16">
        <f t="shared" si="9"/>
        <v>0</v>
      </c>
    </row>
    <row r="169" spans="1:15" x14ac:dyDescent="0.3">
      <c r="A169" s="2">
        <v>44473.483460648145</v>
      </c>
      <c r="B169" s="6" t="s">
        <v>3</v>
      </c>
      <c r="C169" s="9">
        <v>469848.33</v>
      </c>
      <c r="D169" s="9">
        <v>0</v>
      </c>
      <c r="E169" s="6">
        <v>0</v>
      </c>
      <c r="F169" s="6">
        <v>388.46</v>
      </c>
      <c r="G169" s="9">
        <v>344563.57</v>
      </c>
      <c r="H169" s="9">
        <v>120597.25</v>
      </c>
      <c r="I169" s="9">
        <v>4652</v>
      </c>
      <c r="J169" s="9">
        <v>469812.82</v>
      </c>
      <c r="K169" s="12">
        <v>35.51</v>
      </c>
      <c r="L169" s="13">
        <f t="shared" si="10"/>
        <v>0.35000000145111104</v>
      </c>
      <c r="M169" s="15">
        <f t="shared" si="11"/>
        <v>1.3501137105121125E-2</v>
      </c>
      <c r="N169" s="15" t="str">
        <f t="shared" si="8"/>
        <v>Liquor</v>
      </c>
      <c r="O169" s="16">
        <f t="shared" si="9"/>
        <v>517.9466666666666</v>
      </c>
    </row>
    <row r="170" spans="1:15" x14ac:dyDescent="0.3">
      <c r="A170" s="2">
        <v>44476.003275462965</v>
      </c>
      <c r="B170" s="6" t="s">
        <v>2</v>
      </c>
      <c r="C170" s="9">
        <v>35.51</v>
      </c>
      <c r="D170" s="9">
        <v>600000</v>
      </c>
      <c r="E170" s="6">
        <v>0</v>
      </c>
      <c r="F170" s="6">
        <v>0</v>
      </c>
      <c r="G170" s="9">
        <v>0</v>
      </c>
      <c r="H170" s="9">
        <v>0</v>
      </c>
      <c r="I170" s="9">
        <v>0</v>
      </c>
      <c r="J170" s="9">
        <v>0</v>
      </c>
      <c r="K170" s="12">
        <v>600035.51</v>
      </c>
      <c r="L170" s="13">
        <f t="shared" si="10"/>
        <v>0</v>
      </c>
      <c r="M170" s="15">
        <f t="shared" si="11"/>
        <v>0</v>
      </c>
      <c r="N170" s="15" t="str">
        <f t="shared" si="8"/>
        <v>-</v>
      </c>
      <c r="O170" s="16">
        <f t="shared" si="9"/>
        <v>0</v>
      </c>
    </row>
    <row r="171" spans="1:15" x14ac:dyDescent="0.3">
      <c r="A171" s="2">
        <v>44476.462685185186</v>
      </c>
      <c r="B171" s="6" t="s">
        <v>3</v>
      </c>
      <c r="C171" s="9">
        <v>600035.51</v>
      </c>
      <c r="D171" s="9">
        <v>0</v>
      </c>
      <c r="E171" s="6">
        <v>0</v>
      </c>
      <c r="F171" s="6">
        <v>412.91</v>
      </c>
      <c r="G171" s="9">
        <v>375892.89</v>
      </c>
      <c r="H171" s="9">
        <v>131562.51</v>
      </c>
      <c r="I171" s="9">
        <v>5075</v>
      </c>
      <c r="J171" s="9">
        <v>512530.4</v>
      </c>
      <c r="K171" s="12">
        <v>87505.11</v>
      </c>
      <c r="L171" s="13">
        <f t="shared" si="10"/>
        <v>0.34999999600950155</v>
      </c>
      <c r="M171" s="15">
        <f t="shared" si="11"/>
        <v>1.3501186468304839E-2</v>
      </c>
      <c r="N171" s="15" t="str">
        <f t="shared" si="8"/>
        <v>Liquor</v>
      </c>
      <c r="O171" s="16">
        <f t="shared" si="9"/>
        <v>550.54666666666674</v>
      </c>
    </row>
    <row r="172" spans="1:15" x14ac:dyDescent="0.3">
      <c r="A172" s="2">
        <v>44476.477384259262</v>
      </c>
      <c r="B172" s="6" t="s">
        <v>3</v>
      </c>
      <c r="C172" s="9">
        <v>87505.11</v>
      </c>
      <c r="D172" s="9">
        <v>0</v>
      </c>
      <c r="E172" s="6">
        <v>364.8</v>
      </c>
      <c r="F172" s="6">
        <v>0</v>
      </c>
      <c r="G172" s="9">
        <v>62857.16</v>
      </c>
      <c r="H172" s="9">
        <v>22000.01</v>
      </c>
      <c r="I172" s="9">
        <v>849</v>
      </c>
      <c r="J172" s="9">
        <v>85706.17</v>
      </c>
      <c r="K172" s="12">
        <v>1798.94</v>
      </c>
      <c r="L172" s="13">
        <f t="shared" si="10"/>
        <v>0.35000006363634623</v>
      </c>
      <c r="M172" s="15">
        <f t="shared" si="11"/>
        <v>1.3506814498141499E-2</v>
      </c>
      <c r="N172" s="15" t="str">
        <f t="shared" si="8"/>
        <v>Beer</v>
      </c>
      <c r="O172" s="16">
        <f t="shared" si="9"/>
        <v>364.8</v>
      </c>
    </row>
    <row r="173" spans="1:15" x14ac:dyDescent="0.3">
      <c r="A173" s="2">
        <v>44481.023680555554</v>
      </c>
      <c r="B173" s="6" t="s">
        <v>2</v>
      </c>
      <c r="C173" s="9">
        <v>1798.94</v>
      </c>
      <c r="D173" s="9">
        <v>449000</v>
      </c>
      <c r="E173" s="6">
        <v>0</v>
      </c>
      <c r="F173" s="6">
        <v>0</v>
      </c>
      <c r="G173" s="9">
        <v>0</v>
      </c>
      <c r="H173" s="9">
        <v>0</v>
      </c>
      <c r="I173" s="9">
        <v>0</v>
      </c>
      <c r="J173" s="9">
        <v>0</v>
      </c>
      <c r="K173" s="12">
        <v>450798.94</v>
      </c>
      <c r="L173" s="13">
        <f t="shared" si="10"/>
        <v>0</v>
      </c>
      <c r="M173" s="15">
        <f t="shared" si="11"/>
        <v>0</v>
      </c>
      <c r="N173" s="15" t="str">
        <f t="shared" si="8"/>
        <v>-</v>
      </c>
      <c r="O173" s="16">
        <f t="shared" si="9"/>
        <v>0</v>
      </c>
    </row>
    <row r="174" spans="1:15" x14ac:dyDescent="0.3">
      <c r="A174" s="2">
        <v>44481.423703703702</v>
      </c>
      <c r="B174" s="6" t="s">
        <v>3</v>
      </c>
      <c r="C174" s="9">
        <v>450798.94</v>
      </c>
      <c r="D174" s="9">
        <v>0</v>
      </c>
      <c r="E174" s="6">
        <v>612</v>
      </c>
      <c r="F174" s="6">
        <v>0</v>
      </c>
      <c r="G174" s="9">
        <v>97301.59</v>
      </c>
      <c r="H174" s="9">
        <v>34055.56</v>
      </c>
      <c r="I174" s="9">
        <v>1314</v>
      </c>
      <c r="J174" s="9">
        <v>132671.15</v>
      </c>
      <c r="K174" s="12">
        <v>318127.78999999998</v>
      </c>
      <c r="L174" s="13">
        <f t="shared" si="10"/>
        <v>0.35000003597063523</v>
      </c>
      <c r="M174" s="15">
        <f t="shared" si="11"/>
        <v>1.3504404193189443E-2</v>
      </c>
      <c r="N174" s="15" t="str">
        <f t="shared" si="8"/>
        <v>Beer</v>
      </c>
      <c r="O174" s="16">
        <f t="shared" si="9"/>
        <v>612</v>
      </c>
    </row>
    <row r="175" spans="1:15" x14ac:dyDescent="0.3">
      <c r="A175" s="2">
        <v>44481.473935185182</v>
      </c>
      <c r="B175" s="6" t="s">
        <v>3</v>
      </c>
      <c r="C175" s="9">
        <v>318127.78999999998</v>
      </c>
      <c r="D175" s="9">
        <v>0</v>
      </c>
      <c r="E175" s="6">
        <v>0</v>
      </c>
      <c r="F175" s="6">
        <v>225.11</v>
      </c>
      <c r="G175" s="9">
        <v>228755.05</v>
      </c>
      <c r="H175" s="9">
        <v>80064.27</v>
      </c>
      <c r="I175" s="9">
        <v>3088</v>
      </c>
      <c r="J175" s="9">
        <v>311907.32</v>
      </c>
      <c r="K175" s="12">
        <v>6220.47</v>
      </c>
      <c r="L175" s="13">
        <f t="shared" si="10"/>
        <v>0.35000001092872052</v>
      </c>
      <c r="M175" s="15">
        <f t="shared" si="11"/>
        <v>1.3499155537768457E-2</v>
      </c>
      <c r="N175" s="15" t="str">
        <f t="shared" si="8"/>
        <v>Liquor</v>
      </c>
      <c r="O175" s="16">
        <f t="shared" si="9"/>
        <v>300.1466666666667</v>
      </c>
    </row>
    <row r="176" spans="1:15" x14ac:dyDescent="0.3">
      <c r="A176" s="2">
        <v>44485.249849537038</v>
      </c>
      <c r="B176" s="6" t="s">
        <v>2</v>
      </c>
      <c r="C176" s="9">
        <v>6220.47</v>
      </c>
      <c r="D176" s="9">
        <v>399000</v>
      </c>
      <c r="E176" s="6">
        <v>0</v>
      </c>
      <c r="F176" s="6">
        <v>0</v>
      </c>
      <c r="G176" s="9">
        <v>0</v>
      </c>
      <c r="H176" s="9">
        <v>0</v>
      </c>
      <c r="I176" s="9">
        <v>0</v>
      </c>
      <c r="J176" s="9">
        <v>0</v>
      </c>
      <c r="K176" s="12">
        <v>405220.47</v>
      </c>
      <c r="L176" s="13">
        <f t="shared" si="10"/>
        <v>0</v>
      </c>
      <c r="M176" s="15">
        <f t="shared" si="11"/>
        <v>0</v>
      </c>
      <c r="N176" s="15" t="str">
        <f t="shared" si="8"/>
        <v>-</v>
      </c>
      <c r="O176" s="16">
        <f t="shared" si="9"/>
        <v>0</v>
      </c>
    </row>
    <row r="177" spans="1:15" x14ac:dyDescent="0.3">
      <c r="A177" s="2">
        <v>44485.418506944443</v>
      </c>
      <c r="B177" s="6" t="s">
        <v>3</v>
      </c>
      <c r="C177" s="9">
        <v>405220.47</v>
      </c>
      <c r="D177" s="9">
        <v>0</v>
      </c>
      <c r="E177" s="6">
        <v>241.8</v>
      </c>
      <c r="F177" s="6">
        <v>0</v>
      </c>
      <c r="G177" s="9">
        <v>36031.75</v>
      </c>
      <c r="H177" s="9">
        <v>12611.11</v>
      </c>
      <c r="I177" s="9">
        <v>486</v>
      </c>
      <c r="J177" s="9">
        <v>49128.86</v>
      </c>
      <c r="K177" s="12">
        <v>356091.61</v>
      </c>
      <c r="L177" s="13">
        <f t="shared" si="10"/>
        <v>0.34999993061674772</v>
      </c>
      <c r="M177" s="15">
        <f t="shared" si="11"/>
        <v>1.3488104241398211E-2</v>
      </c>
      <c r="N177" s="15" t="str">
        <f t="shared" si="8"/>
        <v>Beer</v>
      </c>
      <c r="O177" s="16">
        <f t="shared" si="9"/>
        <v>241.8</v>
      </c>
    </row>
    <row r="178" spans="1:15" x14ac:dyDescent="0.3">
      <c r="A178" s="2">
        <v>44485.442418981482</v>
      </c>
      <c r="B178" s="6" t="s">
        <v>3</v>
      </c>
      <c r="C178" s="9">
        <v>356091.61</v>
      </c>
      <c r="D178" s="9">
        <v>0</v>
      </c>
      <c r="E178" s="6">
        <v>0</v>
      </c>
      <c r="F178" s="6">
        <v>308.33999999999997</v>
      </c>
      <c r="G178" s="9">
        <v>257838.36</v>
      </c>
      <c r="H178" s="9">
        <v>90243.43</v>
      </c>
      <c r="I178" s="9">
        <v>3481</v>
      </c>
      <c r="J178" s="9">
        <v>351562.79</v>
      </c>
      <c r="K178" s="12">
        <v>4528.82</v>
      </c>
      <c r="L178" s="13">
        <f t="shared" si="10"/>
        <v>0.35000001551359539</v>
      </c>
      <c r="M178" s="15">
        <f t="shared" si="11"/>
        <v>1.3500706411567309E-2</v>
      </c>
      <c r="N178" s="15" t="str">
        <f t="shared" si="8"/>
        <v>Liquor</v>
      </c>
      <c r="O178" s="16">
        <f t="shared" si="9"/>
        <v>411.11999999999995</v>
      </c>
    </row>
    <row r="179" spans="1:15" x14ac:dyDescent="0.3">
      <c r="A179" s="2">
        <v>44490.98165509259</v>
      </c>
      <c r="B179" s="6" t="s">
        <v>2</v>
      </c>
      <c r="C179" s="9">
        <v>4528.82</v>
      </c>
      <c r="D179" s="9">
        <v>400000</v>
      </c>
      <c r="E179" s="6">
        <v>0</v>
      </c>
      <c r="F179" s="6">
        <v>0</v>
      </c>
      <c r="G179" s="9">
        <v>0</v>
      </c>
      <c r="H179" s="9">
        <v>0</v>
      </c>
      <c r="I179" s="9">
        <v>0</v>
      </c>
      <c r="J179" s="9">
        <v>0</v>
      </c>
      <c r="K179" s="12">
        <v>404528.82</v>
      </c>
      <c r="L179" s="13">
        <f t="shared" si="10"/>
        <v>0</v>
      </c>
      <c r="M179" s="15">
        <f t="shared" si="11"/>
        <v>0</v>
      </c>
      <c r="N179" s="15" t="str">
        <f t="shared" si="8"/>
        <v>-</v>
      </c>
      <c r="O179" s="16">
        <f t="shared" si="9"/>
        <v>0</v>
      </c>
    </row>
    <row r="180" spans="1:15" x14ac:dyDescent="0.3">
      <c r="A180" s="2">
        <v>44491.47179398148</v>
      </c>
      <c r="B180" s="6" t="s">
        <v>3</v>
      </c>
      <c r="C180" s="9">
        <v>404528.82</v>
      </c>
      <c r="D180" s="9">
        <v>0</v>
      </c>
      <c r="E180" s="6">
        <v>0</v>
      </c>
      <c r="F180" s="6">
        <v>332.57</v>
      </c>
      <c r="G180" s="9">
        <v>294486.7</v>
      </c>
      <c r="H180" s="9">
        <v>103070.34</v>
      </c>
      <c r="I180" s="9">
        <v>3976</v>
      </c>
      <c r="J180" s="9">
        <v>401533.04</v>
      </c>
      <c r="K180" s="12">
        <v>2995.78</v>
      </c>
      <c r="L180" s="13">
        <f t="shared" si="10"/>
        <v>0.34999998302130453</v>
      </c>
      <c r="M180" s="15">
        <f t="shared" si="11"/>
        <v>1.3501458639728042E-2</v>
      </c>
      <c r="N180" s="15" t="str">
        <f t="shared" si="8"/>
        <v>Liquor</v>
      </c>
      <c r="O180" s="16">
        <f t="shared" si="9"/>
        <v>443.42666666666668</v>
      </c>
    </row>
    <row r="181" spans="1:15" x14ac:dyDescent="0.3">
      <c r="A181" s="2">
        <v>44494.976319444446</v>
      </c>
      <c r="B181" s="6" t="s">
        <v>2</v>
      </c>
      <c r="C181" s="9">
        <v>2995.78</v>
      </c>
      <c r="D181" s="9">
        <v>340000</v>
      </c>
      <c r="E181" s="6">
        <v>0</v>
      </c>
      <c r="F181" s="6">
        <v>0</v>
      </c>
      <c r="G181" s="9">
        <v>0</v>
      </c>
      <c r="H181" s="9">
        <v>0</v>
      </c>
      <c r="I181" s="9">
        <v>0</v>
      </c>
      <c r="J181" s="9">
        <v>0</v>
      </c>
      <c r="K181" s="12">
        <v>342995.78</v>
      </c>
      <c r="L181" s="13">
        <f t="shared" si="10"/>
        <v>0</v>
      </c>
      <c r="M181" s="15">
        <f t="shared" si="11"/>
        <v>0</v>
      </c>
      <c r="N181" s="15" t="str">
        <f t="shared" si="8"/>
        <v>-</v>
      </c>
      <c r="O181" s="16">
        <f t="shared" si="9"/>
        <v>0</v>
      </c>
    </row>
    <row r="182" spans="1:15" x14ac:dyDescent="0.3">
      <c r="A182" s="2">
        <v>44495.43482638889</v>
      </c>
      <c r="B182" s="6" t="s">
        <v>3</v>
      </c>
      <c r="C182" s="9">
        <v>342995.78</v>
      </c>
      <c r="D182" s="9">
        <v>0</v>
      </c>
      <c r="E182" s="6">
        <v>0</v>
      </c>
      <c r="F182" s="6">
        <v>263.54000000000002</v>
      </c>
      <c r="G182" s="9">
        <v>228769.85</v>
      </c>
      <c r="H182" s="9">
        <v>80069.45</v>
      </c>
      <c r="I182" s="9">
        <v>3088</v>
      </c>
      <c r="J182" s="9">
        <v>311927.3</v>
      </c>
      <c r="K182" s="12">
        <v>31068.48</v>
      </c>
      <c r="L182" s="13">
        <f t="shared" si="10"/>
        <v>0.35000001092801342</v>
      </c>
      <c r="M182" s="15">
        <f t="shared" si="11"/>
        <v>1.3498282225564252E-2</v>
      </c>
      <c r="N182" s="15" t="str">
        <f t="shared" si="8"/>
        <v>Liquor</v>
      </c>
      <c r="O182" s="16">
        <f t="shared" si="9"/>
        <v>351.38666666666671</v>
      </c>
    </row>
    <row r="183" spans="1:15" x14ac:dyDescent="0.3">
      <c r="A183" s="2">
        <v>44495.435428240744</v>
      </c>
      <c r="B183" s="6" t="s">
        <v>3</v>
      </c>
      <c r="C183" s="9">
        <v>31068.48</v>
      </c>
      <c r="D183" s="9">
        <v>0</v>
      </c>
      <c r="E183" s="6">
        <v>109.2</v>
      </c>
      <c r="F183" s="6">
        <v>0</v>
      </c>
      <c r="G183" s="9">
        <v>19047.599999999999</v>
      </c>
      <c r="H183" s="9">
        <v>6666.66</v>
      </c>
      <c r="I183" s="9">
        <v>257</v>
      </c>
      <c r="J183" s="9">
        <v>25971.26</v>
      </c>
      <c r="K183" s="12">
        <v>5097.22</v>
      </c>
      <c r="L183" s="13">
        <f t="shared" si="10"/>
        <v>0.35000000000000003</v>
      </c>
      <c r="M183" s="15">
        <f t="shared" si="11"/>
        <v>1.3492513492513493E-2</v>
      </c>
      <c r="N183" s="15" t="str">
        <f t="shared" si="8"/>
        <v>Beer</v>
      </c>
      <c r="O183" s="16">
        <f t="shared" si="9"/>
        <v>109.2</v>
      </c>
    </row>
    <row r="184" spans="1:15" x14ac:dyDescent="0.3">
      <c r="A184" s="2">
        <v>44501.925347222219</v>
      </c>
      <c r="B184" s="6" t="s">
        <v>2</v>
      </c>
      <c r="C184" s="9">
        <v>5097.22</v>
      </c>
      <c r="D184" s="9">
        <v>450000</v>
      </c>
      <c r="E184" s="6">
        <v>0</v>
      </c>
      <c r="F184" s="6">
        <v>0</v>
      </c>
      <c r="G184" s="9">
        <v>0</v>
      </c>
      <c r="H184" s="9">
        <v>0</v>
      </c>
      <c r="I184" s="9">
        <v>0</v>
      </c>
      <c r="J184" s="9">
        <v>0</v>
      </c>
      <c r="K184" s="12">
        <v>455097.22</v>
      </c>
      <c r="L184" s="13">
        <f t="shared" si="10"/>
        <v>0</v>
      </c>
      <c r="M184" s="15">
        <f t="shared" si="11"/>
        <v>0</v>
      </c>
      <c r="N184" s="15" t="str">
        <f t="shared" si="8"/>
        <v>-</v>
      </c>
      <c r="O184" s="16">
        <f t="shared" si="9"/>
        <v>0</v>
      </c>
    </row>
    <row r="185" spans="1:15" x14ac:dyDescent="0.3">
      <c r="A185" s="2">
        <v>44502.430046296293</v>
      </c>
      <c r="B185" s="6" t="s">
        <v>3</v>
      </c>
      <c r="C185" s="9">
        <v>455097.22</v>
      </c>
      <c r="D185" s="9">
        <v>0</v>
      </c>
      <c r="E185" s="6">
        <v>0</v>
      </c>
      <c r="F185" s="6">
        <v>365.38</v>
      </c>
      <c r="G185" s="9">
        <v>332004.02</v>
      </c>
      <c r="H185" s="9">
        <v>116201.41</v>
      </c>
      <c r="I185" s="9">
        <v>4482</v>
      </c>
      <c r="J185" s="9">
        <v>452687.43</v>
      </c>
      <c r="K185" s="12">
        <v>2409.79</v>
      </c>
      <c r="L185" s="13">
        <f t="shared" si="10"/>
        <v>0.35000000903603518</v>
      </c>
      <c r="M185" s="15">
        <f t="shared" si="11"/>
        <v>1.3499836538123845E-2</v>
      </c>
      <c r="N185" s="15" t="str">
        <f t="shared" si="8"/>
        <v>Liquor</v>
      </c>
      <c r="O185" s="16">
        <f t="shared" si="9"/>
        <v>487.17333333333335</v>
      </c>
    </row>
    <row r="186" spans="1:15" x14ac:dyDescent="0.3">
      <c r="A186" s="2">
        <v>44506.00136574074</v>
      </c>
      <c r="B186" s="6" t="s">
        <v>2</v>
      </c>
      <c r="C186" s="9">
        <v>2409.79</v>
      </c>
      <c r="D186" s="9">
        <v>450000</v>
      </c>
      <c r="E186" s="6">
        <v>0</v>
      </c>
      <c r="F186" s="6">
        <v>0</v>
      </c>
      <c r="G186" s="9">
        <v>0</v>
      </c>
      <c r="H186" s="9">
        <v>0</v>
      </c>
      <c r="I186" s="9">
        <v>0</v>
      </c>
      <c r="J186" s="9">
        <v>0</v>
      </c>
      <c r="K186" s="12">
        <v>452409.79</v>
      </c>
      <c r="L186" s="13">
        <f t="shared" si="10"/>
        <v>0</v>
      </c>
      <c r="M186" s="15">
        <f t="shared" si="11"/>
        <v>0</v>
      </c>
      <c r="N186" s="15" t="str">
        <f t="shared" si="8"/>
        <v>-</v>
      </c>
      <c r="O186" s="16">
        <f t="shared" si="9"/>
        <v>0</v>
      </c>
    </row>
    <row r="187" spans="1:15" x14ac:dyDescent="0.3">
      <c r="A187" s="2">
        <v>44506.441666666666</v>
      </c>
      <c r="B187" s="6" t="s">
        <v>3</v>
      </c>
      <c r="C187" s="9">
        <v>452409.79</v>
      </c>
      <c r="D187" s="9">
        <v>0</v>
      </c>
      <c r="E187" s="6">
        <v>355.2</v>
      </c>
      <c r="F187" s="6">
        <v>0</v>
      </c>
      <c r="G187" s="9">
        <v>56269.8</v>
      </c>
      <c r="H187" s="9">
        <v>19694.43</v>
      </c>
      <c r="I187" s="9">
        <v>760</v>
      </c>
      <c r="J187" s="9">
        <v>76724.23</v>
      </c>
      <c r="K187" s="12">
        <v>375685.56</v>
      </c>
      <c r="L187" s="13">
        <f t="shared" si="10"/>
        <v>0.35</v>
      </c>
      <c r="M187" s="15">
        <f t="shared" si="11"/>
        <v>1.3506356873491641E-2</v>
      </c>
      <c r="N187" s="15" t="str">
        <f t="shared" si="8"/>
        <v>Beer</v>
      </c>
      <c r="O187" s="16">
        <f t="shared" si="9"/>
        <v>355.2</v>
      </c>
    </row>
    <row r="188" spans="1:15" x14ac:dyDescent="0.3">
      <c r="A188" s="2">
        <v>44506.501319444447</v>
      </c>
      <c r="B188" s="6" t="s">
        <v>3</v>
      </c>
      <c r="C188" s="9">
        <v>375685.56</v>
      </c>
      <c r="D188" s="9">
        <v>0</v>
      </c>
      <c r="E188" s="6">
        <v>0</v>
      </c>
      <c r="F188" s="6">
        <v>328.32</v>
      </c>
      <c r="G188" s="9">
        <v>271111.09999999998</v>
      </c>
      <c r="H188" s="9">
        <v>94888.89</v>
      </c>
      <c r="I188" s="9">
        <v>3660</v>
      </c>
      <c r="J188" s="9">
        <v>369659.99</v>
      </c>
      <c r="K188" s="12">
        <v>6025.57</v>
      </c>
      <c r="L188" s="13">
        <f t="shared" si="10"/>
        <v>0.35000001844262374</v>
      </c>
      <c r="M188" s="15">
        <f t="shared" si="11"/>
        <v>1.3500000553278713E-2</v>
      </c>
      <c r="N188" s="15" t="str">
        <f t="shared" si="8"/>
        <v>Liquor</v>
      </c>
      <c r="O188" s="16">
        <f t="shared" si="9"/>
        <v>437.76</v>
      </c>
    </row>
    <row r="189" spans="1:15" x14ac:dyDescent="0.3">
      <c r="A189" s="2">
        <v>44509.497118055559</v>
      </c>
      <c r="B189" s="6" t="s">
        <v>2</v>
      </c>
      <c r="C189" s="9">
        <v>6025.57</v>
      </c>
      <c r="D189" s="9">
        <v>10000</v>
      </c>
      <c r="E189" s="6">
        <v>0</v>
      </c>
      <c r="F189" s="6">
        <v>0</v>
      </c>
      <c r="G189" s="9">
        <v>0</v>
      </c>
      <c r="H189" s="9">
        <v>0</v>
      </c>
      <c r="I189" s="9">
        <v>0</v>
      </c>
      <c r="J189" s="9">
        <v>0</v>
      </c>
      <c r="K189" s="12">
        <v>16025.57</v>
      </c>
      <c r="L189" s="13">
        <f t="shared" si="10"/>
        <v>0</v>
      </c>
      <c r="M189" s="15">
        <f t="shared" si="11"/>
        <v>0</v>
      </c>
      <c r="N189" s="15" t="str">
        <f t="shared" si="8"/>
        <v>-</v>
      </c>
      <c r="O189" s="16">
        <f t="shared" si="9"/>
        <v>0</v>
      </c>
    </row>
    <row r="190" spans="1:15" x14ac:dyDescent="0.3">
      <c r="A190" s="2">
        <v>44511.209270833337</v>
      </c>
      <c r="B190" s="6" t="s">
        <v>2</v>
      </c>
      <c r="C190" s="9">
        <v>16025.57</v>
      </c>
      <c r="D190" s="9">
        <v>430000</v>
      </c>
      <c r="E190" s="6">
        <v>0</v>
      </c>
      <c r="F190" s="6">
        <v>0</v>
      </c>
      <c r="G190" s="9">
        <v>0</v>
      </c>
      <c r="H190" s="9">
        <v>0</v>
      </c>
      <c r="I190" s="9">
        <v>0</v>
      </c>
      <c r="J190" s="9">
        <v>0</v>
      </c>
      <c r="K190" s="12">
        <v>446025.57</v>
      </c>
      <c r="L190" s="13">
        <f t="shared" si="10"/>
        <v>0</v>
      </c>
      <c r="M190" s="15">
        <f t="shared" si="11"/>
        <v>0</v>
      </c>
      <c r="N190" s="15" t="str">
        <f t="shared" si="8"/>
        <v>-</v>
      </c>
      <c r="O190" s="16">
        <f t="shared" si="9"/>
        <v>0</v>
      </c>
    </row>
    <row r="191" spans="1:15" x14ac:dyDescent="0.3">
      <c r="A191" s="2">
        <v>44511.47625</v>
      </c>
      <c r="B191" s="6" t="s">
        <v>3</v>
      </c>
      <c r="C191" s="9">
        <v>446025.57</v>
      </c>
      <c r="D191" s="9">
        <v>0</v>
      </c>
      <c r="E191" s="6">
        <v>0</v>
      </c>
      <c r="F191" s="6">
        <v>352.16</v>
      </c>
      <c r="G191" s="9">
        <v>311486.90000000002</v>
      </c>
      <c r="H191" s="9">
        <v>109020.42</v>
      </c>
      <c r="I191" s="9">
        <v>4205</v>
      </c>
      <c r="J191" s="9">
        <v>424712.32</v>
      </c>
      <c r="K191" s="12">
        <v>21313.25</v>
      </c>
      <c r="L191" s="13">
        <f t="shared" si="10"/>
        <v>0.3500000160520394</v>
      </c>
      <c r="M191" s="15">
        <f t="shared" si="11"/>
        <v>1.3499765158663172E-2</v>
      </c>
      <c r="N191" s="15" t="str">
        <f t="shared" si="8"/>
        <v>Liquor</v>
      </c>
      <c r="O191" s="16">
        <f t="shared" si="9"/>
        <v>469.54666666666668</v>
      </c>
    </row>
    <row r="192" spans="1:15" x14ac:dyDescent="0.3">
      <c r="A192" s="2">
        <v>44511.476782407408</v>
      </c>
      <c r="B192" s="6" t="s">
        <v>3</v>
      </c>
      <c r="C192" s="9">
        <v>21313.25</v>
      </c>
      <c r="D192" s="9">
        <v>0</v>
      </c>
      <c r="E192" s="6">
        <v>93.6</v>
      </c>
      <c r="F192" s="6">
        <v>0</v>
      </c>
      <c r="G192" s="9">
        <v>15079.41</v>
      </c>
      <c r="H192" s="9">
        <v>5277.79</v>
      </c>
      <c r="I192" s="9">
        <v>204</v>
      </c>
      <c r="J192" s="9">
        <v>20561.2</v>
      </c>
      <c r="K192" s="12">
        <v>752.05</v>
      </c>
      <c r="L192" s="13">
        <f t="shared" si="10"/>
        <v>0.34999976789542825</v>
      </c>
      <c r="M192" s="15">
        <f t="shared" si="11"/>
        <v>1.3528380752297339E-2</v>
      </c>
      <c r="N192" s="15" t="str">
        <f t="shared" si="8"/>
        <v>Beer</v>
      </c>
      <c r="O192" s="16">
        <f t="shared" si="9"/>
        <v>93.6</v>
      </c>
    </row>
    <row r="193" spans="1:15" x14ac:dyDescent="0.3">
      <c r="A193" s="2">
        <v>44516.23746527778</v>
      </c>
      <c r="B193" s="6" t="s">
        <v>2</v>
      </c>
      <c r="C193" s="9">
        <v>752.05</v>
      </c>
      <c r="D193" s="9">
        <v>380000</v>
      </c>
      <c r="E193" s="6">
        <v>0</v>
      </c>
      <c r="F193" s="6">
        <v>0</v>
      </c>
      <c r="G193" s="9">
        <v>0</v>
      </c>
      <c r="H193" s="9">
        <v>0</v>
      </c>
      <c r="I193" s="9">
        <v>0</v>
      </c>
      <c r="J193" s="9">
        <v>0</v>
      </c>
      <c r="K193" s="12">
        <v>380752.05</v>
      </c>
      <c r="L193" s="13">
        <f t="shared" si="10"/>
        <v>0</v>
      </c>
      <c r="M193" s="15">
        <f t="shared" si="11"/>
        <v>0</v>
      </c>
      <c r="N193" s="15" t="str">
        <f t="shared" si="8"/>
        <v>-</v>
      </c>
      <c r="O193" s="16">
        <f t="shared" si="9"/>
        <v>0</v>
      </c>
    </row>
    <row r="194" spans="1:15" x14ac:dyDescent="0.3">
      <c r="A194" s="2">
        <v>44516.481226851851</v>
      </c>
      <c r="B194" s="6" t="s">
        <v>3</v>
      </c>
      <c r="C194" s="9">
        <v>380752.05</v>
      </c>
      <c r="D194" s="9">
        <v>0</v>
      </c>
      <c r="E194" s="6">
        <v>0</v>
      </c>
      <c r="F194" s="6">
        <v>321.98</v>
      </c>
      <c r="G194" s="9">
        <v>267023.87</v>
      </c>
      <c r="H194" s="9">
        <v>93458.39</v>
      </c>
      <c r="I194" s="9">
        <v>3605</v>
      </c>
      <c r="J194" s="9">
        <v>364087.26</v>
      </c>
      <c r="K194" s="12">
        <v>16664.79</v>
      </c>
      <c r="L194" s="13">
        <f t="shared" si="10"/>
        <v>0.35000013294691595</v>
      </c>
      <c r="M194" s="15">
        <f t="shared" si="11"/>
        <v>1.3500665689550526E-2</v>
      </c>
      <c r="N194" s="15" t="str">
        <f t="shared" si="8"/>
        <v>Liquor</v>
      </c>
      <c r="O194" s="16">
        <f t="shared" si="9"/>
        <v>429.30666666666667</v>
      </c>
    </row>
    <row r="195" spans="1:15" x14ac:dyDescent="0.3">
      <c r="A195" s="2">
        <v>44516.481608796297</v>
      </c>
      <c r="B195" s="6" t="s">
        <v>3</v>
      </c>
      <c r="C195" s="9">
        <v>16664.79</v>
      </c>
      <c r="D195" s="9">
        <v>0</v>
      </c>
      <c r="E195" s="6">
        <v>78</v>
      </c>
      <c r="F195" s="6">
        <v>0</v>
      </c>
      <c r="G195" s="9">
        <v>11111.1</v>
      </c>
      <c r="H195" s="9">
        <v>3888.89</v>
      </c>
      <c r="I195" s="9">
        <v>150</v>
      </c>
      <c r="J195" s="9">
        <v>15149.99</v>
      </c>
      <c r="K195" s="12">
        <v>1514.8</v>
      </c>
      <c r="L195" s="13">
        <f t="shared" si="10"/>
        <v>0.35000045000044999</v>
      </c>
      <c r="M195" s="15">
        <f t="shared" si="11"/>
        <v>1.3500013500013499E-2</v>
      </c>
      <c r="N195" s="15" t="str">
        <f t="shared" ref="N195:N258" si="12">IF($E195&lt;&gt;0,"Beer",IF($F195&lt;&gt;0,"Liquor","-"))</f>
        <v>Beer</v>
      </c>
      <c r="O195" s="16">
        <f t="shared" ref="O195:O258" si="13">IF($E195&lt;&gt;0,$E195,IF($F195&lt;&gt;0,$F195/0.75,0))</f>
        <v>78</v>
      </c>
    </row>
    <row r="196" spans="1:15" x14ac:dyDescent="0.3">
      <c r="A196" s="2">
        <v>44520.280509259261</v>
      </c>
      <c r="B196" s="6" t="s">
        <v>2</v>
      </c>
      <c r="C196" s="9">
        <v>1514.8</v>
      </c>
      <c r="D196" s="9">
        <v>380000</v>
      </c>
      <c r="E196" s="6">
        <v>0</v>
      </c>
      <c r="F196" s="6">
        <v>0</v>
      </c>
      <c r="G196" s="9">
        <v>0</v>
      </c>
      <c r="H196" s="9">
        <v>0</v>
      </c>
      <c r="I196" s="9">
        <v>0</v>
      </c>
      <c r="J196" s="9">
        <v>0</v>
      </c>
      <c r="K196" s="12">
        <v>381514.8</v>
      </c>
      <c r="L196" s="13">
        <f t="shared" ref="L196:L259" si="14">IFERROR(H196/$G196,0)</f>
        <v>0</v>
      </c>
      <c r="M196" s="15">
        <f t="shared" ref="M196:M259" si="15">IFERROR(I196/$G196,0)</f>
        <v>0</v>
      </c>
      <c r="N196" s="15" t="str">
        <f t="shared" si="12"/>
        <v>-</v>
      </c>
      <c r="O196" s="16">
        <f t="shared" si="13"/>
        <v>0</v>
      </c>
    </row>
    <row r="197" spans="1:15" x14ac:dyDescent="0.3">
      <c r="A197" s="2">
        <v>44520.481319444443</v>
      </c>
      <c r="B197" s="6" t="s">
        <v>3</v>
      </c>
      <c r="C197" s="9">
        <v>381514.8</v>
      </c>
      <c r="D197" s="9">
        <v>0</v>
      </c>
      <c r="E197" s="6">
        <v>82.2</v>
      </c>
      <c r="F197" s="6">
        <v>0</v>
      </c>
      <c r="G197" s="9">
        <v>15714.3</v>
      </c>
      <c r="H197" s="9">
        <v>5500.01</v>
      </c>
      <c r="I197" s="9">
        <v>212</v>
      </c>
      <c r="J197" s="9">
        <v>21426.31</v>
      </c>
      <c r="K197" s="12">
        <v>360088.49</v>
      </c>
      <c r="L197" s="13">
        <f t="shared" si="14"/>
        <v>0.35000031818152894</v>
      </c>
      <c r="M197" s="15">
        <f t="shared" si="15"/>
        <v>1.3490896826457431E-2</v>
      </c>
      <c r="N197" s="15" t="str">
        <f t="shared" si="12"/>
        <v>Beer</v>
      </c>
      <c r="O197" s="16">
        <f t="shared" si="13"/>
        <v>82.2</v>
      </c>
    </row>
    <row r="198" spans="1:15" x14ac:dyDescent="0.3">
      <c r="A198" s="2">
        <v>44520.48228009259</v>
      </c>
      <c r="B198" s="6" t="s">
        <v>3</v>
      </c>
      <c r="C198" s="9">
        <v>360088.49</v>
      </c>
      <c r="D198" s="9">
        <v>0</v>
      </c>
      <c r="E198" s="6">
        <v>0</v>
      </c>
      <c r="F198" s="6">
        <v>299.02999999999997</v>
      </c>
      <c r="G198" s="9">
        <v>263710.42</v>
      </c>
      <c r="H198" s="9">
        <v>92298.65</v>
      </c>
      <c r="I198" s="9">
        <v>3560</v>
      </c>
      <c r="J198" s="9">
        <v>359569.07</v>
      </c>
      <c r="K198" s="12">
        <v>519.41999999999996</v>
      </c>
      <c r="L198" s="13">
        <f t="shared" si="14"/>
        <v>0.35000001137611475</v>
      </c>
      <c r="M198" s="15">
        <f t="shared" si="15"/>
        <v>1.3499656175891724E-2</v>
      </c>
      <c r="N198" s="15" t="str">
        <f t="shared" si="12"/>
        <v>Liquor</v>
      </c>
      <c r="O198" s="16">
        <f t="shared" si="13"/>
        <v>398.70666666666665</v>
      </c>
    </row>
    <row r="199" spans="1:15" x14ac:dyDescent="0.3">
      <c r="A199" s="2">
        <v>44524.012303240743</v>
      </c>
      <c r="B199" s="6" t="s">
        <v>2</v>
      </c>
      <c r="C199" s="9">
        <v>519.41999999999996</v>
      </c>
      <c r="D199" s="9">
        <v>365000</v>
      </c>
      <c r="E199" s="6">
        <v>0</v>
      </c>
      <c r="F199" s="6">
        <v>0</v>
      </c>
      <c r="G199" s="9">
        <v>0</v>
      </c>
      <c r="H199" s="9">
        <v>0</v>
      </c>
      <c r="I199" s="9">
        <v>0</v>
      </c>
      <c r="J199" s="9">
        <v>0</v>
      </c>
      <c r="K199" s="12">
        <v>365519.42</v>
      </c>
      <c r="L199" s="13">
        <f t="shared" si="14"/>
        <v>0</v>
      </c>
      <c r="M199" s="15">
        <f t="shared" si="15"/>
        <v>0</v>
      </c>
      <c r="N199" s="15" t="str">
        <f t="shared" si="12"/>
        <v>-</v>
      </c>
      <c r="O199" s="16">
        <f t="shared" si="13"/>
        <v>0</v>
      </c>
    </row>
    <row r="200" spans="1:15" x14ac:dyDescent="0.3">
      <c r="A200" s="2">
        <v>44524.469849537039</v>
      </c>
      <c r="B200" s="6" t="s">
        <v>3</v>
      </c>
      <c r="C200" s="9">
        <v>365519.42</v>
      </c>
      <c r="D200" s="9">
        <v>0</v>
      </c>
      <c r="E200" s="6">
        <v>0</v>
      </c>
      <c r="F200" s="6">
        <v>274.64</v>
      </c>
      <c r="G200" s="9">
        <v>230912.76</v>
      </c>
      <c r="H200" s="9">
        <v>80819.460000000006</v>
      </c>
      <c r="I200" s="9">
        <v>3117</v>
      </c>
      <c r="J200" s="9">
        <v>314849.21999999997</v>
      </c>
      <c r="K200" s="12">
        <v>50670.2</v>
      </c>
      <c r="L200" s="13">
        <f t="shared" si="14"/>
        <v>0.3499999740161609</v>
      </c>
      <c r="M200" s="15">
        <f t="shared" si="15"/>
        <v>1.3498604408002398E-2</v>
      </c>
      <c r="N200" s="15" t="str">
        <f t="shared" si="12"/>
        <v>Liquor</v>
      </c>
      <c r="O200" s="16">
        <f t="shared" si="13"/>
        <v>366.18666666666667</v>
      </c>
    </row>
    <row r="201" spans="1:15" x14ac:dyDescent="0.3">
      <c r="A201" s="2">
        <v>44524.488506944443</v>
      </c>
      <c r="B201" s="6" t="s">
        <v>3</v>
      </c>
      <c r="C201" s="9">
        <v>50670.2</v>
      </c>
      <c r="D201" s="9">
        <v>0</v>
      </c>
      <c r="E201" s="6">
        <v>223.2</v>
      </c>
      <c r="F201" s="6">
        <v>0</v>
      </c>
      <c r="G201" s="9">
        <v>36111.11</v>
      </c>
      <c r="H201" s="9">
        <v>12638.89</v>
      </c>
      <c r="I201" s="9">
        <v>488</v>
      </c>
      <c r="J201" s="9">
        <v>49238</v>
      </c>
      <c r="K201" s="12">
        <v>1432.2</v>
      </c>
      <c r="L201" s="13">
        <f t="shared" si="14"/>
        <v>0.35000004153846281</v>
      </c>
      <c r="M201" s="15">
        <f t="shared" si="15"/>
        <v>1.3513846569656818E-2</v>
      </c>
      <c r="N201" s="15" t="str">
        <f t="shared" si="12"/>
        <v>Beer</v>
      </c>
      <c r="O201" s="16">
        <f t="shared" si="13"/>
        <v>223.2</v>
      </c>
    </row>
    <row r="202" spans="1:15" x14ac:dyDescent="0.3">
      <c r="A202" s="2">
        <v>44527.259814814817</v>
      </c>
      <c r="B202" s="6" t="s">
        <v>2</v>
      </c>
      <c r="C202" s="9">
        <v>1432.2</v>
      </c>
      <c r="D202" s="9">
        <v>315000</v>
      </c>
      <c r="E202" s="6">
        <v>0</v>
      </c>
      <c r="F202" s="6">
        <v>0</v>
      </c>
      <c r="G202" s="9">
        <v>0</v>
      </c>
      <c r="H202" s="9">
        <v>0</v>
      </c>
      <c r="I202" s="9">
        <v>0</v>
      </c>
      <c r="J202" s="9">
        <v>0</v>
      </c>
      <c r="K202" s="12">
        <v>316432.2</v>
      </c>
      <c r="L202" s="13">
        <f t="shared" si="14"/>
        <v>0</v>
      </c>
      <c r="M202" s="15">
        <f t="shared" si="15"/>
        <v>0</v>
      </c>
      <c r="N202" s="15" t="str">
        <f t="shared" si="12"/>
        <v>-</v>
      </c>
      <c r="O202" s="16">
        <f t="shared" si="13"/>
        <v>0</v>
      </c>
    </row>
    <row r="203" spans="1:15" x14ac:dyDescent="0.3">
      <c r="A203" s="2">
        <v>44527.463819444441</v>
      </c>
      <c r="B203" s="6" t="s">
        <v>3</v>
      </c>
      <c r="C203" s="9">
        <v>316432.2</v>
      </c>
      <c r="D203" s="9">
        <v>0</v>
      </c>
      <c r="E203" s="6">
        <v>0</v>
      </c>
      <c r="F203" s="6">
        <v>281.08999999999997</v>
      </c>
      <c r="G203" s="9">
        <v>231388.96</v>
      </c>
      <c r="H203" s="9">
        <v>80986.17</v>
      </c>
      <c r="I203" s="9">
        <v>3124</v>
      </c>
      <c r="J203" s="9">
        <v>315499.13</v>
      </c>
      <c r="K203" s="12">
        <v>933.07</v>
      </c>
      <c r="L203" s="13">
        <f t="shared" si="14"/>
        <v>0.35000014693873038</v>
      </c>
      <c r="M203" s="15">
        <f t="shared" si="15"/>
        <v>1.350107628298256E-2</v>
      </c>
      <c r="N203" s="15" t="str">
        <f t="shared" si="12"/>
        <v>Liquor</v>
      </c>
      <c r="O203" s="16">
        <f t="shared" si="13"/>
        <v>374.78666666666663</v>
      </c>
    </row>
    <row r="204" spans="1:15" x14ac:dyDescent="0.3">
      <c r="A204" s="2">
        <v>44530.254988425928</v>
      </c>
      <c r="B204" s="6" t="s">
        <v>2</v>
      </c>
      <c r="C204" s="9">
        <v>933.07</v>
      </c>
      <c r="D204" s="9">
        <v>300000</v>
      </c>
      <c r="E204" s="6">
        <v>0</v>
      </c>
      <c r="F204" s="6">
        <v>0</v>
      </c>
      <c r="G204" s="9">
        <v>0</v>
      </c>
      <c r="H204" s="9">
        <v>0</v>
      </c>
      <c r="I204" s="9">
        <v>0</v>
      </c>
      <c r="J204" s="9">
        <v>0</v>
      </c>
      <c r="K204" s="12">
        <v>300933.07</v>
      </c>
      <c r="L204" s="13">
        <f t="shared" si="14"/>
        <v>0</v>
      </c>
      <c r="M204" s="15">
        <f t="shared" si="15"/>
        <v>0</v>
      </c>
      <c r="N204" s="15" t="str">
        <f t="shared" si="12"/>
        <v>-</v>
      </c>
      <c r="O204" s="16">
        <f t="shared" si="13"/>
        <v>0</v>
      </c>
    </row>
    <row r="205" spans="1:15" x14ac:dyDescent="0.3">
      <c r="A205" s="2">
        <v>44530.461643518516</v>
      </c>
      <c r="B205" s="6" t="s">
        <v>3</v>
      </c>
      <c r="C205" s="9">
        <v>300933.07</v>
      </c>
      <c r="D205" s="9">
        <v>0</v>
      </c>
      <c r="E205" s="6">
        <v>282.60000000000002</v>
      </c>
      <c r="F205" s="6">
        <v>0</v>
      </c>
      <c r="G205" s="9">
        <v>44047.61</v>
      </c>
      <c r="H205" s="9">
        <v>15416.66</v>
      </c>
      <c r="I205" s="9">
        <v>595</v>
      </c>
      <c r="J205" s="9">
        <v>60059.27</v>
      </c>
      <c r="K205" s="12">
        <v>240873.8</v>
      </c>
      <c r="L205" s="13">
        <f t="shared" si="14"/>
        <v>0.3499999205405242</v>
      </c>
      <c r="M205" s="15">
        <f t="shared" si="15"/>
        <v>1.35081108827471E-2</v>
      </c>
      <c r="N205" s="15" t="str">
        <f t="shared" si="12"/>
        <v>Beer</v>
      </c>
      <c r="O205" s="16">
        <f t="shared" si="13"/>
        <v>282.60000000000002</v>
      </c>
    </row>
    <row r="206" spans="1:15" x14ac:dyDescent="0.3">
      <c r="A206" s="2">
        <v>44530.47351851852</v>
      </c>
      <c r="B206" s="6" t="s">
        <v>3</v>
      </c>
      <c r="C206" s="9">
        <v>240873.8</v>
      </c>
      <c r="D206" s="9">
        <v>0</v>
      </c>
      <c r="E206" s="6">
        <v>0</v>
      </c>
      <c r="F206" s="6">
        <v>204.1</v>
      </c>
      <c r="G206" s="9">
        <v>176461.68</v>
      </c>
      <c r="H206" s="9">
        <v>61761.62</v>
      </c>
      <c r="I206" s="9">
        <v>2382</v>
      </c>
      <c r="J206" s="9">
        <v>240605.3</v>
      </c>
      <c r="K206" s="12">
        <v>268.5</v>
      </c>
      <c r="L206" s="13">
        <f t="shared" si="14"/>
        <v>0.3500001813424875</v>
      </c>
      <c r="M206" s="15">
        <f t="shared" si="15"/>
        <v>1.3498681413437751E-2</v>
      </c>
      <c r="N206" s="15" t="str">
        <f t="shared" si="12"/>
        <v>Liquor</v>
      </c>
      <c r="O206" s="16">
        <f t="shared" si="13"/>
        <v>272.13333333333333</v>
      </c>
    </row>
    <row r="207" spans="1:15" x14ac:dyDescent="0.3">
      <c r="A207" s="2">
        <v>44536.162349537037</v>
      </c>
      <c r="B207" s="6" t="s">
        <v>2</v>
      </c>
      <c r="C207" s="9">
        <v>268.5</v>
      </c>
      <c r="D207" s="9">
        <v>490000</v>
      </c>
      <c r="E207" s="6">
        <v>0</v>
      </c>
      <c r="F207" s="6">
        <v>0</v>
      </c>
      <c r="G207" s="9">
        <v>0</v>
      </c>
      <c r="H207" s="9">
        <v>0</v>
      </c>
      <c r="I207" s="9">
        <v>0</v>
      </c>
      <c r="J207" s="9">
        <v>0</v>
      </c>
      <c r="K207" s="12">
        <v>490268.5</v>
      </c>
      <c r="L207" s="13">
        <f t="shared" si="14"/>
        <v>0</v>
      </c>
      <c r="M207" s="15">
        <f t="shared" si="15"/>
        <v>0</v>
      </c>
      <c r="N207" s="15" t="str">
        <f t="shared" si="12"/>
        <v>-</v>
      </c>
      <c r="O207" s="16">
        <f t="shared" si="13"/>
        <v>0</v>
      </c>
    </row>
    <row r="208" spans="1:15" x14ac:dyDescent="0.3">
      <c r="A208" s="2">
        <v>44536.471875000003</v>
      </c>
      <c r="B208" s="6" t="s">
        <v>3</v>
      </c>
      <c r="C208" s="9">
        <v>490268.5</v>
      </c>
      <c r="D208" s="9">
        <v>0</v>
      </c>
      <c r="E208" s="6">
        <v>0</v>
      </c>
      <c r="F208" s="6">
        <v>423.18</v>
      </c>
      <c r="G208" s="9">
        <v>356899.6</v>
      </c>
      <c r="H208" s="9">
        <v>124914.9</v>
      </c>
      <c r="I208" s="9">
        <v>4818</v>
      </c>
      <c r="J208" s="9">
        <v>486632.5</v>
      </c>
      <c r="K208" s="12">
        <v>3636</v>
      </c>
      <c r="L208" s="13">
        <f t="shared" si="14"/>
        <v>0.35000011207633747</v>
      </c>
      <c r="M208" s="15">
        <f t="shared" si="15"/>
        <v>1.3499594844040173E-2</v>
      </c>
      <c r="N208" s="15" t="str">
        <f t="shared" si="12"/>
        <v>Liquor</v>
      </c>
      <c r="O208" s="16">
        <f t="shared" si="13"/>
        <v>564.24</v>
      </c>
    </row>
    <row r="209" spans="1:15" x14ac:dyDescent="0.3">
      <c r="A209" s="2">
        <v>44540.259398148148</v>
      </c>
      <c r="B209" s="6" t="s">
        <v>2</v>
      </c>
      <c r="C209" s="9">
        <v>3636</v>
      </c>
      <c r="D209" s="9">
        <v>345000</v>
      </c>
      <c r="E209" s="6">
        <v>0</v>
      </c>
      <c r="F209" s="6">
        <v>0</v>
      </c>
      <c r="G209" s="9">
        <v>0</v>
      </c>
      <c r="H209" s="9">
        <v>0</v>
      </c>
      <c r="I209" s="9">
        <v>0</v>
      </c>
      <c r="J209" s="9">
        <v>0</v>
      </c>
      <c r="K209" s="12">
        <v>348636</v>
      </c>
      <c r="L209" s="13">
        <f t="shared" si="14"/>
        <v>0</v>
      </c>
      <c r="M209" s="15">
        <f t="shared" si="15"/>
        <v>0</v>
      </c>
      <c r="N209" s="15" t="str">
        <f t="shared" si="12"/>
        <v>-</v>
      </c>
      <c r="O209" s="16">
        <f t="shared" si="13"/>
        <v>0</v>
      </c>
    </row>
    <row r="210" spans="1:15" x14ac:dyDescent="0.3">
      <c r="A210" s="2">
        <v>44540.468819444446</v>
      </c>
      <c r="B210" s="6" t="s">
        <v>3</v>
      </c>
      <c r="C210" s="9">
        <v>348636</v>
      </c>
      <c r="D210" s="9">
        <v>0</v>
      </c>
      <c r="E210" s="6">
        <v>206.4</v>
      </c>
      <c r="F210" s="6">
        <v>0</v>
      </c>
      <c r="G210" s="9">
        <v>33809.5</v>
      </c>
      <c r="H210" s="9">
        <v>11833.33</v>
      </c>
      <c r="I210" s="9">
        <v>456</v>
      </c>
      <c r="J210" s="9">
        <v>46098.83</v>
      </c>
      <c r="K210" s="12">
        <v>302537.17</v>
      </c>
      <c r="L210" s="13">
        <f t="shared" si="14"/>
        <v>0.35000014788742811</v>
      </c>
      <c r="M210" s="15">
        <f t="shared" si="15"/>
        <v>1.3487333441784113E-2</v>
      </c>
      <c r="N210" s="15" t="str">
        <f t="shared" si="12"/>
        <v>Beer</v>
      </c>
      <c r="O210" s="16">
        <f t="shared" si="13"/>
        <v>206.4</v>
      </c>
    </row>
    <row r="211" spans="1:15" x14ac:dyDescent="0.3">
      <c r="A211" s="2">
        <v>44540.469513888886</v>
      </c>
      <c r="B211" s="6" t="s">
        <v>3</v>
      </c>
      <c r="C211" s="9">
        <v>302537.17</v>
      </c>
      <c r="D211" s="9">
        <v>0</v>
      </c>
      <c r="E211" s="6">
        <v>0</v>
      </c>
      <c r="F211" s="6">
        <v>221.6</v>
      </c>
      <c r="G211" s="9">
        <v>221131.04</v>
      </c>
      <c r="H211" s="9">
        <v>77395.88</v>
      </c>
      <c r="I211" s="9">
        <v>2985</v>
      </c>
      <c r="J211" s="9">
        <v>301511.92</v>
      </c>
      <c r="K211" s="12">
        <v>1025.25</v>
      </c>
      <c r="L211" s="13">
        <f t="shared" si="14"/>
        <v>0.35000007235528763</v>
      </c>
      <c r="M211" s="15">
        <f t="shared" si="15"/>
        <v>1.3498783345838738E-2</v>
      </c>
      <c r="N211" s="15" t="str">
        <f t="shared" si="12"/>
        <v>Liquor</v>
      </c>
      <c r="O211" s="16">
        <f t="shared" si="13"/>
        <v>295.46666666666664</v>
      </c>
    </row>
    <row r="212" spans="1:15" x14ac:dyDescent="0.3">
      <c r="A212" s="2">
        <v>44543.249189814815</v>
      </c>
      <c r="B212" s="6" t="s">
        <v>2</v>
      </c>
      <c r="C212" s="9">
        <v>1025.25</v>
      </c>
      <c r="D212" s="9">
        <v>360000</v>
      </c>
      <c r="E212" s="6">
        <v>0</v>
      </c>
      <c r="F212" s="6">
        <v>0</v>
      </c>
      <c r="G212" s="9">
        <v>0</v>
      </c>
      <c r="H212" s="9">
        <v>0</v>
      </c>
      <c r="I212" s="9">
        <v>0</v>
      </c>
      <c r="J212" s="9">
        <v>0</v>
      </c>
      <c r="K212" s="12">
        <v>361025.25</v>
      </c>
      <c r="L212" s="13">
        <f t="shared" si="14"/>
        <v>0</v>
      </c>
      <c r="M212" s="15">
        <f t="shared" si="15"/>
        <v>0</v>
      </c>
      <c r="N212" s="15" t="str">
        <f t="shared" si="12"/>
        <v>-</v>
      </c>
      <c r="O212" s="16">
        <f t="shared" si="13"/>
        <v>0</v>
      </c>
    </row>
    <row r="213" spans="1:15" x14ac:dyDescent="0.3">
      <c r="A213" s="2">
        <v>44543.419317129628</v>
      </c>
      <c r="B213" s="6" t="s">
        <v>2</v>
      </c>
      <c r="C213" s="9">
        <v>361025.25</v>
      </c>
      <c r="D213" s="9">
        <v>70000</v>
      </c>
      <c r="E213" s="6">
        <v>0</v>
      </c>
      <c r="F213" s="6">
        <v>0</v>
      </c>
      <c r="G213" s="9">
        <v>0</v>
      </c>
      <c r="H213" s="9">
        <v>0</v>
      </c>
      <c r="I213" s="9">
        <v>0</v>
      </c>
      <c r="J213" s="9">
        <v>0</v>
      </c>
      <c r="K213" s="12">
        <v>431025.25</v>
      </c>
      <c r="L213" s="13">
        <f t="shared" si="14"/>
        <v>0</v>
      </c>
      <c r="M213" s="15">
        <f t="shared" si="15"/>
        <v>0</v>
      </c>
      <c r="N213" s="15" t="str">
        <f t="shared" si="12"/>
        <v>-</v>
      </c>
      <c r="O213" s="16">
        <f t="shared" si="13"/>
        <v>0</v>
      </c>
    </row>
    <row r="214" spans="1:15" x14ac:dyDescent="0.3">
      <c r="A214" s="2">
        <v>44543.510057870371</v>
      </c>
      <c r="B214" s="6" t="s">
        <v>3</v>
      </c>
      <c r="C214" s="9">
        <v>431025.25</v>
      </c>
      <c r="D214" s="9">
        <v>0</v>
      </c>
      <c r="E214" s="6">
        <v>0</v>
      </c>
      <c r="F214" s="6">
        <v>369.66</v>
      </c>
      <c r="G214" s="9">
        <v>315773.94</v>
      </c>
      <c r="H214" s="9">
        <v>110520.88</v>
      </c>
      <c r="I214" s="9">
        <v>4263</v>
      </c>
      <c r="J214" s="9">
        <v>430557.82</v>
      </c>
      <c r="K214" s="12">
        <v>467.43</v>
      </c>
      <c r="L214" s="13">
        <f t="shared" si="14"/>
        <v>0.35000000316682245</v>
      </c>
      <c r="M214" s="15">
        <f t="shared" si="15"/>
        <v>1.3500164073070755E-2</v>
      </c>
      <c r="N214" s="15" t="str">
        <f t="shared" si="12"/>
        <v>Liquor</v>
      </c>
      <c r="O214" s="16">
        <f t="shared" si="13"/>
        <v>492.88000000000005</v>
      </c>
    </row>
    <row r="215" spans="1:15" x14ac:dyDescent="0.3">
      <c r="A215" s="2">
        <v>44546.250601851854</v>
      </c>
      <c r="B215" s="6" t="s">
        <v>2</v>
      </c>
      <c r="C215" s="9">
        <v>467.43</v>
      </c>
      <c r="D215" s="9">
        <v>460000</v>
      </c>
      <c r="E215" s="6">
        <v>0</v>
      </c>
      <c r="F215" s="6">
        <v>0</v>
      </c>
      <c r="G215" s="9">
        <v>0</v>
      </c>
      <c r="H215" s="9">
        <v>0</v>
      </c>
      <c r="I215" s="9">
        <v>0</v>
      </c>
      <c r="J215" s="9">
        <v>0</v>
      </c>
      <c r="K215" s="12">
        <v>460467.43</v>
      </c>
      <c r="L215" s="13">
        <f t="shared" si="14"/>
        <v>0</v>
      </c>
      <c r="M215" s="15">
        <f t="shared" si="15"/>
        <v>0</v>
      </c>
      <c r="N215" s="15" t="str">
        <f t="shared" si="12"/>
        <v>-</v>
      </c>
      <c r="O215" s="16">
        <f t="shared" si="13"/>
        <v>0</v>
      </c>
    </row>
    <row r="216" spans="1:15" x14ac:dyDescent="0.3">
      <c r="A216" s="2">
        <v>44546.470092592594</v>
      </c>
      <c r="B216" s="6" t="s">
        <v>3</v>
      </c>
      <c r="C216" s="9">
        <v>460467.43</v>
      </c>
      <c r="D216" s="9">
        <v>0</v>
      </c>
      <c r="E216" s="6">
        <v>0</v>
      </c>
      <c r="F216" s="6">
        <v>316.76</v>
      </c>
      <c r="G216" s="9">
        <v>278683.94</v>
      </c>
      <c r="H216" s="9">
        <v>97539.38</v>
      </c>
      <c r="I216" s="9">
        <v>3762</v>
      </c>
      <c r="J216" s="9">
        <v>379985.32</v>
      </c>
      <c r="K216" s="12">
        <v>80482.11</v>
      </c>
      <c r="L216" s="13">
        <f t="shared" si="14"/>
        <v>0.35000000358829436</v>
      </c>
      <c r="M216" s="15">
        <f t="shared" si="15"/>
        <v>1.3499163245646663E-2</v>
      </c>
      <c r="N216" s="15" t="str">
        <f t="shared" si="12"/>
        <v>Liquor</v>
      </c>
      <c r="O216" s="16">
        <f t="shared" si="13"/>
        <v>422.34666666666664</v>
      </c>
    </row>
    <row r="217" spans="1:15" x14ac:dyDescent="0.3">
      <c r="A217" s="2">
        <v>44546.50503472222</v>
      </c>
      <c r="B217" s="6" t="s">
        <v>3</v>
      </c>
      <c r="C217" s="9">
        <v>80482.11</v>
      </c>
      <c r="D217" s="9">
        <v>0</v>
      </c>
      <c r="E217" s="6">
        <v>358.8</v>
      </c>
      <c r="F217" s="6">
        <v>0</v>
      </c>
      <c r="G217" s="9">
        <v>58095.199999999997</v>
      </c>
      <c r="H217" s="9">
        <v>20333.32</v>
      </c>
      <c r="I217" s="9">
        <v>784</v>
      </c>
      <c r="J217" s="9">
        <v>79212.52</v>
      </c>
      <c r="K217" s="12">
        <v>1269.5899999999999</v>
      </c>
      <c r="L217" s="13">
        <f t="shared" si="14"/>
        <v>0.35000000000000003</v>
      </c>
      <c r="M217" s="15">
        <f t="shared" si="15"/>
        <v>1.3495090816452995E-2</v>
      </c>
      <c r="N217" s="15" t="str">
        <f t="shared" si="12"/>
        <v>Beer</v>
      </c>
      <c r="O217" s="16">
        <f t="shared" si="13"/>
        <v>358.8</v>
      </c>
    </row>
    <row r="218" spans="1:15" x14ac:dyDescent="0.3">
      <c r="A218" s="2">
        <v>44550.214849537035</v>
      </c>
      <c r="B218" s="6" t="s">
        <v>2</v>
      </c>
      <c r="C218" s="9">
        <v>1269.5899999999999</v>
      </c>
      <c r="D218" s="9">
        <v>415000</v>
      </c>
      <c r="E218" s="6">
        <v>0</v>
      </c>
      <c r="F218" s="6">
        <v>0</v>
      </c>
      <c r="G218" s="9">
        <v>0</v>
      </c>
      <c r="H218" s="9">
        <v>0</v>
      </c>
      <c r="I218" s="9">
        <v>0</v>
      </c>
      <c r="J218" s="9">
        <v>0</v>
      </c>
      <c r="K218" s="12">
        <v>416269.59</v>
      </c>
      <c r="L218" s="13">
        <f t="shared" si="14"/>
        <v>0</v>
      </c>
      <c r="M218" s="15">
        <f t="shared" si="15"/>
        <v>0</v>
      </c>
      <c r="N218" s="15" t="str">
        <f t="shared" si="12"/>
        <v>-</v>
      </c>
      <c r="O218" s="16">
        <f t="shared" si="13"/>
        <v>0</v>
      </c>
    </row>
    <row r="219" spans="1:15" x14ac:dyDescent="0.3">
      <c r="A219" s="2">
        <v>44550.49046296296</v>
      </c>
      <c r="B219" s="6" t="s">
        <v>3</v>
      </c>
      <c r="C219" s="9">
        <v>416269.59</v>
      </c>
      <c r="D219" s="9">
        <v>0</v>
      </c>
      <c r="E219" s="6">
        <v>0</v>
      </c>
      <c r="F219" s="6">
        <v>332.65</v>
      </c>
      <c r="G219" s="9">
        <v>305263.05</v>
      </c>
      <c r="H219" s="9">
        <v>106842.07</v>
      </c>
      <c r="I219" s="9">
        <v>4121</v>
      </c>
      <c r="J219" s="9">
        <v>416226.12</v>
      </c>
      <c r="K219" s="12">
        <v>43.47</v>
      </c>
      <c r="L219" s="13">
        <f t="shared" si="14"/>
        <v>0.3500000081896581</v>
      </c>
      <c r="M219" s="15">
        <f t="shared" si="15"/>
        <v>1.3499832357699368E-2</v>
      </c>
      <c r="N219" s="15" t="str">
        <f t="shared" si="12"/>
        <v>Liquor</v>
      </c>
      <c r="O219" s="16">
        <f t="shared" si="13"/>
        <v>443.5333333333333</v>
      </c>
    </row>
    <row r="220" spans="1:15" x14ac:dyDescent="0.3">
      <c r="A220" s="2">
        <v>44553.478946759256</v>
      </c>
      <c r="B220" s="6" t="s">
        <v>2</v>
      </c>
      <c r="C220" s="9">
        <v>43.47</v>
      </c>
      <c r="D220" s="9">
        <v>450000</v>
      </c>
      <c r="E220" s="6">
        <v>0</v>
      </c>
      <c r="F220" s="6">
        <v>0</v>
      </c>
      <c r="G220" s="9">
        <v>0</v>
      </c>
      <c r="H220" s="9">
        <v>0</v>
      </c>
      <c r="I220" s="9">
        <v>0</v>
      </c>
      <c r="J220" s="9">
        <v>0</v>
      </c>
      <c r="K220" s="12">
        <v>450043.47</v>
      </c>
      <c r="L220" s="13">
        <f t="shared" si="14"/>
        <v>0</v>
      </c>
      <c r="M220" s="15">
        <f t="shared" si="15"/>
        <v>0</v>
      </c>
      <c r="N220" s="15" t="str">
        <f t="shared" si="12"/>
        <v>-</v>
      </c>
      <c r="O220" s="16">
        <f t="shared" si="13"/>
        <v>0</v>
      </c>
    </row>
    <row r="221" spans="1:15" x14ac:dyDescent="0.3">
      <c r="A221" s="2">
        <v>44553.533726851849</v>
      </c>
      <c r="B221" s="6" t="s">
        <v>3</v>
      </c>
      <c r="C221" s="9">
        <v>450043.47</v>
      </c>
      <c r="D221" s="9">
        <v>0</v>
      </c>
      <c r="E221" s="6">
        <v>0</v>
      </c>
      <c r="F221" s="6">
        <v>389.93</v>
      </c>
      <c r="G221" s="9">
        <v>328505.43</v>
      </c>
      <c r="H221" s="9">
        <v>114976.9</v>
      </c>
      <c r="I221" s="9">
        <v>4435</v>
      </c>
      <c r="J221" s="9">
        <v>447917.33</v>
      </c>
      <c r="K221" s="12">
        <v>2126.14</v>
      </c>
      <c r="L221" s="13">
        <f t="shared" si="14"/>
        <v>0.34999999847795515</v>
      </c>
      <c r="M221" s="15">
        <f t="shared" si="15"/>
        <v>1.350053787543177E-2</v>
      </c>
      <c r="N221" s="15" t="str">
        <f t="shared" si="12"/>
        <v>Liquor</v>
      </c>
      <c r="O221" s="16">
        <f t="shared" si="13"/>
        <v>519.90666666666664</v>
      </c>
    </row>
    <row r="222" spans="1:15" x14ac:dyDescent="0.3">
      <c r="A222" s="2">
        <v>44556.995150462964</v>
      </c>
      <c r="B222" s="6" t="s">
        <v>2</v>
      </c>
      <c r="C222" s="9">
        <v>2126.14</v>
      </c>
      <c r="D222" s="9">
        <v>100000</v>
      </c>
      <c r="E222" s="6">
        <v>0</v>
      </c>
      <c r="F222" s="6">
        <v>0</v>
      </c>
      <c r="G222" s="9">
        <v>0</v>
      </c>
      <c r="H222" s="9">
        <v>0</v>
      </c>
      <c r="I222" s="9">
        <v>0</v>
      </c>
      <c r="J222" s="9">
        <v>0</v>
      </c>
      <c r="K222" s="12">
        <v>102126.14</v>
      </c>
      <c r="L222" s="13">
        <f t="shared" si="14"/>
        <v>0</v>
      </c>
      <c r="M222" s="15">
        <f t="shared" si="15"/>
        <v>0</v>
      </c>
      <c r="N222" s="15" t="str">
        <f t="shared" si="12"/>
        <v>-</v>
      </c>
      <c r="O222" s="16">
        <f t="shared" si="13"/>
        <v>0</v>
      </c>
    </row>
    <row r="223" spans="1:15" x14ac:dyDescent="0.3">
      <c r="A223" s="2">
        <v>44556.997488425928</v>
      </c>
      <c r="B223" s="6" t="s">
        <v>2</v>
      </c>
      <c r="C223" s="9">
        <v>102126.14</v>
      </c>
      <c r="D223" s="9">
        <v>100000</v>
      </c>
      <c r="E223" s="6">
        <v>0</v>
      </c>
      <c r="F223" s="6">
        <v>0</v>
      </c>
      <c r="G223" s="9">
        <v>0</v>
      </c>
      <c r="H223" s="9">
        <v>0</v>
      </c>
      <c r="I223" s="9">
        <v>0</v>
      </c>
      <c r="J223" s="9">
        <v>0</v>
      </c>
      <c r="K223" s="12">
        <v>202126.14</v>
      </c>
      <c r="L223" s="13">
        <f t="shared" si="14"/>
        <v>0</v>
      </c>
      <c r="M223" s="15">
        <f t="shared" si="15"/>
        <v>0</v>
      </c>
      <c r="N223" s="15" t="str">
        <f t="shared" si="12"/>
        <v>-</v>
      </c>
      <c r="O223" s="16">
        <f t="shared" si="13"/>
        <v>0</v>
      </c>
    </row>
    <row r="224" spans="1:15" x14ac:dyDescent="0.3">
      <c r="A224" s="2">
        <v>44557.000486111108</v>
      </c>
      <c r="B224" s="6" t="s">
        <v>2</v>
      </c>
      <c r="C224" s="9">
        <v>202126.14</v>
      </c>
      <c r="D224" s="9">
        <v>100000</v>
      </c>
      <c r="E224" s="6">
        <v>0</v>
      </c>
      <c r="F224" s="6">
        <v>0</v>
      </c>
      <c r="G224" s="9">
        <v>0</v>
      </c>
      <c r="H224" s="9">
        <v>0</v>
      </c>
      <c r="I224" s="9">
        <v>0</v>
      </c>
      <c r="J224" s="9">
        <v>0</v>
      </c>
      <c r="K224" s="12">
        <v>302126.14</v>
      </c>
      <c r="L224" s="13">
        <f t="shared" si="14"/>
        <v>0</v>
      </c>
      <c r="M224" s="15">
        <f t="shared" si="15"/>
        <v>0</v>
      </c>
      <c r="N224" s="15" t="str">
        <f t="shared" si="12"/>
        <v>-</v>
      </c>
      <c r="O224" s="16">
        <f t="shared" si="13"/>
        <v>0</v>
      </c>
    </row>
    <row r="225" spans="1:15" x14ac:dyDescent="0.3">
      <c r="A225" s="2">
        <v>44557.002222222225</v>
      </c>
      <c r="B225" s="6" t="s">
        <v>2</v>
      </c>
      <c r="C225" s="9">
        <v>302126.14</v>
      </c>
      <c r="D225" s="9">
        <v>113000</v>
      </c>
      <c r="E225" s="6">
        <v>0</v>
      </c>
      <c r="F225" s="6">
        <v>0</v>
      </c>
      <c r="G225" s="9">
        <v>0</v>
      </c>
      <c r="H225" s="9">
        <v>0</v>
      </c>
      <c r="I225" s="9">
        <v>0</v>
      </c>
      <c r="J225" s="9">
        <v>0</v>
      </c>
      <c r="K225" s="12">
        <v>415126.14</v>
      </c>
      <c r="L225" s="13">
        <f t="shared" si="14"/>
        <v>0</v>
      </c>
      <c r="M225" s="15">
        <f t="shared" si="15"/>
        <v>0</v>
      </c>
      <c r="N225" s="15" t="str">
        <f t="shared" si="12"/>
        <v>-</v>
      </c>
      <c r="O225" s="16">
        <f t="shared" si="13"/>
        <v>0</v>
      </c>
    </row>
    <row r="226" spans="1:15" x14ac:dyDescent="0.3">
      <c r="A226" s="2">
        <v>44557.489872685182</v>
      </c>
      <c r="B226" s="6" t="s">
        <v>3</v>
      </c>
      <c r="C226" s="9">
        <v>415126.14</v>
      </c>
      <c r="D226" s="9">
        <v>0</v>
      </c>
      <c r="E226" s="6">
        <v>0</v>
      </c>
      <c r="F226" s="6">
        <v>307.52999999999997</v>
      </c>
      <c r="G226" s="9">
        <v>255000.13</v>
      </c>
      <c r="H226" s="9">
        <v>89250.05</v>
      </c>
      <c r="I226" s="9">
        <v>3442</v>
      </c>
      <c r="J226" s="9">
        <v>347692.18</v>
      </c>
      <c r="K226" s="12">
        <v>67433.960000000006</v>
      </c>
      <c r="L226" s="13">
        <f t="shared" si="14"/>
        <v>0.35000001764704985</v>
      </c>
      <c r="M226" s="15">
        <f t="shared" si="15"/>
        <v>1.3498032334336456E-2</v>
      </c>
      <c r="N226" s="15" t="str">
        <f t="shared" si="12"/>
        <v>Liquor</v>
      </c>
      <c r="O226" s="16">
        <f t="shared" si="13"/>
        <v>410.03999999999996</v>
      </c>
    </row>
    <row r="227" spans="1:15" x14ac:dyDescent="0.3">
      <c r="A227" s="2">
        <v>44557.492013888892</v>
      </c>
      <c r="B227" s="6" t="s">
        <v>3</v>
      </c>
      <c r="C227" s="9">
        <v>67433.960000000006</v>
      </c>
      <c r="D227" s="9">
        <v>0</v>
      </c>
      <c r="E227" s="6">
        <v>296.39999999999998</v>
      </c>
      <c r="F227" s="6">
        <v>0</v>
      </c>
      <c r="G227" s="9">
        <v>48888.88</v>
      </c>
      <c r="H227" s="9">
        <v>17111.13</v>
      </c>
      <c r="I227" s="9">
        <v>660</v>
      </c>
      <c r="J227" s="9">
        <v>66660.009999999995</v>
      </c>
      <c r="K227" s="12">
        <v>773.95</v>
      </c>
      <c r="L227" s="13">
        <f t="shared" si="14"/>
        <v>0.35000045000008184</v>
      </c>
      <c r="M227" s="15">
        <f t="shared" si="15"/>
        <v>1.3500002454545901E-2</v>
      </c>
      <c r="N227" s="15" t="str">
        <f t="shared" si="12"/>
        <v>Beer</v>
      </c>
      <c r="O227" s="16">
        <f t="shared" si="13"/>
        <v>296.39999999999998</v>
      </c>
    </row>
    <row r="228" spans="1:15" x14ac:dyDescent="0.3">
      <c r="A228" s="2">
        <v>44559.67664351852</v>
      </c>
      <c r="B228" s="6" t="s">
        <v>2</v>
      </c>
      <c r="C228" s="9">
        <v>773.95</v>
      </c>
      <c r="D228" s="9">
        <v>350000</v>
      </c>
      <c r="E228" s="6">
        <v>0</v>
      </c>
      <c r="F228" s="6">
        <v>0</v>
      </c>
      <c r="G228" s="9">
        <v>0</v>
      </c>
      <c r="H228" s="9">
        <v>0</v>
      </c>
      <c r="I228" s="9">
        <v>0</v>
      </c>
      <c r="J228" s="9">
        <v>0</v>
      </c>
      <c r="K228" s="12">
        <v>350773.95</v>
      </c>
      <c r="L228" s="13">
        <f t="shared" si="14"/>
        <v>0</v>
      </c>
      <c r="M228" s="15">
        <f t="shared" si="15"/>
        <v>0</v>
      </c>
      <c r="N228" s="15" t="str">
        <f t="shared" si="12"/>
        <v>-</v>
      </c>
      <c r="O228" s="16">
        <f t="shared" si="13"/>
        <v>0</v>
      </c>
    </row>
    <row r="229" spans="1:15" x14ac:dyDescent="0.3">
      <c r="A229" s="2">
        <v>44561.482453703706</v>
      </c>
      <c r="B229" s="6" t="s">
        <v>3</v>
      </c>
      <c r="C229" s="9">
        <v>350773.95</v>
      </c>
      <c r="D229" s="9">
        <v>0</v>
      </c>
      <c r="E229" s="6">
        <v>0</v>
      </c>
      <c r="F229" s="6">
        <v>302.88</v>
      </c>
      <c r="G229" s="9">
        <v>257222.27</v>
      </c>
      <c r="H229" s="9">
        <v>90027.79</v>
      </c>
      <c r="I229" s="9">
        <v>3472</v>
      </c>
      <c r="J229" s="9">
        <v>350722.06</v>
      </c>
      <c r="K229" s="12">
        <v>51.89</v>
      </c>
      <c r="L229" s="13">
        <f t="shared" si="14"/>
        <v>0.34999998250540282</v>
      </c>
      <c r="M229" s="15">
        <f t="shared" si="15"/>
        <v>1.349805364830969E-2</v>
      </c>
      <c r="N229" s="15" t="str">
        <f t="shared" si="12"/>
        <v>Liquor</v>
      </c>
      <c r="O229" s="16">
        <f t="shared" si="13"/>
        <v>403.84</v>
      </c>
    </row>
    <row r="230" spans="1:15" x14ac:dyDescent="0.3">
      <c r="A230" s="2">
        <v>44561.921168981484</v>
      </c>
      <c r="B230" s="6" t="s">
        <v>2</v>
      </c>
      <c r="C230" s="9">
        <v>51.89</v>
      </c>
      <c r="D230" s="9">
        <v>340000</v>
      </c>
      <c r="E230" s="6">
        <v>0</v>
      </c>
      <c r="F230" s="6">
        <v>0</v>
      </c>
      <c r="G230" s="9">
        <v>0</v>
      </c>
      <c r="H230" s="9">
        <v>0</v>
      </c>
      <c r="I230" s="9">
        <v>0</v>
      </c>
      <c r="J230" s="9">
        <v>0</v>
      </c>
      <c r="K230" s="12">
        <v>340051.89</v>
      </c>
      <c r="L230" s="13">
        <f t="shared" si="14"/>
        <v>0</v>
      </c>
      <c r="M230" s="15">
        <f t="shared" si="15"/>
        <v>0</v>
      </c>
      <c r="N230" s="15" t="str">
        <f t="shared" si="12"/>
        <v>-</v>
      </c>
      <c r="O230" s="16">
        <f t="shared" si="13"/>
        <v>0</v>
      </c>
    </row>
    <row r="231" spans="1:15" x14ac:dyDescent="0.3">
      <c r="A231" s="2">
        <v>44562.465312499997</v>
      </c>
      <c r="B231" s="6" t="s">
        <v>3</v>
      </c>
      <c r="C231" s="9">
        <v>340051.89</v>
      </c>
      <c r="D231" s="9">
        <v>0</v>
      </c>
      <c r="E231" s="6">
        <v>0</v>
      </c>
      <c r="F231" s="6">
        <v>283.8</v>
      </c>
      <c r="G231" s="9">
        <v>248492.16</v>
      </c>
      <c r="H231" s="9">
        <v>86972.26</v>
      </c>
      <c r="I231" s="9">
        <v>3355</v>
      </c>
      <c r="J231" s="9">
        <v>338819.42</v>
      </c>
      <c r="K231" s="12">
        <v>1232.47</v>
      </c>
      <c r="L231" s="13">
        <f t="shared" si="14"/>
        <v>0.35000001609708731</v>
      </c>
      <c r="M231" s="15">
        <f t="shared" si="15"/>
        <v>1.3501431996888755E-2</v>
      </c>
      <c r="N231" s="15" t="str">
        <f t="shared" si="12"/>
        <v>Liquor</v>
      </c>
      <c r="O231" s="16">
        <f t="shared" si="13"/>
        <v>378.40000000000003</v>
      </c>
    </row>
    <row r="232" spans="1:15" x14ac:dyDescent="0.3">
      <c r="A232" s="2">
        <v>44565.769687499997</v>
      </c>
      <c r="B232" s="6" t="s">
        <v>2</v>
      </c>
      <c r="C232" s="9">
        <v>1232.47</v>
      </c>
      <c r="D232" s="9">
        <v>60000</v>
      </c>
      <c r="E232" s="6">
        <v>0</v>
      </c>
      <c r="F232" s="6">
        <v>0</v>
      </c>
      <c r="G232" s="9">
        <v>0</v>
      </c>
      <c r="H232" s="9">
        <v>0</v>
      </c>
      <c r="I232" s="9">
        <v>0</v>
      </c>
      <c r="J232" s="9">
        <v>0</v>
      </c>
      <c r="K232" s="12">
        <v>61232.47</v>
      </c>
      <c r="L232" s="13">
        <f t="shared" si="14"/>
        <v>0</v>
      </c>
      <c r="M232" s="15">
        <f t="shared" si="15"/>
        <v>0</v>
      </c>
      <c r="N232" s="15" t="str">
        <f t="shared" si="12"/>
        <v>-</v>
      </c>
      <c r="O232" s="16">
        <f t="shared" si="13"/>
        <v>0</v>
      </c>
    </row>
    <row r="233" spans="1:15" x14ac:dyDescent="0.3">
      <c r="A233" s="2">
        <v>44566.453321759262</v>
      </c>
      <c r="B233" s="6" t="s">
        <v>3</v>
      </c>
      <c r="C233" s="9">
        <v>61232.47</v>
      </c>
      <c r="D233" s="9">
        <v>0</v>
      </c>
      <c r="E233" s="6">
        <v>282</v>
      </c>
      <c r="F233" s="6">
        <v>0</v>
      </c>
      <c r="G233" s="9">
        <v>44523.79</v>
      </c>
      <c r="H233" s="9">
        <v>15583.33</v>
      </c>
      <c r="I233" s="9">
        <v>601</v>
      </c>
      <c r="J233" s="9">
        <v>60708.12</v>
      </c>
      <c r="K233" s="12">
        <v>524.35</v>
      </c>
      <c r="L233" s="13">
        <f t="shared" si="14"/>
        <v>0.35000007860966015</v>
      </c>
      <c r="M233" s="15">
        <f t="shared" si="15"/>
        <v>1.3498401641010346E-2</v>
      </c>
      <c r="N233" s="15" t="str">
        <f t="shared" si="12"/>
        <v>Beer</v>
      </c>
      <c r="O233" s="16">
        <f t="shared" si="13"/>
        <v>282</v>
      </c>
    </row>
    <row r="234" spans="1:15" x14ac:dyDescent="0.3">
      <c r="A234" s="2">
        <v>44568.655069444445</v>
      </c>
      <c r="B234" s="6" t="s">
        <v>2</v>
      </c>
      <c r="C234" s="9">
        <v>524.35</v>
      </c>
      <c r="D234" s="9">
        <v>50000</v>
      </c>
      <c r="E234" s="6">
        <v>0</v>
      </c>
      <c r="F234" s="6">
        <v>0</v>
      </c>
      <c r="G234" s="9">
        <v>0</v>
      </c>
      <c r="H234" s="9">
        <v>0</v>
      </c>
      <c r="I234" s="9">
        <v>0</v>
      </c>
      <c r="J234" s="9">
        <v>0</v>
      </c>
      <c r="K234" s="12">
        <v>50524.35</v>
      </c>
      <c r="L234" s="13">
        <f t="shared" si="14"/>
        <v>0</v>
      </c>
      <c r="M234" s="15">
        <f t="shared" si="15"/>
        <v>0</v>
      </c>
      <c r="N234" s="15" t="str">
        <f t="shared" si="12"/>
        <v>-</v>
      </c>
      <c r="O234" s="16">
        <f t="shared" si="13"/>
        <v>0</v>
      </c>
    </row>
    <row r="235" spans="1:15" x14ac:dyDescent="0.3">
      <c r="A235" s="2">
        <v>44569.538506944446</v>
      </c>
      <c r="B235" s="6" t="s">
        <v>3</v>
      </c>
      <c r="C235" s="9">
        <v>50524.35</v>
      </c>
      <c r="D235" s="9">
        <v>0</v>
      </c>
      <c r="E235" s="6">
        <v>0</v>
      </c>
      <c r="F235" s="6">
        <v>47.25</v>
      </c>
      <c r="G235" s="9">
        <v>35793.65</v>
      </c>
      <c r="H235" s="9">
        <v>12527.78</v>
      </c>
      <c r="I235" s="9">
        <v>483</v>
      </c>
      <c r="J235" s="9">
        <v>48804.43</v>
      </c>
      <c r="K235" s="12">
        <v>1719.92</v>
      </c>
      <c r="L235" s="13">
        <f t="shared" si="14"/>
        <v>0.35000006984479093</v>
      </c>
      <c r="M235" s="15">
        <f t="shared" si="15"/>
        <v>1.3494013602971476E-2</v>
      </c>
      <c r="N235" s="15" t="str">
        <f t="shared" si="12"/>
        <v>Liquor</v>
      </c>
      <c r="O235" s="16">
        <f t="shared" si="13"/>
        <v>63</v>
      </c>
    </row>
    <row r="236" spans="1:15" x14ac:dyDescent="0.3">
      <c r="A236" s="2">
        <v>44571.397152777776</v>
      </c>
      <c r="B236" s="6" t="s">
        <v>2</v>
      </c>
      <c r="C236" s="9">
        <v>1719.92</v>
      </c>
      <c r="D236" s="9">
        <v>50000</v>
      </c>
      <c r="E236" s="6">
        <v>0</v>
      </c>
      <c r="F236" s="6">
        <v>0</v>
      </c>
      <c r="G236" s="9">
        <v>0</v>
      </c>
      <c r="H236" s="9">
        <v>0</v>
      </c>
      <c r="I236" s="9">
        <v>0</v>
      </c>
      <c r="J236" s="9">
        <v>0</v>
      </c>
      <c r="K236" s="12">
        <v>51719.92</v>
      </c>
      <c r="L236" s="13">
        <f t="shared" si="14"/>
        <v>0</v>
      </c>
      <c r="M236" s="15">
        <f t="shared" si="15"/>
        <v>0</v>
      </c>
      <c r="N236" s="15" t="str">
        <f t="shared" si="12"/>
        <v>-</v>
      </c>
      <c r="O236" s="16">
        <f t="shared" si="13"/>
        <v>0</v>
      </c>
    </row>
    <row r="237" spans="1:15" x14ac:dyDescent="0.3">
      <c r="A237" s="2">
        <v>44571.470057870371</v>
      </c>
      <c r="B237" s="6" t="s">
        <v>3</v>
      </c>
      <c r="C237" s="9">
        <v>51719.92</v>
      </c>
      <c r="D237" s="9">
        <v>0</v>
      </c>
      <c r="E237" s="6">
        <v>0</v>
      </c>
      <c r="F237" s="6">
        <v>47.25</v>
      </c>
      <c r="G237" s="9">
        <v>34920.629999999997</v>
      </c>
      <c r="H237" s="9">
        <v>12222.22</v>
      </c>
      <c r="I237" s="9">
        <v>471</v>
      </c>
      <c r="J237" s="9">
        <v>47613.85</v>
      </c>
      <c r="K237" s="12">
        <v>4106.07</v>
      </c>
      <c r="L237" s="13">
        <f t="shared" si="14"/>
        <v>0.34999998568181617</v>
      </c>
      <c r="M237" s="15">
        <f t="shared" si="15"/>
        <v>1.3487729173270929E-2</v>
      </c>
      <c r="N237" s="15" t="str">
        <f t="shared" si="12"/>
        <v>Liquor</v>
      </c>
      <c r="O237" s="16">
        <f t="shared" si="13"/>
        <v>63</v>
      </c>
    </row>
    <row r="238" spans="1:15" x14ac:dyDescent="0.3">
      <c r="A238" s="2">
        <v>44580.398935185185</v>
      </c>
      <c r="B238" s="6" t="s">
        <v>2</v>
      </c>
      <c r="C238" s="9">
        <v>4106.07</v>
      </c>
      <c r="D238" s="9">
        <v>105000</v>
      </c>
      <c r="E238" s="6">
        <v>0</v>
      </c>
      <c r="F238" s="6">
        <v>0</v>
      </c>
      <c r="G238" s="9">
        <v>0</v>
      </c>
      <c r="H238" s="9">
        <v>0</v>
      </c>
      <c r="I238" s="9">
        <v>0</v>
      </c>
      <c r="J238" s="9">
        <v>0</v>
      </c>
      <c r="K238" s="12">
        <v>109106.07</v>
      </c>
      <c r="L238" s="13">
        <f t="shared" si="14"/>
        <v>0</v>
      </c>
      <c r="M238" s="15">
        <f t="shared" si="15"/>
        <v>0</v>
      </c>
      <c r="N238" s="15" t="str">
        <f t="shared" si="12"/>
        <v>-</v>
      </c>
      <c r="O238" s="16">
        <f t="shared" si="13"/>
        <v>0</v>
      </c>
    </row>
    <row r="239" spans="1:15" x14ac:dyDescent="0.3">
      <c r="A239" s="2">
        <v>44580.475208333337</v>
      </c>
      <c r="B239" s="6" t="s">
        <v>3</v>
      </c>
      <c r="C239" s="9">
        <v>109106.07</v>
      </c>
      <c r="D239" s="9">
        <v>0</v>
      </c>
      <c r="E239" s="6">
        <v>0</v>
      </c>
      <c r="F239" s="6">
        <v>67.5</v>
      </c>
      <c r="G239" s="9">
        <v>60476.19</v>
      </c>
      <c r="H239" s="9">
        <v>21166.68</v>
      </c>
      <c r="I239" s="9">
        <v>816</v>
      </c>
      <c r="J239" s="9">
        <v>82458.87</v>
      </c>
      <c r="K239" s="12">
        <v>26647.200000000001</v>
      </c>
      <c r="L239" s="13">
        <f t="shared" si="14"/>
        <v>0.35000022322834823</v>
      </c>
      <c r="M239" s="15">
        <f t="shared" si="15"/>
        <v>1.3492913492070184E-2</v>
      </c>
      <c r="N239" s="15" t="str">
        <f t="shared" si="12"/>
        <v>Liquor</v>
      </c>
      <c r="O239" s="16">
        <f t="shared" si="13"/>
        <v>90</v>
      </c>
    </row>
    <row r="240" spans="1:15" x14ac:dyDescent="0.3">
      <c r="A240" s="2">
        <v>44582.407546296294</v>
      </c>
      <c r="B240" s="6" t="s">
        <v>2</v>
      </c>
      <c r="C240" s="9">
        <v>26647.200000000001</v>
      </c>
      <c r="D240" s="9">
        <v>71500</v>
      </c>
      <c r="E240" s="6">
        <v>0</v>
      </c>
      <c r="F240" s="6">
        <v>0</v>
      </c>
      <c r="G240" s="9">
        <v>0</v>
      </c>
      <c r="H240" s="9">
        <v>0</v>
      </c>
      <c r="I240" s="9">
        <v>0</v>
      </c>
      <c r="J240" s="9">
        <v>0</v>
      </c>
      <c r="K240" s="12">
        <v>98147.199999999997</v>
      </c>
      <c r="L240" s="13">
        <f t="shared" si="14"/>
        <v>0</v>
      </c>
      <c r="M240" s="15">
        <f t="shared" si="15"/>
        <v>0</v>
      </c>
      <c r="N240" s="15" t="str">
        <f t="shared" si="12"/>
        <v>-</v>
      </c>
      <c r="O240" s="16">
        <f t="shared" si="13"/>
        <v>0</v>
      </c>
    </row>
    <row r="241" spans="1:15" x14ac:dyDescent="0.3">
      <c r="A241" s="2">
        <v>44582.475023148145</v>
      </c>
      <c r="B241" s="6" t="s">
        <v>3</v>
      </c>
      <c r="C241" s="9">
        <v>98147.199999999997</v>
      </c>
      <c r="D241" s="9">
        <v>0</v>
      </c>
      <c r="E241" s="6">
        <v>0</v>
      </c>
      <c r="F241" s="6">
        <v>82.69</v>
      </c>
      <c r="G241" s="9">
        <v>71190.48</v>
      </c>
      <c r="H241" s="9">
        <v>24916.67</v>
      </c>
      <c r="I241" s="9">
        <v>961</v>
      </c>
      <c r="J241" s="9">
        <v>97068.15</v>
      </c>
      <c r="K241" s="12">
        <v>1079.05</v>
      </c>
      <c r="L241" s="13">
        <f t="shared" si="14"/>
        <v>0.350000028093644</v>
      </c>
      <c r="M241" s="15">
        <f t="shared" si="15"/>
        <v>1.3498995933164098E-2</v>
      </c>
      <c r="N241" s="15" t="str">
        <f t="shared" si="12"/>
        <v>Liquor</v>
      </c>
      <c r="O241" s="16">
        <f t="shared" si="13"/>
        <v>110.25333333333333</v>
      </c>
    </row>
    <row r="242" spans="1:15" x14ac:dyDescent="0.3">
      <c r="A242" s="2">
        <v>44586.453460648147</v>
      </c>
      <c r="B242" s="6" t="s">
        <v>2</v>
      </c>
      <c r="C242" s="9">
        <v>1079.05</v>
      </c>
      <c r="D242" s="9">
        <v>247000</v>
      </c>
      <c r="E242" s="6">
        <v>0</v>
      </c>
      <c r="F242" s="6">
        <v>0</v>
      </c>
      <c r="G242" s="9">
        <v>0</v>
      </c>
      <c r="H242" s="9">
        <v>0</v>
      </c>
      <c r="I242" s="9">
        <v>0</v>
      </c>
      <c r="J242" s="9">
        <v>0</v>
      </c>
      <c r="K242" s="12">
        <v>248079.05</v>
      </c>
      <c r="L242" s="13">
        <f t="shared" si="14"/>
        <v>0</v>
      </c>
      <c r="M242" s="15">
        <f t="shared" si="15"/>
        <v>0</v>
      </c>
      <c r="N242" s="15" t="str">
        <f t="shared" si="12"/>
        <v>-</v>
      </c>
      <c r="O242" s="16">
        <f t="shared" si="13"/>
        <v>0</v>
      </c>
    </row>
    <row r="243" spans="1:15" x14ac:dyDescent="0.3">
      <c r="A243" s="2">
        <v>44586.493993055556</v>
      </c>
      <c r="B243" s="6" t="s">
        <v>3</v>
      </c>
      <c r="C243" s="9">
        <v>248079.05</v>
      </c>
      <c r="D243" s="9">
        <v>0</v>
      </c>
      <c r="E243" s="6">
        <v>0</v>
      </c>
      <c r="F243" s="6">
        <v>102.62</v>
      </c>
      <c r="G243" s="9">
        <v>101011.9</v>
      </c>
      <c r="H243" s="9">
        <v>35354.17</v>
      </c>
      <c r="I243" s="9">
        <v>1364</v>
      </c>
      <c r="J243" s="9">
        <v>137730.07</v>
      </c>
      <c r="K243" s="12">
        <v>110348.98</v>
      </c>
      <c r="L243" s="13">
        <f t="shared" si="14"/>
        <v>0.35000004949911845</v>
      </c>
      <c r="M243" s="15">
        <f t="shared" si="15"/>
        <v>1.3503359505167213E-2</v>
      </c>
      <c r="N243" s="15" t="str">
        <f t="shared" si="12"/>
        <v>Liquor</v>
      </c>
      <c r="O243" s="16">
        <f t="shared" si="13"/>
        <v>136.82666666666668</v>
      </c>
    </row>
    <row r="244" spans="1:15" x14ac:dyDescent="0.3">
      <c r="A244" s="2">
        <v>44588.417164351849</v>
      </c>
      <c r="B244" s="6" t="s">
        <v>2</v>
      </c>
      <c r="C244" s="9">
        <v>110348.98</v>
      </c>
      <c r="D244" s="9">
        <v>258000</v>
      </c>
      <c r="E244" s="6">
        <v>0</v>
      </c>
      <c r="F244" s="6">
        <v>0</v>
      </c>
      <c r="G244" s="9">
        <v>0</v>
      </c>
      <c r="H244" s="9">
        <v>0</v>
      </c>
      <c r="I244" s="9">
        <v>0</v>
      </c>
      <c r="J244" s="9">
        <v>0</v>
      </c>
      <c r="K244" s="12">
        <v>368348.98</v>
      </c>
      <c r="L244" s="13">
        <f t="shared" si="14"/>
        <v>0</v>
      </c>
      <c r="M244" s="15">
        <f t="shared" si="15"/>
        <v>0</v>
      </c>
      <c r="N244" s="15" t="str">
        <f t="shared" si="12"/>
        <v>-</v>
      </c>
      <c r="O244" s="16">
        <f t="shared" si="13"/>
        <v>0</v>
      </c>
    </row>
    <row r="245" spans="1:15" x14ac:dyDescent="0.3">
      <c r="A245" s="2">
        <v>44588.488680555558</v>
      </c>
      <c r="B245" s="6" t="s">
        <v>3</v>
      </c>
      <c r="C245" s="9">
        <v>368348.98</v>
      </c>
      <c r="D245" s="9">
        <v>0</v>
      </c>
      <c r="E245" s="6">
        <v>0</v>
      </c>
      <c r="F245" s="6">
        <v>258.19</v>
      </c>
      <c r="G245" s="9">
        <v>210079.37</v>
      </c>
      <c r="H245" s="9">
        <v>73527.78</v>
      </c>
      <c r="I245" s="9">
        <v>2836</v>
      </c>
      <c r="J245" s="9">
        <v>286443.15000000002</v>
      </c>
      <c r="K245" s="12">
        <v>81905.83</v>
      </c>
      <c r="L245" s="13">
        <f t="shared" si="14"/>
        <v>0.35000000238005285</v>
      </c>
      <c r="M245" s="15">
        <f t="shared" si="15"/>
        <v>1.3499659676245222E-2</v>
      </c>
      <c r="N245" s="15" t="str">
        <f t="shared" si="12"/>
        <v>Liquor</v>
      </c>
      <c r="O245" s="16">
        <f t="shared" si="13"/>
        <v>344.25333333333333</v>
      </c>
    </row>
    <row r="246" spans="1:15" x14ac:dyDescent="0.3">
      <c r="A246" s="2">
        <v>44588.48909722222</v>
      </c>
      <c r="B246" s="6" t="s">
        <v>3</v>
      </c>
      <c r="C246" s="9">
        <v>81905.83</v>
      </c>
      <c r="D246" s="9">
        <v>0</v>
      </c>
      <c r="E246" s="6">
        <v>228</v>
      </c>
      <c r="F246" s="6">
        <v>0</v>
      </c>
      <c r="G246" s="9">
        <v>37380.93</v>
      </c>
      <c r="H246" s="9">
        <v>13083.33</v>
      </c>
      <c r="I246" s="9">
        <v>505</v>
      </c>
      <c r="J246" s="9">
        <v>50969.26</v>
      </c>
      <c r="K246" s="12">
        <v>30936.57</v>
      </c>
      <c r="L246" s="13">
        <f t="shared" si="14"/>
        <v>0.35000012038223766</v>
      </c>
      <c r="M246" s="15">
        <f t="shared" si="15"/>
        <v>1.3509562228655092E-2</v>
      </c>
      <c r="N246" s="15" t="str">
        <f t="shared" si="12"/>
        <v>Beer</v>
      </c>
      <c r="O246" s="16">
        <f t="shared" si="13"/>
        <v>228</v>
      </c>
    </row>
    <row r="247" spans="1:15" x14ac:dyDescent="0.3">
      <c r="A247" s="2">
        <v>44595.459039351852</v>
      </c>
      <c r="B247" s="6" t="s">
        <v>2</v>
      </c>
      <c r="C247" s="9">
        <v>30936.57</v>
      </c>
      <c r="D247" s="9">
        <v>313000</v>
      </c>
      <c r="E247" s="6">
        <v>0</v>
      </c>
      <c r="F247" s="6">
        <v>0</v>
      </c>
      <c r="G247" s="9">
        <v>0</v>
      </c>
      <c r="H247" s="9">
        <v>0</v>
      </c>
      <c r="I247" s="9">
        <v>0</v>
      </c>
      <c r="J247" s="9">
        <v>0</v>
      </c>
      <c r="K247" s="12">
        <v>343936.57</v>
      </c>
      <c r="L247" s="13">
        <f t="shared" si="14"/>
        <v>0</v>
      </c>
      <c r="M247" s="15">
        <f t="shared" si="15"/>
        <v>0</v>
      </c>
      <c r="N247" s="15" t="str">
        <f t="shared" si="12"/>
        <v>-</v>
      </c>
      <c r="O247" s="16">
        <f t="shared" si="13"/>
        <v>0</v>
      </c>
    </row>
    <row r="248" spans="1:15" x14ac:dyDescent="0.3">
      <c r="A248" s="2">
        <v>44595.529282407406</v>
      </c>
      <c r="B248" s="6" t="s">
        <v>3</v>
      </c>
      <c r="C248" s="9">
        <v>343936.57</v>
      </c>
      <c r="D248" s="9">
        <v>0</v>
      </c>
      <c r="E248" s="6">
        <v>314.39999999999998</v>
      </c>
      <c r="F248" s="6">
        <v>0</v>
      </c>
      <c r="G248" s="9">
        <v>47619</v>
      </c>
      <c r="H248" s="9">
        <v>16666.650000000001</v>
      </c>
      <c r="I248" s="9">
        <v>643</v>
      </c>
      <c r="J248" s="9">
        <v>64928.65</v>
      </c>
      <c r="K248" s="12">
        <v>279007.92</v>
      </c>
      <c r="L248" s="13">
        <f t="shared" si="14"/>
        <v>0.35000000000000003</v>
      </c>
      <c r="M248" s="15">
        <f t="shared" si="15"/>
        <v>1.3503013503013504E-2</v>
      </c>
      <c r="N248" s="15" t="str">
        <f t="shared" si="12"/>
        <v>Beer</v>
      </c>
      <c r="O248" s="16">
        <f t="shared" si="13"/>
        <v>314.39999999999998</v>
      </c>
    </row>
    <row r="249" spans="1:15" x14ac:dyDescent="0.3">
      <c r="A249" s="2">
        <v>44595.53</v>
      </c>
      <c r="B249" s="6" t="s">
        <v>3</v>
      </c>
      <c r="C249" s="9">
        <v>279007.92</v>
      </c>
      <c r="D249" s="9">
        <v>0</v>
      </c>
      <c r="E249" s="6">
        <v>0</v>
      </c>
      <c r="F249" s="6">
        <v>168.75</v>
      </c>
      <c r="G249" s="9">
        <v>152182.57</v>
      </c>
      <c r="H249" s="9">
        <v>53263.9</v>
      </c>
      <c r="I249" s="9">
        <v>2054</v>
      </c>
      <c r="J249" s="9">
        <v>207500.47</v>
      </c>
      <c r="K249" s="12">
        <v>71507.45</v>
      </c>
      <c r="L249" s="13">
        <f t="shared" si="14"/>
        <v>0.35000000328552738</v>
      </c>
      <c r="M249" s="15">
        <f t="shared" si="15"/>
        <v>1.3496946463711317E-2</v>
      </c>
      <c r="N249" s="15" t="str">
        <f t="shared" si="12"/>
        <v>Liquor</v>
      </c>
      <c r="O249" s="16">
        <f t="shared" si="13"/>
        <v>225</v>
      </c>
    </row>
    <row r="250" spans="1:15" x14ac:dyDescent="0.3">
      <c r="A250" s="2">
        <v>44602.543379629627</v>
      </c>
      <c r="B250" s="6" t="s">
        <v>3</v>
      </c>
      <c r="C250" s="9">
        <v>71507.45</v>
      </c>
      <c r="D250" s="9">
        <v>0</v>
      </c>
      <c r="E250" s="6">
        <v>319.8</v>
      </c>
      <c r="F250" s="6">
        <v>0</v>
      </c>
      <c r="G250" s="9">
        <v>52380.98</v>
      </c>
      <c r="H250" s="9">
        <v>18333.34</v>
      </c>
      <c r="I250" s="9">
        <v>707</v>
      </c>
      <c r="J250" s="9">
        <v>71421.320000000007</v>
      </c>
      <c r="K250" s="12">
        <v>86.13</v>
      </c>
      <c r="L250" s="13">
        <f t="shared" si="14"/>
        <v>0.34999994272730289</v>
      </c>
      <c r="M250" s="15">
        <f t="shared" si="15"/>
        <v>1.3497265610532678E-2</v>
      </c>
      <c r="N250" s="15" t="str">
        <f t="shared" si="12"/>
        <v>Beer</v>
      </c>
      <c r="O250" s="16">
        <f t="shared" si="13"/>
        <v>319.8</v>
      </c>
    </row>
    <row r="251" spans="1:15" x14ac:dyDescent="0.3">
      <c r="A251" s="2">
        <v>44648.522650462961</v>
      </c>
      <c r="B251" s="6" t="s">
        <v>2</v>
      </c>
      <c r="C251" s="9">
        <v>86.13</v>
      </c>
      <c r="D251" s="9">
        <v>100000</v>
      </c>
      <c r="E251" s="6">
        <v>0</v>
      </c>
      <c r="F251" s="6">
        <v>0</v>
      </c>
      <c r="G251" s="9">
        <v>0</v>
      </c>
      <c r="H251" s="9">
        <v>0</v>
      </c>
      <c r="I251" s="9">
        <v>0</v>
      </c>
      <c r="J251" s="9">
        <v>0</v>
      </c>
      <c r="K251" s="12">
        <v>100086.13</v>
      </c>
      <c r="L251" s="13">
        <f t="shared" si="14"/>
        <v>0</v>
      </c>
      <c r="M251" s="15">
        <f t="shared" si="15"/>
        <v>0</v>
      </c>
      <c r="N251" s="15" t="str">
        <f t="shared" si="12"/>
        <v>-</v>
      </c>
      <c r="O251" s="16">
        <f t="shared" si="13"/>
        <v>0</v>
      </c>
    </row>
    <row r="252" spans="1:15" x14ac:dyDescent="0.3">
      <c r="A252" s="2">
        <v>44648.524305555555</v>
      </c>
      <c r="B252" s="6" t="s">
        <v>2</v>
      </c>
      <c r="C252" s="9">
        <v>100086.13</v>
      </c>
      <c r="D252" s="9">
        <v>300000</v>
      </c>
      <c r="E252" s="6">
        <v>0</v>
      </c>
      <c r="F252" s="6">
        <v>0</v>
      </c>
      <c r="G252" s="9">
        <v>0</v>
      </c>
      <c r="H252" s="9">
        <v>0</v>
      </c>
      <c r="I252" s="9">
        <v>0</v>
      </c>
      <c r="J252" s="9">
        <v>0</v>
      </c>
      <c r="K252" s="12">
        <v>400086.13</v>
      </c>
      <c r="L252" s="13">
        <f t="shared" si="14"/>
        <v>0</v>
      </c>
      <c r="M252" s="15">
        <f t="shared" si="15"/>
        <v>0</v>
      </c>
      <c r="N252" s="15" t="str">
        <f t="shared" si="12"/>
        <v>-</v>
      </c>
      <c r="O252" s="16">
        <f t="shared" si="13"/>
        <v>0</v>
      </c>
    </row>
    <row r="253" spans="1:15" x14ac:dyDescent="0.3">
      <c r="A253" s="2">
        <v>44648.526435185187</v>
      </c>
      <c r="B253" s="6" t="s">
        <v>2</v>
      </c>
      <c r="C253" s="9">
        <v>400086.13</v>
      </c>
      <c r="D253" s="9">
        <v>48000</v>
      </c>
      <c r="E253" s="6">
        <v>0</v>
      </c>
      <c r="F253" s="6">
        <v>0</v>
      </c>
      <c r="G253" s="9">
        <v>0</v>
      </c>
      <c r="H253" s="9">
        <v>0</v>
      </c>
      <c r="I253" s="9">
        <v>0</v>
      </c>
      <c r="J253" s="9">
        <v>0</v>
      </c>
      <c r="K253" s="12">
        <v>448086.13</v>
      </c>
      <c r="L253" s="13">
        <f t="shared" si="14"/>
        <v>0</v>
      </c>
      <c r="M253" s="15">
        <f t="shared" si="15"/>
        <v>0</v>
      </c>
      <c r="N253" s="15" t="str">
        <f t="shared" si="12"/>
        <v>-</v>
      </c>
      <c r="O253" s="16">
        <f t="shared" si="13"/>
        <v>0</v>
      </c>
    </row>
    <row r="254" spans="1:15" x14ac:dyDescent="0.3">
      <c r="A254" s="2">
        <v>44650.92728009259</v>
      </c>
      <c r="B254" s="6" t="s">
        <v>3</v>
      </c>
      <c r="C254" s="9">
        <v>448086.13</v>
      </c>
      <c r="D254" s="9">
        <v>0</v>
      </c>
      <c r="E254" s="6">
        <v>0</v>
      </c>
      <c r="F254" s="6">
        <v>188</v>
      </c>
      <c r="G254" s="9">
        <v>153412.71</v>
      </c>
      <c r="H254" s="9">
        <v>53694.45</v>
      </c>
      <c r="I254" s="9">
        <v>2071</v>
      </c>
      <c r="J254" s="9">
        <v>209178.16</v>
      </c>
      <c r="K254" s="12">
        <v>238907.97</v>
      </c>
      <c r="L254" s="13">
        <f t="shared" si="14"/>
        <v>0.35000000977754714</v>
      </c>
      <c r="M254" s="15">
        <f t="shared" si="15"/>
        <v>1.349953338285987E-2</v>
      </c>
      <c r="N254" s="15" t="str">
        <f t="shared" si="12"/>
        <v>Liquor</v>
      </c>
      <c r="O254" s="16">
        <f t="shared" si="13"/>
        <v>250.66666666666666</v>
      </c>
    </row>
    <row r="255" spans="1:15" x14ac:dyDescent="0.3">
      <c r="A255" s="2">
        <v>44650.927662037036</v>
      </c>
      <c r="B255" s="6" t="s">
        <v>3</v>
      </c>
      <c r="C255" s="9">
        <v>238907.97</v>
      </c>
      <c r="D255" s="9">
        <v>0</v>
      </c>
      <c r="E255" s="6">
        <v>1050</v>
      </c>
      <c r="F255" s="6">
        <v>0</v>
      </c>
      <c r="G255" s="9">
        <v>174761.83</v>
      </c>
      <c r="H255" s="9">
        <v>61166.559999999998</v>
      </c>
      <c r="I255" s="9">
        <v>2359</v>
      </c>
      <c r="J255" s="9">
        <v>238287.39</v>
      </c>
      <c r="K255" s="12">
        <v>620.58000000000004</v>
      </c>
      <c r="L255" s="13">
        <f t="shared" si="14"/>
        <v>0.34999953937309997</v>
      </c>
      <c r="M255" s="15">
        <f t="shared" si="15"/>
        <v>1.3498370897123246E-2</v>
      </c>
      <c r="N255" s="15" t="str">
        <f t="shared" si="12"/>
        <v>Beer</v>
      </c>
      <c r="O255" s="16">
        <f t="shared" si="13"/>
        <v>1050</v>
      </c>
    </row>
    <row r="256" spans="1:15" x14ac:dyDescent="0.3">
      <c r="A256" s="3">
        <v>44674.400069444448</v>
      </c>
      <c r="B256" s="6" t="s">
        <v>2</v>
      </c>
      <c r="C256" s="9">
        <v>620.58000000000004</v>
      </c>
      <c r="D256" s="9">
        <v>200000</v>
      </c>
      <c r="E256" s="6">
        <v>0</v>
      </c>
      <c r="F256" s="6">
        <v>0</v>
      </c>
      <c r="G256" s="9">
        <v>0</v>
      </c>
      <c r="H256" s="9">
        <v>0</v>
      </c>
      <c r="I256" s="9">
        <v>0</v>
      </c>
      <c r="J256" s="9">
        <v>0</v>
      </c>
      <c r="K256" s="12">
        <v>200620.58</v>
      </c>
      <c r="L256" s="13">
        <f t="shared" si="14"/>
        <v>0</v>
      </c>
      <c r="M256" s="15">
        <f t="shared" si="15"/>
        <v>0</v>
      </c>
      <c r="N256" s="15" t="str">
        <f t="shared" si="12"/>
        <v>-</v>
      </c>
      <c r="O256" s="16">
        <f t="shared" si="13"/>
        <v>0</v>
      </c>
    </row>
    <row r="257" spans="1:15" x14ac:dyDescent="0.3">
      <c r="A257" s="3">
        <v>44676.257245370369</v>
      </c>
      <c r="B257" s="6" t="s">
        <v>2</v>
      </c>
      <c r="C257" s="9">
        <v>200620.58</v>
      </c>
      <c r="D257" s="9">
        <v>300000</v>
      </c>
      <c r="E257" s="6">
        <v>0</v>
      </c>
      <c r="F257" s="6">
        <v>0</v>
      </c>
      <c r="G257" s="9">
        <v>0</v>
      </c>
      <c r="H257" s="9">
        <v>0</v>
      </c>
      <c r="I257" s="9">
        <v>0</v>
      </c>
      <c r="J257" s="9">
        <v>0</v>
      </c>
      <c r="K257" s="12">
        <v>500620.58</v>
      </c>
      <c r="L257" s="13">
        <f t="shared" si="14"/>
        <v>0</v>
      </c>
      <c r="M257" s="15">
        <f t="shared" si="15"/>
        <v>0</v>
      </c>
      <c r="N257" s="15" t="str">
        <f t="shared" si="12"/>
        <v>-</v>
      </c>
      <c r="O257" s="16">
        <f t="shared" si="13"/>
        <v>0</v>
      </c>
    </row>
    <row r="258" spans="1:15" x14ac:dyDescent="0.3">
      <c r="A258" s="3">
        <v>44676.884548611109</v>
      </c>
      <c r="B258" s="6" t="s">
        <v>3</v>
      </c>
      <c r="C258" s="9">
        <v>500620.58</v>
      </c>
      <c r="D258" s="9">
        <v>0</v>
      </c>
      <c r="E258" s="6">
        <v>1320.72</v>
      </c>
      <c r="F258" s="6">
        <v>0</v>
      </c>
      <c r="G258" s="9">
        <v>206507.93</v>
      </c>
      <c r="H258" s="9">
        <v>72277.86</v>
      </c>
      <c r="I258" s="9">
        <v>2788</v>
      </c>
      <c r="J258" s="9">
        <v>281573.78999999998</v>
      </c>
      <c r="K258" s="12">
        <v>219046.79</v>
      </c>
      <c r="L258" s="13">
        <f t="shared" si="14"/>
        <v>0.35000040918525505</v>
      </c>
      <c r="M258" s="15">
        <f t="shared" si="15"/>
        <v>1.3500692201021045E-2</v>
      </c>
      <c r="N258" s="15" t="str">
        <f t="shared" si="12"/>
        <v>Beer</v>
      </c>
      <c r="O258" s="16">
        <f t="shared" si="13"/>
        <v>1320.72</v>
      </c>
    </row>
    <row r="259" spans="1:15" x14ac:dyDescent="0.3">
      <c r="A259" s="3">
        <v>44676.885509259257</v>
      </c>
      <c r="B259" s="6" t="s">
        <v>3</v>
      </c>
      <c r="C259" s="9">
        <v>219046.79</v>
      </c>
      <c r="D259" s="9">
        <v>0</v>
      </c>
      <c r="E259" s="6">
        <v>0</v>
      </c>
      <c r="F259" s="6">
        <v>174.23</v>
      </c>
      <c r="G259" s="9">
        <v>159850.54</v>
      </c>
      <c r="H259" s="9">
        <v>55947.69</v>
      </c>
      <c r="I259" s="9">
        <v>2158</v>
      </c>
      <c r="J259" s="9">
        <v>217956.23</v>
      </c>
      <c r="K259" s="12">
        <v>1090.56</v>
      </c>
      <c r="L259" s="13">
        <f t="shared" si="14"/>
        <v>0.35000000625584371</v>
      </c>
      <c r="M259" s="15">
        <f t="shared" si="15"/>
        <v>1.3500110790992635E-2</v>
      </c>
      <c r="N259" s="15" t="str">
        <f t="shared" ref="N259:N322" si="16">IF($E259&lt;&gt;0,"Beer",IF($F259&lt;&gt;0,"Liquor","-"))</f>
        <v>Liquor</v>
      </c>
      <c r="O259" s="16">
        <f t="shared" ref="O259:O322" si="17">IF($E259&lt;&gt;0,$E259,IF($F259&lt;&gt;0,$F259/0.75,0))</f>
        <v>232.30666666666664</v>
      </c>
    </row>
    <row r="260" spans="1:15" x14ac:dyDescent="0.3">
      <c r="A260" s="3">
        <v>44683.46230324074</v>
      </c>
      <c r="B260" s="6" t="s">
        <v>2</v>
      </c>
      <c r="C260" s="9">
        <v>1090.56</v>
      </c>
      <c r="D260" s="9">
        <v>430000</v>
      </c>
      <c r="E260" s="6">
        <v>0</v>
      </c>
      <c r="F260" s="6">
        <v>0</v>
      </c>
      <c r="G260" s="9">
        <v>0</v>
      </c>
      <c r="H260" s="9">
        <v>0</v>
      </c>
      <c r="I260" s="9">
        <v>0</v>
      </c>
      <c r="J260" s="9">
        <v>0</v>
      </c>
      <c r="K260" s="12">
        <v>431090.56</v>
      </c>
      <c r="L260" s="13">
        <f t="shared" ref="L260:L323" si="18">IFERROR(H260/$G260,0)</f>
        <v>0</v>
      </c>
      <c r="M260" s="15">
        <f t="shared" ref="M260:M323" si="19">IFERROR(I260/$G260,0)</f>
        <v>0</v>
      </c>
      <c r="N260" s="15" t="str">
        <f t="shared" si="16"/>
        <v>-</v>
      </c>
      <c r="O260" s="16">
        <f t="shared" si="17"/>
        <v>0</v>
      </c>
    </row>
    <row r="261" spans="1:15" x14ac:dyDescent="0.3">
      <c r="A261" s="3">
        <v>44685.525266203702</v>
      </c>
      <c r="B261" s="6" t="s">
        <v>3</v>
      </c>
      <c r="C261" s="9">
        <v>431090.56</v>
      </c>
      <c r="D261" s="9">
        <v>0</v>
      </c>
      <c r="E261" s="6">
        <v>0</v>
      </c>
      <c r="F261" s="6">
        <v>105.19</v>
      </c>
      <c r="G261" s="9">
        <v>96200.6</v>
      </c>
      <c r="H261" s="9">
        <v>33670.21</v>
      </c>
      <c r="I261" s="9">
        <v>1299</v>
      </c>
      <c r="J261" s="9">
        <v>131169.81</v>
      </c>
      <c r="K261" s="12">
        <v>299920.75</v>
      </c>
      <c r="L261" s="13">
        <f t="shared" si="18"/>
        <v>0.35</v>
      </c>
      <c r="M261" s="15">
        <f t="shared" si="19"/>
        <v>1.3503034284609451E-2</v>
      </c>
      <c r="N261" s="15" t="str">
        <f t="shared" si="16"/>
        <v>Liquor</v>
      </c>
      <c r="O261" s="16">
        <f t="shared" si="17"/>
        <v>140.25333333333333</v>
      </c>
    </row>
    <row r="262" spans="1:15" x14ac:dyDescent="0.3">
      <c r="A262" s="3">
        <v>44685.525717592594</v>
      </c>
      <c r="B262" s="6" t="s">
        <v>3</v>
      </c>
      <c r="C262" s="9">
        <v>299920.75</v>
      </c>
      <c r="D262" s="9">
        <v>0</v>
      </c>
      <c r="E262" s="6">
        <v>1362.6</v>
      </c>
      <c r="F262" s="6">
        <v>0</v>
      </c>
      <c r="G262" s="9">
        <v>219603.03</v>
      </c>
      <c r="H262" s="9">
        <v>76861</v>
      </c>
      <c r="I262" s="9">
        <v>2965</v>
      </c>
      <c r="J262" s="9">
        <v>299429.03000000003</v>
      </c>
      <c r="K262" s="12">
        <v>491.72</v>
      </c>
      <c r="L262" s="13">
        <f t="shared" si="18"/>
        <v>0.34999972450289052</v>
      </c>
      <c r="M262" s="15">
        <f t="shared" si="19"/>
        <v>1.3501635200570775E-2</v>
      </c>
      <c r="N262" s="15" t="str">
        <f t="shared" si="16"/>
        <v>Beer</v>
      </c>
      <c r="O262" s="16">
        <f t="shared" si="17"/>
        <v>1362.6</v>
      </c>
    </row>
    <row r="263" spans="1:15" x14ac:dyDescent="0.3">
      <c r="A263" s="3">
        <v>44690.430324074077</v>
      </c>
      <c r="B263" s="6" t="s">
        <v>2</v>
      </c>
      <c r="C263" s="9">
        <v>491.72</v>
      </c>
      <c r="D263" s="9">
        <v>300000</v>
      </c>
      <c r="E263" s="6">
        <v>0</v>
      </c>
      <c r="F263" s="6">
        <v>0</v>
      </c>
      <c r="G263" s="9">
        <v>0</v>
      </c>
      <c r="H263" s="9">
        <v>0</v>
      </c>
      <c r="I263" s="9">
        <v>0</v>
      </c>
      <c r="J263" s="9">
        <v>0</v>
      </c>
      <c r="K263" s="12">
        <v>300491.71999999997</v>
      </c>
      <c r="L263" s="13">
        <f t="shared" si="18"/>
        <v>0</v>
      </c>
      <c r="M263" s="15">
        <f t="shared" si="19"/>
        <v>0</v>
      </c>
      <c r="N263" s="15" t="str">
        <f t="shared" si="16"/>
        <v>-</v>
      </c>
      <c r="O263" s="16">
        <f t="shared" si="17"/>
        <v>0</v>
      </c>
    </row>
    <row r="264" spans="1:15" x14ac:dyDescent="0.3">
      <c r="A264" s="3">
        <v>44690.504849537036</v>
      </c>
      <c r="B264" s="6" t="s">
        <v>3</v>
      </c>
      <c r="C264" s="9">
        <v>300491.71999999997</v>
      </c>
      <c r="D264" s="9">
        <v>0</v>
      </c>
      <c r="E264" s="6">
        <v>0</v>
      </c>
      <c r="F264" s="6">
        <v>260.29000000000002</v>
      </c>
      <c r="G264" s="9">
        <v>220119.08</v>
      </c>
      <c r="H264" s="9">
        <v>77041.679999999993</v>
      </c>
      <c r="I264" s="9">
        <v>2972</v>
      </c>
      <c r="J264" s="9">
        <v>300132.76</v>
      </c>
      <c r="K264" s="12">
        <v>358.96</v>
      </c>
      <c r="L264" s="13">
        <f t="shared" si="18"/>
        <v>0.3500000090859911</v>
      </c>
      <c r="M264" s="15">
        <f t="shared" si="19"/>
        <v>1.350178276231211E-2</v>
      </c>
      <c r="N264" s="15" t="str">
        <f t="shared" si="16"/>
        <v>Liquor</v>
      </c>
      <c r="O264" s="16">
        <f t="shared" si="17"/>
        <v>347.05333333333334</v>
      </c>
    </row>
    <row r="265" spans="1:15" x14ac:dyDescent="0.3">
      <c r="A265" s="3">
        <v>44697.418402777781</v>
      </c>
      <c r="B265" s="6" t="s">
        <v>2</v>
      </c>
      <c r="C265" s="9">
        <v>358.96</v>
      </c>
      <c r="D265" s="9">
        <v>180000</v>
      </c>
      <c r="E265" s="6">
        <v>0</v>
      </c>
      <c r="F265" s="6">
        <v>0</v>
      </c>
      <c r="G265" s="9">
        <v>0</v>
      </c>
      <c r="H265" s="9">
        <v>0</v>
      </c>
      <c r="I265" s="9">
        <v>0</v>
      </c>
      <c r="J265" s="9">
        <v>0</v>
      </c>
      <c r="K265" s="12">
        <v>180358.96</v>
      </c>
      <c r="L265" s="13">
        <f t="shared" si="18"/>
        <v>0</v>
      </c>
      <c r="M265" s="15">
        <f t="shared" si="19"/>
        <v>0</v>
      </c>
      <c r="N265" s="15" t="str">
        <f t="shared" si="16"/>
        <v>-</v>
      </c>
      <c r="O265" s="16">
        <f t="shared" si="17"/>
        <v>0</v>
      </c>
    </row>
    <row r="266" spans="1:15" x14ac:dyDescent="0.3">
      <c r="A266" s="3">
        <v>44697.716238425928</v>
      </c>
      <c r="B266" s="6" t="s">
        <v>3</v>
      </c>
      <c r="C266" s="9">
        <v>180358.96</v>
      </c>
      <c r="D266" s="9">
        <v>0</v>
      </c>
      <c r="E266" s="6">
        <v>789</v>
      </c>
      <c r="F266" s="6">
        <v>0</v>
      </c>
      <c r="G266" s="9">
        <v>131746.09</v>
      </c>
      <c r="H266" s="9">
        <v>46111.05</v>
      </c>
      <c r="I266" s="9">
        <v>1779</v>
      </c>
      <c r="J266" s="9">
        <v>179636.14</v>
      </c>
      <c r="K266" s="12">
        <v>722.82</v>
      </c>
      <c r="L266" s="13">
        <f t="shared" si="18"/>
        <v>0.34999938138581571</v>
      </c>
      <c r="M266" s="15">
        <f t="shared" si="19"/>
        <v>1.3503247041335344E-2</v>
      </c>
      <c r="N266" s="15" t="str">
        <f t="shared" si="16"/>
        <v>Beer</v>
      </c>
      <c r="O266" s="16">
        <f t="shared" si="17"/>
        <v>789</v>
      </c>
    </row>
    <row r="267" spans="1:15" x14ac:dyDescent="0.3">
      <c r="A267" s="3">
        <v>44701.282800925925</v>
      </c>
      <c r="B267" s="6" t="s">
        <v>2</v>
      </c>
      <c r="C267" s="9">
        <v>722.82</v>
      </c>
      <c r="D267" s="9">
        <v>190000</v>
      </c>
      <c r="E267" s="6">
        <v>0</v>
      </c>
      <c r="F267" s="6">
        <v>0</v>
      </c>
      <c r="G267" s="9">
        <v>0</v>
      </c>
      <c r="H267" s="9">
        <v>0</v>
      </c>
      <c r="I267" s="9">
        <v>0</v>
      </c>
      <c r="J267" s="9">
        <v>0</v>
      </c>
      <c r="K267" s="12">
        <v>190722.82</v>
      </c>
      <c r="L267" s="13">
        <f t="shared" si="18"/>
        <v>0</v>
      </c>
      <c r="M267" s="15">
        <f t="shared" si="19"/>
        <v>0</v>
      </c>
      <c r="N267" s="15" t="str">
        <f t="shared" si="16"/>
        <v>-</v>
      </c>
      <c r="O267" s="16">
        <f t="shared" si="17"/>
        <v>0</v>
      </c>
    </row>
    <row r="268" spans="1:15" x14ac:dyDescent="0.3">
      <c r="A268" s="3">
        <v>44701.516111111108</v>
      </c>
      <c r="B268" s="6" t="s">
        <v>3</v>
      </c>
      <c r="C268" s="9">
        <v>190722.82</v>
      </c>
      <c r="D268" s="9">
        <v>0</v>
      </c>
      <c r="E268" s="6">
        <v>543.6</v>
      </c>
      <c r="F268" s="6">
        <v>0</v>
      </c>
      <c r="G268" s="9">
        <v>80952.41</v>
      </c>
      <c r="H268" s="9">
        <v>28333.439999999999</v>
      </c>
      <c r="I268" s="9">
        <v>1093</v>
      </c>
      <c r="J268" s="9">
        <v>110378.85</v>
      </c>
      <c r="K268" s="12">
        <v>80343.97</v>
      </c>
      <c r="L268" s="13">
        <f t="shared" si="18"/>
        <v>0.35000119205839575</v>
      </c>
      <c r="M268" s="15">
        <f t="shared" si="19"/>
        <v>1.3501759861133226E-2</v>
      </c>
      <c r="N268" s="15" t="str">
        <f t="shared" si="16"/>
        <v>Beer</v>
      </c>
      <c r="O268" s="16">
        <f t="shared" si="17"/>
        <v>543.6</v>
      </c>
    </row>
    <row r="269" spans="1:15" x14ac:dyDescent="0.3">
      <c r="A269" s="3">
        <v>44704.433182870373</v>
      </c>
      <c r="B269" s="6" t="s">
        <v>2</v>
      </c>
      <c r="C269" s="9">
        <v>80343.97</v>
      </c>
      <c r="D269" s="9">
        <v>190000</v>
      </c>
      <c r="E269" s="6">
        <v>0</v>
      </c>
      <c r="F269" s="6">
        <v>0</v>
      </c>
      <c r="G269" s="9">
        <v>0</v>
      </c>
      <c r="H269" s="9">
        <v>0</v>
      </c>
      <c r="I269" s="9">
        <v>0</v>
      </c>
      <c r="J269" s="9">
        <v>0</v>
      </c>
      <c r="K269" s="12">
        <v>270343.96999999997</v>
      </c>
      <c r="L269" s="13">
        <f t="shared" si="18"/>
        <v>0</v>
      </c>
      <c r="M269" s="15">
        <f t="shared" si="19"/>
        <v>0</v>
      </c>
      <c r="N269" s="15" t="str">
        <f t="shared" si="16"/>
        <v>-</v>
      </c>
      <c r="O269" s="16">
        <f t="shared" si="17"/>
        <v>0</v>
      </c>
    </row>
    <row r="270" spans="1:15" x14ac:dyDescent="0.3">
      <c r="A270" s="3">
        <v>44704.535497685189</v>
      </c>
      <c r="B270" s="6" t="s">
        <v>3</v>
      </c>
      <c r="C270" s="9">
        <v>270343.96999999997</v>
      </c>
      <c r="D270" s="9">
        <v>0</v>
      </c>
      <c r="E270" s="6">
        <v>160.80000000000001</v>
      </c>
      <c r="F270" s="6">
        <v>0</v>
      </c>
      <c r="G270" s="9">
        <v>24285.69</v>
      </c>
      <c r="H270" s="9">
        <v>8500</v>
      </c>
      <c r="I270" s="9">
        <v>328</v>
      </c>
      <c r="J270" s="9">
        <v>33113.69</v>
      </c>
      <c r="K270" s="12">
        <v>237230.28</v>
      </c>
      <c r="L270" s="13">
        <f t="shared" si="18"/>
        <v>0.35000035000035001</v>
      </c>
      <c r="M270" s="15">
        <f t="shared" si="19"/>
        <v>1.3505895858837037E-2</v>
      </c>
      <c r="N270" s="15" t="str">
        <f t="shared" si="16"/>
        <v>Beer</v>
      </c>
      <c r="O270" s="16">
        <f t="shared" si="17"/>
        <v>160.80000000000001</v>
      </c>
    </row>
    <row r="271" spans="1:15" x14ac:dyDescent="0.3">
      <c r="A271" s="3">
        <v>44704.717766203707</v>
      </c>
      <c r="B271" s="6" t="s">
        <v>3</v>
      </c>
      <c r="C271" s="9">
        <v>237230.28</v>
      </c>
      <c r="D271" s="9">
        <v>0</v>
      </c>
      <c r="E271" s="6">
        <v>0</v>
      </c>
      <c r="F271" s="6">
        <v>201.12</v>
      </c>
      <c r="G271" s="9">
        <v>173591.29</v>
      </c>
      <c r="H271" s="9">
        <v>60756.95</v>
      </c>
      <c r="I271" s="9">
        <v>2343</v>
      </c>
      <c r="J271" s="9">
        <v>236691.24</v>
      </c>
      <c r="K271" s="12">
        <v>539.04</v>
      </c>
      <c r="L271" s="13">
        <f t="shared" si="18"/>
        <v>0.34999999135901344</v>
      </c>
      <c r="M271" s="15">
        <f t="shared" si="19"/>
        <v>1.3497220972319521E-2</v>
      </c>
      <c r="N271" s="15" t="str">
        <f t="shared" si="16"/>
        <v>Liquor</v>
      </c>
      <c r="O271" s="16">
        <f t="shared" si="17"/>
        <v>268.16000000000003</v>
      </c>
    </row>
    <row r="272" spans="1:15" x14ac:dyDescent="0.3">
      <c r="A272" s="3">
        <v>44712.454155092593</v>
      </c>
      <c r="B272" s="6" t="s">
        <v>2</v>
      </c>
      <c r="C272" s="9">
        <v>539.04</v>
      </c>
      <c r="D272" s="9">
        <v>200000</v>
      </c>
      <c r="E272" s="6">
        <v>0</v>
      </c>
      <c r="F272" s="6">
        <v>0</v>
      </c>
      <c r="G272" s="9">
        <v>0</v>
      </c>
      <c r="H272" s="9">
        <v>0</v>
      </c>
      <c r="I272" s="9">
        <v>0</v>
      </c>
      <c r="J272" s="9">
        <v>0</v>
      </c>
      <c r="K272" s="12">
        <v>200539.04</v>
      </c>
      <c r="L272" s="13">
        <f t="shared" si="18"/>
        <v>0</v>
      </c>
      <c r="M272" s="15">
        <f t="shared" si="19"/>
        <v>0</v>
      </c>
      <c r="N272" s="15" t="str">
        <f t="shared" si="16"/>
        <v>-</v>
      </c>
      <c r="O272" s="16">
        <f t="shared" si="17"/>
        <v>0</v>
      </c>
    </row>
    <row r="273" spans="1:15" x14ac:dyDescent="0.3">
      <c r="A273" s="3">
        <v>44712.522627314815</v>
      </c>
      <c r="B273" s="6" t="s">
        <v>3</v>
      </c>
      <c r="C273" s="9">
        <v>200539.04</v>
      </c>
      <c r="D273" s="9">
        <v>0</v>
      </c>
      <c r="E273" s="6">
        <v>921.72</v>
      </c>
      <c r="F273" s="6">
        <v>0</v>
      </c>
      <c r="G273" s="9">
        <v>141825.38</v>
      </c>
      <c r="H273" s="9">
        <v>49638.91</v>
      </c>
      <c r="I273" s="9">
        <v>1915</v>
      </c>
      <c r="J273" s="9">
        <v>193379.29</v>
      </c>
      <c r="K273" s="12">
        <v>7159.75</v>
      </c>
      <c r="L273" s="13">
        <f t="shared" si="18"/>
        <v>0.35000019037495267</v>
      </c>
      <c r="M273" s="15">
        <f t="shared" si="19"/>
        <v>1.3502519788771233E-2</v>
      </c>
      <c r="N273" s="15" t="str">
        <f t="shared" si="16"/>
        <v>Beer</v>
      </c>
      <c r="O273" s="16">
        <f t="shared" si="17"/>
        <v>921.72</v>
      </c>
    </row>
    <row r="274" spans="1:15" x14ac:dyDescent="0.3">
      <c r="A274" s="3">
        <v>44716.416307870371</v>
      </c>
      <c r="B274" s="6" t="s">
        <v>2</v>
      </c>
      <c r="C274" s="9">
        <v>7159.75</v>
      </c>
      <c r="D274" s="9">
        <v>250000</v>
      </c>
      <c r="E274" s="6">
        <v>0</v>
      </c>
      <c r="F274" s="6">
        <v>0</v>
      </c>
      <c r="G274" s="9">
        <v>0</v>
      </c>
      <c r="H274" s="9">
        <v>0</v>
      </c>
      <c r="I274" s="9">
        <v>0</v>
      </c>
      <c r="J274" s="9">
        <v>0</v>
      </c>
      <c r="K274" s="12">
        <v>257159.75</v>
      </c>
      <c r="L274" s="13">
        <f t="shared" si="18"/>
        <v>0</v>
      </c>
      <c r="M274" s="15">
        <f t="shared" si="19"/>
        <v>0</v>
      </c>
      <c r="N274" s="15" t="str">
        <f t="shared" si="16"/>
        <v>-</v>
      </c>
      <c r="O274" s="16">
        <f t="shared" si="17"/>
        <v>0</v>
      </c>
    </row>
    <row r="275" spans="1:15" x14ac:dyDescent="0.3">
      <c r="A275" s="3">
        <v>44716.54178240741</v>
      </c>
      <c r="B275" s="6" t="s">
        <v>3</v>
      </c>
      <c r="C275" s="9">
        <v>257159.75</v>
      </c>
      <c r="D275" s="9">
        <v>0</v>
      </c>
      <c r="E275" s="6">
        <v>562.91999999999996</v>
      </c>
      <c r="F275" s="6">
        <v>0</v>
      </c>
      <c r="G275" s="9">
        <v>86111.15</v>
      </c>
      <c r="H275" s="9">
        <v>30139.03</v>
      </c>
      <c r="I275" s="9">
        <v>1163</v>
      </c>
      <c r="J275" s="9">
        <v>117413.18</v>
      </c>
      <c r="K275" s="12">
        <v>139746.57</v>
      </c>
      <c r="L275" s="13">
        <f t="shared" si="18"/>
        <v>0.3500014806444926</v>
      </c>
      <c r="M275" s="15">
        <f t="shared" si="19"/>
        <v>1.3505800352219197E-2</v>
      </c>
      <c r="N275" s="15" t="str">
        <f t="shared" si="16"/>
        <v>Beer</v>
      </c>
      <c r="O275" s="16">
        <f t="shared" si="17"/>
        <v>562.91999999999996</v>
      </c>
    </row>
    <row r="276" spans="1:15" x14ac:dyDescent="0.3">
      <c r="A276" s="3">
        <v>44719.679328703707</v>
      </c>
      <c r="B276" s="6" t="s">
        <v>3</v>
      </c>
      <c r="C276" s="9">
        <v>139746.57</v>
      </c>
      <c r="D276" s="9">
        <v>0</v>
      </c>
      <c r="E276" s="6">
        <v>633</v>
      </c>
      <c r="F276" s="6">
        <v>0</v>
      </c>
      <c r="G276" s="9">
        <v>102380.97</v>
      </c>
      <c r="H276" s="9">
        <v>35833.379999999997</v>
      </c>
      <c r="I276" s="9">
        <v>1382</v>
      </c>
      <c r="J276" s="9">
        <v>139596.35</v>
      </c>
      <c r="K276" s="12">
        <v>150.22</v>
      </c>
      <c r="L276" s="13">
        <f t="shared" si="18"/>
        <v>0.35000039558132723</v>
      </c>
      <c r="M276" s="15">
        <f t="shared" si="19"/>
        <v>1.3498602328147506E-2</v>
      </c>
      <c r="N276" s="15" t="str">
        <f t="shared" si="16"/>
        <v>Beer</v>
      </c>
      <c r="O276" s="16">
        <f t="shared" si="17"/>
        <v>633</v>
      </c>
    </row>
    <row r="277" spans="1:15" x14ac:dyDescent="0.3">
      <c r="A277" s="3">
        <v>44721.381203703706</v>
      </c>
      <c r="B277" s="6" t="s">
        <v>2</v>
      </c>
      <c r="C277" s="9">
        <v>150.22</v>
      </c>
      <c r="D277" s="9">
        <v>150000</v>
      </c>
      <c r="E277" s="6">
        <v>0</v>
      </c>
      <c r="F277" s="6">
        <v>0</v>
      </c>
      <c r="G277" s="9">
        <v>0</v>
      </c>
      <c r="H277" s="9">
        <v>0</v>
      </c>
      <c r="I277" s="9">
        <v>0</v>
      </c>
      <c r="J277" s="9">
        <v>0</v>
      </c>
      <c r="K277" s="12">
        <v>150150.22</v>
      </c>
      <c r="L277" s="13">
        <f t="shared" si="18"/>
        <v>0</v>
      </c>
      <c r="M277" s="15">
        <f t="shared" si="19"/>
        <v>0</v>
      </c>
      <c r="N277" s="15" t="str">
        <f t="shared" si="16"/>
        <v>-</v>
      </c>
      <c r="O277" s="16">
        <f t="shared" si="17"/>
        <v>0</v>
      </c>
    </row>
    <row r="278" spans="1:15" x14ac:dyDescent="0.3">
      <c r="A278" s="3">
        <v>44721.487280092595</v>
      </c>
      <c r="B278" s="6" t="s">
        <v>3</v>
      </c>
      <c r="C278" s="9">
        <v>150150.22</v>
      </c>
      <c r="D278" s="9">
        <v>0</v>
      </c>
      <c r="E278" s="6">
        <v>537</v>
      </c>
      <c r="F278" s="6">
        <v>0</v>
      </c>
      <c r="G278" s="9">
        <v>87063.59</v>
      </c>
      <c r="H278" s="9">
        <v>30472.18</v>
      </c>
      <c r="I278" s="9">
        <v>1175</v>
      </c>
      <c r="J278" s="9">
        <v>118710.77</v>
      </c>
      <c r="K278" s="12">
        <v>31439.45</v>
      </c>
      <c r="L278" s="13">
        <f t="shared" si="18"/>
        <v>0.34999912133189087</v>
      </c>
      <c r="M278" s="15">
        <f t="shared" si="19"/>
        <v>1.349588272204259E-2</v>
      </c>
      <c r="N278" s="15" t="str">
        <f t="shared" si="16"/>
        <v>Beer</v>
      </c>
      <c r="O278" s="16">
        <f t="shared" si="17"/>
        <v>537</v>
      </c>
    </row>
    <row r="279" spans="1:15" x14ac:dyDescent="0.3">
      <c r="A279" s="3">
        <v>44723.399409722224</v>
      </c>
      <c r="B279" s="6" t="s">
        <v>2</v>
      </c>
      <c r="C279" s="9">
        <v>31439.45</v>
      </c>
      <c r="D279" s="9">
        <v>90000</v>
      </c>
      <c r="E279" s="6">
        <v>0</v>
      </c>
      <c r="F279" s="6">
        <v>0</v>
      </c>
      <c r="G279" s="9">
        <v>0</v>
      </c>
      <c r="H279" s="9">
        <v>0</v>
      </c>
      <c r="I279" s="9">
        <v>0</v>
      </c>
      <c r="J279" s="9">
        <v>0</v>
      </c>
      <c r="K279" s="12">
        <v>121439.45</v>
      </c>
      <c r="L279" s="13">
        <f t="shared" si="18"/>
        <v>0</v>
      </c>
      <c r="M279" s="15">
        <f t="shared" si="19"/>
        <v>0</v>
      </c>
      <c r="N279" s="15" t="str">
        <f t="shared" si="16"/>
        <v>-</v>
      </c>
      <c r="O279" s="16">
        <f t="shared" si="17"/>
        <v>0</v>
      </c>
    </row>
    <row r="280" spans="1:15" x14ac:dyDescent="0.3">
      <c r="A280" s="3">
        <v>44723.691006944442</v>
      </c>
      <c r="B280" s="6" t="s">
        <v>3</v>
      </c>
      <c r="C280" s="9">
        <v>121439.45</v>
      </c>
      <c r="D280" s="9">
        <v>0</v>
      </c>
      <c r="E280" s="6">
        <v>566.4</v>
      </c>
      <c r="F280" s="6">
        <v>0</v>
      </c>
      <c r="G280" s="9">
        <v>88968.320000000007</v>
      </c>
      <c r="H280" s="9">
        <v>31139.02</v>
      </c>
      <c r="I280" s="9">
        <v>1201</v>
      </c>
      <c r="J280" s="9">
        <v>121308.34</v>
      </c>
      <c r="K280" s="12">
        <v>131.11000000000001</v>
      </c>
      <c r="L280" s="13">
        <f t="shared" si="18"/>
        <v>0.3500012139152453</v>
      </c>
      <c r="M280" s="15">
        <f t="shared" si="19"/>
        <v>1.3499187126383863E-2</v>
      </c>
      <c r="N280" s="15" t="str">
        <f t="shared" si="16"/>
        <v>Beer</v>
      </c>
      <c r="O280" s="16">
        <f t="shared" si="17"/>
        <v>566.4</v>
      </c>
    </row>
    <row r="281" spans="1:15" x14ac:dyDescent="0.3">
      <c r="A281" s="3">
        <v>44726.373842592591</v>
      </c>
      <c r="B281" s="6" t="s">
        <v>2</v>
      </c>
      <c r="C281" s="9">
        <v>131.11000000000001</v>
      </c>
      <c r="D281" s="9">
        <v>65000</v>
      </c>
      <c r="E281" s="6">
        <v>0</v>
      </c>
      <c r="F281" s="6">
        <v>0</v>
      </c>
      <c r="G281" s="9">
        <v>0</v>
      </c>
      <c r="H281" s="9">
        <v>0</v>
      </c>
      <c r="I281" s="9">
        <v>0</v>
      </c>
      <c r="J281" s="9">
        <v>0</v>
      </c>
      <c r="K281" s="12">
        <v>65131.11</v>
      </c>
      <c r="L281" s="13">
        <f t="shared" si="18"/>
        <v>0</v>
      </c>
      <c r="M281" s="15">
        <f t="shared" si="19"/>
        <v>0</v>
      </c>
      <c r="N281" s="15" t="str">
        <f t="shared" si="16"/>
        <v>-</v>
      </c>
      <c r="O281" s="16">
        <f t="shared" si="17"/>
        <v>0</v>
      </c>
    </row>
    <row r="282" spans="1:15" x14ac:dyDescent="0.3">
      <c r="A282" s="3">
        <v>44729.377152777779</v>
      </c>
      <c r="B282" s="6" t="s">
        <v>2</v>
      </c>
      <c r="C282" s="9">
        <v>65131.11</v>
      </c>
      <c r="D282" s="9">
        <v>150000</v>
      </c>
      <c r="E282" s="6">
        <v>0</v>
      </c>
      <c r="F282" s="6">
        <v>0</v>
      </c>
      <c r="G282" s="9">
        <v>0</v>
      </c>
      <c r="H282" s="9">
        <v>0</v>
      </c>
      <c r="I282" s="9">
        <v>0</v>
      </c>
      <c r="J282" s="9">
        <v>0</v>
      </c>
      <c r="K282" s="12">
        <v>215131.11</v>
      </c>
      <c r="L282" s="13">
        <f t="shared" si="18"/>
        <v>0</v>
      </c>
      <c r="M282" s="15">
        <f t="shared" si="19"/>
        <v>0</v>
      </c>
      <c r="N282" s="15" t="str">
        <f t="shared" si="16"/>
        <v>-</v>
      </c>
      <c r="O282" s="16">
        <f t="shared" si="17"/>
        <v>0</v>
      </c>
    </row>
    <row r="283" spans="1:15" x14ac:dyDescent="0.3">
      <c r="A283" s="3">
        <v>44729.470185185186</v>
      </c>
      <c r="B283" s="6" t="s">
        <v>3</v>
      </c>
      <c r="C283" s="9">
        <v>215131.11</v>
      </c>
      <c r="D283" s="9">
        <v>0</v>
      </c>
      <c r="E283" s="6">
        <v>514.32000000000005</v>
      </c>
      <c r="F283" s="6">
        <v>0</v>
      </c>
      <c r="G283" s="9">
        <v>78412.83</v>
      </c>
      <c r="H283" s="9">
        <v>27444.61</v>
      </c>
      <c r="I283" s="9">
        <v>1059</v>
      </c>
      <c r="J283" s="9">
        <v>106916.44</v>
      </c>
      <c r="K283" s="12">
        <v>108214.67</v>
      </c>
      <c r="L283" s="13">
        <f t="shared" si="18"/>
        <v>0.35000152398529677</v>
      </c>
      <c r="M283" s="15">
        <f t="shared" si="19"/>
        <v>1.3505442923052261E-2</v>
      </c>
      <c r="N283" s="15" t="str">
        <f t="shared" si="16"/>
        <v>Beer</v>
      </c>
      <c r="O283" s="16">
        <f t="shared" si="17"/>
        <v>514.32000000000005</v>
      </c>
    </row>
    <row r="284" spans="1:15" x14ac:dyDescent="0.3">
      <c r="A284" s="3">
        <v>44732.449444444443</v>
      </c>
      <c r="B284" s="6" t="s">
        <v>2</v>
      </c>
      <c r="C284" s="9">
        <v>108214.67</v>
      </c>
      <c r="D284" s="9">
        <v>450000</v>
      </c>
      <c r="E284" s="6">
        <v>0</v>
      </c>
      <c r="F284" s="6">
        <v>0</v>
      </c>
      <c r="G284" s="9">
        <v>0</v>
      </c>
      <c r="H284" s="9">
        <v>0</v>
      </c>
      <c r="I284" s="9">
        <v>0</v>
      </c>
      <c r="J284" s="9">
        <v>0</v>
      </c>
      <c r="K284" s="12">
        <v>558214.67000000004</v>
      </c>
      <c r="L284" s="13">
        <f t="shared" si="18"/>
        <v>0</v>
      </c>
      <c r="M284" s="15">
        <f t="shared" si="19"/>
        <v>0</v>
      </c>
      <c r="N284" s="15" t="str">
        <f t="shared" si="16"/>
        <v>-</v>
      </c>
      <c r="O284" s="16">
        <f t="shared" si="17"/>
        <v>0</v>
      </c>
    </row>
    <row r="285" spans="1:15" x14ac:dyDescent="0.3">
      <c r="A285" s="3">
        <v>44732.717245370368</v>
      </c>
      <c r="B285" s="6" t="s">
        <v>3</v>
      </c>
      <c r="C285" s="9">
        <v>558214.67000000004</v>
      </c>
      <c r="D285" s="9">
        <v>0</v>
      </c>
      <c r="E285" s="6">
        <v>786.72</v>
      </c>
      <c r="F285" s="6">
        <v>0</v>
      </c>
      <c r="G285" s="9">
        <v>122619.17</v>
      </c>
      <c r="H285" s="9">
        <v>42916.83</v>
      </c>
      <c r="I285" s="9">
        <v>1655</v>
      </c>
      <c r="J285" s="9">
        <v>167191</v>
      </c>
      <c r="K285" s="12">
        <v>391023.67</v>
      </c>
      <c r="L285" s="13">
        <f t="shared" si="18"/>
        <v>0.35000098271746583</v>
      </c>
      <c r="M285" s="15">
        <f t="shared" si="19"/>
        <v>1.3497073907774779E-2</v>
      </c>
      <c r="N285" s="15" t="str">
        <f t="shared" si="16"/>
        <v>Beer</v>
      </c>
      <c r="O285" s="16">
        <f t="shared" si="17"/>
        <v>786.72</v>
      </c>
    </row>
    <row r="286" spans="1:15" x14ac:dyDescent="0.3">
      <c r="A286" s="3">
        <v>44732.717916666668</v>
      </c>
      <c r="B286" s="6" t="s">
        <v>3</v>
      </c>
      <c r="C286" s="9">
        <v>391023.67</v>
      </c>
      <c r="D286" s="9">
        <v>0</v>
      </c>
      <c r="E286" s="6">
        <v>0</v>
      </c>
      <c r="F286" s="6">
        <v>258.39</v>
      </c>
      <c r="G286" s="9">
        <v>219127.04000000001</v>
      </c>
      <c r="H286" s="9">
        <v>76694.460000000006</v>
      </c>
      <c r="I286" s="9">
        <v>2958</v>
      </c>
      <c r="J286" s="9">
        <v>298779.5</v>
      </c>
      <c r="K286" s="12">
        <v>92244.17</v>
      </c>
      <c r="L286" s="13">
        <f t="shared" si="18"/>
        <v>0.34999998174574898</v>
      </c>
      <c r="M286" s="15">
        <f t="shared" si="19"/>
        <v>1.3499018651463553E-2</v>
      </c>
      <c r="N286" s="15" t="str">
        <f t="shared" si="16"/>
        <v>Liquor</v>
      </c>
      <c r="O286" s="16">
        <f t="shared" si="17"/>
        <v>344.52</v>
      </c>
    </row>
    <row r="287" spans="1:15" x14ac:dyDescent="0.3">
      <c r="A287" s="3">
        <v>44739.684270833335</v>
      </c>
      <c r="B287" s="6" t="s">
        <v>3</v>
      </c>
      <c r="C287" s="9">
        <v>92244.17</v>
      </c>
      <c r="D287" s="9">
        <v>0</v>
      </c>
      <c r="E287" s="6">
        <v>426.6</v>
      </c>
      <c r="F287" s="6">
        <v>0</v>
      </c>
      <c r="G287" s="9">
        <v>66825.37</v>
      </c>
      <c r="H287" s="9">
        <v>23388.83</v>
      </c>
      <c r="I287" s="9">
        <v>902</v>
      </c>
      <c r="J287" s="9">
        <v>91116.2</v>
      </c>
      <c r="K287" s="12">
        <v>1127.97</v>
      </c>
      <c r="L287" s="13">
        <f t="shared" si="18"/>
        <v>0.34999925926336067</v>
      </c>
      <c r="M287" s="15">
        <f t="shared" si="19"/>
        <v>1.3497867651163025E-2</v>
      </c>
      <c r="N287" s="15" t="str">
        <f t="shared" si="16"/>
        <v>Beer</v>
      </c>
      <c r="O287" s="16">
        <f t="shared" si="17"/>
        <v>426.6</v>
      </c>
    </row>
    <row r="288" spans="1:15" x14ac:dyDescent="0.3">
      <c r="A288" s="3">
        <v>44744.469861111109</v>
      </c>
      <c r="B288" s="6" t="s">
        <v>2</v>
      </c>
      <c r="C288" s="9">
        <v>1127.97</v>
      </c>
      <c r="D288" s="9">
        <v>300000</v>
      </c>
      <c r="E288" s="6">
        <v>0</v>
      </c>
      <c r="F288" s="6">
        <v>0</v>
      </c>
      <c r="G288" s="9">
        <v>0</v>
      </c>
      <c r="H288" s="9">
        <v>0</v>
      </c>
      <c r="I288" s="9">
        <v>0</v>
      </c>
      <c r="J288" s="9">
        <v>0</v>
      </c>
      <c r="K288" s="12">
        <v>301127.96999999997</v>
      </c>
      <c r="L288" s="13">
        <f t="shared" si="18"/>
        <v>0</v>
      </c>
      <c r="M288" s="15">
        <f t="shared" si="19"/>
        <v>0</v>
      </c>
      <c r="N288" s="15" t="str">
        <f t="shared" si="16"/>
        <v>-</v>
      </c>
      <c r="O288" s="16">
        <f t="shared" si="17"/>
        <v>0</v>
      </c>
    </row>
    <row r="289" spans="1:15" x14ac:dyDescent="0.3">
      <c r="A289" s="3">
        <v>44744.681388888886</v>
      </c>
      <c r="B289" s="6" t="s">
        <v>3</v>
      </c>
      <c r="C289" s="9">
        <v>301127.96999999997</v>
      </c>
      <c r="D289" s="9">
        <v>0</v>
      </c>
      <c r="E289" s="6">
        <v>0</v>
      </c>
      <c r="F289" s="6">
        <v>265.97000000000003</v>
      </c>
      <c r="G289" s="9">
        <v>220595.28</v>
      </c>
      <c r="H289" s="9">
        <v>77208.36</v>
      </c>
      <c r="I289" s="9">
        <v>2978</v>
      </c>
      <c r="J289" s="9">
        <v>300781.64</v>
      </c>
      <c r="K289" s="12">
        <v>346.33</v>
      </c>
      <c r="L289" s="13">
        <f t="shared" si="18"/>
        <v>0.35000005439826276</v>
      </c>
      <c r="M289" s="15">
        <f t="shared" si="19"/>
        <v>1.3499835535918991E-2</v>
      </c>
      <c r="N289" s="15" t="str">
        <f t="shared" si="16"/>
        <v>Liquor</v>
      </c>
      <c r="O289" s="16">
        <f t="shared" si="17"/>
        <v>354.62666666666672</v>
      </c>
    </row>
    <row r="290" spans="1:15" x14ac:dyDescent="0.3">
      <c r="A290" s="3">
        <v>44753.353425925925</v>
      </c>
      <c r="B290" s="6" t="s">
        <v>2</v>
      </c>
      <c r="C290" s="9">
        <v>346.33</v>
      </c>
      <c r="D290" s="9">
        <v>340000</v>
      </c>
      <c r="E290" s="6">
        <v>0</v>
      </c>
      <c r="F290" s="6">
        <v>0</v>
      </c>
      <c r="G290" s="9">
        <v>0</v>
      </c>
      <c r="H290" s="9">
        <v>0</v>
      </c>
      <c r="I290" s="9">
        <v>0</v>
      </c>
      <c r="J290" s="9">
        <v>0</v>
      </c>
      <c r="K290" s="12">
        <v>340346.33</v>
      </c>
      <c r="L290" s="13">
        <f t="shared" si="18"/>
        <v>0</v>
      </c>
      <c r="M290" s="15">
        <f t="shared" si="19"/>
        <v>0</v>
      </c>
      <c r="N290" s="15" t="str">
        <f t="shared" si="16"/>
        <v>-</v>
      </c>
      <c r="O290" s="16">
        <f t="shared" si="17"/>
        <v>0</v>
      </c>
    </row>
    <row r="291" spans="1:15" x14ac:dyDescent="0.3">
      <c r="A291" s="3">
        <v>44753.683125000003</v>
      </c>
      <c r="B291" s="6" t="s">
        <v>3</v>
      </c>
      <c r="C291" s="9">
        <v>340346.33</v>
      </c>
      <c r="D291" s="9">
        <v>0</v>
      </c>
      <c r="E291" s="6">
        <v>0</v>
      </c>
      <c r="F291" s="6">
        <v>281.51</v>
      </c>
      <c r="G291" s="9">
        <v>245484.55</v>
      </c>
      <c r="H291" s="9">
        <v>85919.58</v>
      </c>
      <c r="I291" s="9">
        <v>3314</v>
      </c>
      <c r="J291" s="9">
        <v>334718.13</v>
      </c>
      <c r="K291" s="12">
        <v>5628.2</v>
      </c>
      <c r="L291" s="13">
        <f t="shared" si="18"/>
        <v>0.34999994908029858</v>
      </c>
      <c r="M291" s="15">
        <f t="shared" si="19"/>
        <v>1.3499831252109349E-2</v>
      </c>
      <c r="N291" s="15" t="str">
        <f t="shared" si="16"/>
        <v>Liquor</v>
      </c>
      <c r="O291" s="16">
        <f t="shared" si="17"/>
        <v>375.34666666666664</v>
      </c>
    </row>
    <row r="292" spans="1:15" x14ac:dyDescent="0.3">
      <c r="A292" s="3">
        <v>44760.453449074077</v>
      </c>
      <c r="B292" s="6" t="s">
        <v>2</v>
      </c>
      <c r="C292" s="9">
        <v>5628.2</v>
      </c>
      <c r="D292" s="9">
        <v>150000</v>
      </c>
      <c r="E292" s="6">
        <v>0</v>
      </c>
      <c r="F292" s="6">
        <v>0</v>
      </c>
      <c r="G292" s="9">
        <v>0</v>
      </c>
      <c r="H292" s="9">
        <v>0</v>
      </c>
      <c r="I292" s="9">
        <v>0</v>
      </c>
      <c r="J292" s="9">
        <v>0</v>
      </c>
      <c r="K292" s="12">
        <v>155628.20000000001</v>
      </c>
      <c r="L292" s="13">
        <f t="shared" si="18"/>
        <v>0</v>
      </c>
      <c r="M292" s="15">
        <f t="shared" si="19"/>
        <v>0</v>
      </c>
      <c r="N292" s="15" t="str">
        <f t="shared" si="16"/>
        <v>-</v>
      </c>
      <c r="O292" s="16">
        <f t="shared" si="17"/>
        <v>0</v>
      </c>
    </row>
    <row r="293" spans="1:15" x14ac:dyDescent="0.3">
      <c r="A293" s="3">
        <v>44762.470682870371</v>
      </c>
      <c r="B293" s="6" t="s">
        <v>2</v>
      </c>
      <c r="C293" s="9">
        <v>155628.20000000001</v>
      </c>
      <c r="D293" s="9">
        <v>75000</v>
      </c>
      <c r="E293" s="6">
        <v>0</v>
      </c>
      <c r="F293" s="6">
        <v>0</v>
      </c>
      <c r="G293" s="9">
        <v>0</v>
      </c>
      <c r="H293" s="9">
        <v>0</v>
      </c>
      <c r="I293" s="9">
        <v>0</v>
      </c>
      <c r="J293" s="9">
        <v>0</v>
      </c>
      <c r="K293" s="12">
        <v>230628.2</v>
      </c>
      <c r="L293" s="13">
        <f t="shared" si="18"/>
        <v>0</v>
      </c>
      <c r="M293" s="15">
        <f t="shared" si="19"/>
        <v>0</v>
      </c>
      <c r="N293" s="15" t="str">
        <f t="shared" si="16"/>
        <v>-</v>
      </c>
      <c r="O293" s="16">
        <f t="shared" si="17"/>
        <v>0</v>
      </c>
    </row>
    <row r="294" spans="1:15" x14ac:dyDescent="0.3">
      <c r="A294" s="3">
        <v>44762.706064814818</v>
      </c>
      <c r="B294" s="6" t="s">
        <v>3</v>
      </c>
      <c r="C294" s="9">
        <v>230628.2</v>
      </c>
      <c r="D294" s="9">
        <v>0</v>
      </c>
      <c r="E294" s="6">
        <v>0</v>
      </c>
      <c r="F294" s="6">
        <v>40.44</v>
      </c>
      <c r="G294" s="9">
        <v>47578.3</v>
      </c>
      <c r="H294" s="9">
        <v>16652.41</v>
      </c>
      <c r="I294" s="9">
        <v>642</v>
      </c>
      <c r="J294" s="9">
        <v>64872.71</v>
      </c>
      <c r="K294" s="12">
        <v>165755.49</v>
      </c>
      <c r="L294" s="13">
        <f t="shared" si="18"/>
        <v>0.35000010508992541</v>
      </c>
      <c r="M294" s="15">
        <f t="shared" si="19"/>
        <v>1.3493546427678164E-2</v>
      </c>
      <c r="N294" s="15" t="str">
        <f t="shared" si="16"/>
        <v>Liquor</v>
      </c>
      <c r="O294" s="16">
        <f t="shared" si="17"/>
        <v>53.919999999999995</v>
      </c>
    </row>
    <row r="295" spans="1:15" x14ac:dyDescent="0.3">
      <c r="A295" s="3">
        <v>44762.706666666665</v>
      </c>
      <c r="B295" s="6" t="s">
        <v>3</v>
      </c>
      <c r="C295" s="9">
        <v>165755.49</v>
      </c>
      <c r="D295" s="9">
        <v>0</v>
      </c>
      <c r="E295" s="6">
        <v>736.2</v>
      </c>
      <c r="F295" s="6">
        <v>0</v>
      </c>
      <c r="G295" s="9">
        <v>121349.39</v>
      </c>
      <c r="H295" s="9">
        <v>42472.29</v>
      </c>
      <c r="I295" s="9">
        <v>1638</v>
      </c>
      <c r="J295" s="9">
        <v>165459.68</v>
      </c>
      <c r="K295" s="12">
        <v>295.81</v>
      </c>
      <c r="L295" s="13">
        <f t="shared" si="18"/>
        <v>0.350000028842337</v>
      </c>
      <c r="M295" s="15">
        <f t="shared" si="19"/>
        <v>1.3498213711663487E-2</v>
      </c>
      <c r="N295" s="15" t="str">
        <f t="shared" si="16"/>
        <v>Beer</v>
      </c>
      <c r="O295" s="16">
        <f t="shared" si="17"/>
        <v>736.2</v>
      </c>
    </row>
    <row r="296" spans="1:15" x14ac:dyDescent="0.3">
      <c r="A296" s="3">
        <v>44771.456863425927</v>
      </c>
      <c r="B296" s="6" t="s">
        <v>2</v>
      </c>
      <c r="C296" s="9">
        <v>295.81</v>
      </c>
      <c r="D296" s="9">
        <v>320000</v>
      </c>
      <c r="E296" s="6">
        <v>0</v>
      </c>
      <c r="F296" s="6">
        <v>0</v>
      </c>
      <c r="G296" s="9">
        <v>0</v>
      </c>
      <c r="H296" s="9">
        <v>0</v>
      </c>
      <c r="I296" s="9">
        <v>0</v>
      </c>
      <c r="J296" s="9">
        <v>0</v>
      </c>
      <c r="K296" s="12">
        <v>320295.81</v>
      </c>
      <c r="L296" s="13">
        <f t="shared" si="18"/>
        <v>0</v>
      </c>
      <c r="M296" s="15">
        <f t="shared" si="19"/>
        <v>0</v>
      </c>
      <c r="N296" s="15" t="str">
        <f t="shared" si="16"/>
        <v>-</v>
      </c>
      <c r="O296" s="16">
        <f t="shared" si="17"/>
        <v>0</v>
      </c>
    </row>
    <row r="297" spans="1:15" x14ac:dyDescent="0.3">
      <c r="A297" s="3">
        <v>44771.664525462962</v>
      </c>
      <c r="B297" s="6" t="s">
        <v>3</v>
      </c>
      <c r="C297" s="9">
        <v>320295.81</v>
      </c>
      <c r="D297" s="9">
        <v>0</v>
      </c>
      <c r="E297" s="6">
        <v>0</v>
      </c>
      <c r="F297" s="6">
        <v>257.18</v>
      </c>
      <c r="G297" s="9">
        <v>234821.48</v>
      </c>
      <c r="H297" s="9">
        <v>82187.520000000004</v>
      </c>
      <c r="I297" s="9">
        <v>3170</v>
      </c>
      <c r="J297" s="9">
        <v>320179</v>
      </c>
      <c r="K297" s="12">
        <v>116.81</v>
      </c>
      <c r="L297" s="13">
        <f t="shared" si="18"/>
        <v>0.35000000851710839</v>
      </c>
      <c r="M297" s="15">
        <f t="shared" si="19"/>
        <v>1.3499616815293047E-2</v>
      </c>
      <c r="N297" s="15" t="str">
        <f t="shared" si="16"/>
        <v>Liquor</v>
      </c>
      <c r="O297" s="16">
        <f t="shared" si="17"/>
        <v>342.90666666666669</v>
      </c>
    </row>
    <row r="298" spans="1:15" x14ac:dyDescent="0.3">
      <c r="A298" s="3">
        <v>44774.462141203701</v>
      </c>
      <c r="B298" s="6" t="s">
        <v>2</v>
      </c>
      <c r="C298" s="9">
        <v>116.81</v>
      </c>
      <c r="D298" s="9">
        <v>130000</v>
      </c>
      <c r="E298" s="6">
        <v>0</v>
      </c>
      <c r="F298" s="6">
        <v>0</v>
      </c>
      <c r="G298" s="9">
        <v>0</v>
      </c>
      <c r="H298" s="9">
        <v>0</v>
      </c>
      <c r="I298" s="9">
        <v>0</v>
      </c>
      <c r="J298" s="9">
        <v>0</v>
      </c>
      <c r="K298" s="12">
        <v>130116.81</v>
      </c>
      <c r="L298" s="13">
        <f t="shared" si="18"/>
        <v>0</v>
      </c>
      <c r="M298" s="15">
        <f t="shared" si="19"/>
        <v>0</v>
      </c>
      <c r="N298" s="15" t="str">
        <f t="shared" si="16"/>
        <v>-</v>
      </c>
      <c r="O298" s="16">
        <f t="shared" si="17"/>
        <v>0</v>
      </c>
    </row>
    <row r="299" spans="1:15" x14ac:dyDescent="0.3">
      <c r="A299" s="3">
        <v>44774.664548611108</v>
      </c>
      <c r="B299" s="6" t="s">
        <v>3</v>
      </c>
      <c r="C299" s="9">
        <v>130116.81</v>
      </c>
      <c r="D299" s="9">
        <v>0</v>
      </c>
      <c r="E299" s="6">
        <v>560.16</v>
      </c>
      <c r="F299" s="6">
        <v>0</v>
      </c>
      <c r="G299" s="9">
        <v>94682.58</v>
      </c>
      <c r="H299" s="9">
        <v>33138.9</v>
      </c>
      <c r="I299" s="9">
        <v>1278</v>
      </c>
      <c r="J299" s="9">
        <v>129099.48</v>
      </c>
      <c r="K299" s="12">
        <v>1017.33</v>
      </c>
      <c r="L299" s="13">
        <f t="shared" si="18"/>
        <v>0.34999996831518532</v>
      </c>
      <c r="M299" s="15">
        <f t="shared" si="19"/>
        <v>1.3497731050421312E-2</v>
      </c>
      <c r="N299" s="15" t="str">
        <f t="shared" si="16"/>
        <v>Beer</v>
      </c>
      <c r="O299" s="16">
        <f t="shared" si="17"/>
        <v>560.16</v>
      </c>
    </row>
    <row r="300" spans="1:15" x14ac:dyDescent="0.3">
      <c r="A300" s="3">
        <v>44782.491979166669</v>
      </c>
      <c r="B300" s="6" t="s">
        <v>2</v>
      </c>
      <c r="C300" s="9">
        <v>1017.33</v>
      </c>
      <c r="D300" s="9">
        <v>280000</v>
      </c>
      <c r="E300" s="6">
        <v>0</v>
      </c>
      <c r="F300" s="6">
        <v>0</v>
      </c>
      <c r="G300" s="9">
        <v>0</v>
      </c>
      <c r="H300" s="9">
        <v>0</v>
      </c>
      <c r="I300" s="9">
        <v>0</v>
      </c>
      <c r="J300" s="9">
        <v>0</v>
      </c>
      <c r="K300" s="12">
        <v>281017.33</v>
      </c>
      <c r="L300" s="13">
        <f t="shared" si="18"/>
        <v>0</v>
      </c>
      <c r="M300" s="15">
        <f t="shared" si="19"/>
        <v>0</v>
      </c>
      <c r="N300" s="15" t="str">
        <f t="shared" si="16"/>
        <v>-</v>
      </c>
      <c r="O300" s="16">
        <f t="shared" si="17"/>
        <v>0</v>
      </c>
    </row>
    <row r="301" spans="1:15" x14ac:dyDescent="0.3">
      <c r="A301" s="3">
        <v>44782.539618055554</v>
      </c>
      <c r="B301" s="6" t="s">
        <v>3</v>
      </c>
      <c r="C301" s="9">
        <v>281017.33</v>
      </c>
      <c r="D301" s="9">
        <v>0</v>
      </c>
      <c r="E301" s="6">
        <v>293.39999999999998</v>
      </c>
      <c r="F301" s="6">
        <v>0</v>
      </c>
      <c r="G301" s="9">
        <v>49444.52</v>
      </c>
      <c r="H301" s="9">
        <v>17305.580000000002</v>
      </c>
      <c r="I301" s="9">
        <v>668</v>
      </c>
      <c r="J301" s="9">
        <v>67418.100000000006</v>
      </c>
      <c r="K301" s="12">
        <v>213599.23</v>
      </c>
      <c r="L301" s="13">
        <f t="shared" si="18"/>
        <v>0.34999995955062368</v>
      </c>
      <c r="M301" s="15">
        <f t="shared" si="19"/>
        <v>1.3510091714916033E-2</v>
      </c>
      <c r="N301" s="15" t="str">
        <f t="shared" si="16"/>
        <v>Beer</v>
      </c>
      <c r="O301" s="16">
        <f t="shared" si="17"/>
        <v>293.39999999999998</v>
      </c>
    </row>
    <row r="302" spans="1:15" x14ac:dyDescent="0.3">
      <c r="A302" s="3">
        <v>44782.54</v>
      </c>
      <c r="B302" s="6" t="s">
        <v>3</v>
      </c>
      <c r="C302" s="9">
        <v>213599.23</v>
      </c>
      <c r="D302" s="9">
        <v>0</v>
      </c>
      <c r="E302" s="6">
        <v>0</v>
      </c>
      <c r="F302" s="6">
        <v>123.93</v>
      </c>
      <c r="G302" s="9">
        <v>101349.23</v>
      </c>
      <c r="H302" s="9">
        <v>35472.230000000003</v>
      </c>
      <c r="I302" s="9">
        <v>1368</v>
      </c>
      <c r="J302" s="9">
        <v>138189.46</v>
      </c>
      <c r="K302" s="12">
        <v>75409.77</v>
      </c>
      <c r="L302" s="13">
        <f t="shared" si="18"/>
        <v>0.34999999506656343</v>
      </c>
      <c r="M302" s="15">
        <f t="shared" si="19"/>
        <v>1.3497882519679726E-2</v>
      </c>
      <c r="N302" s="15" t="str">
        <f t="shared" si="16"/>
        <v>Liquor</v>
      </c>
      <c r="O302" s="16">
        <f t="shared" si="17"/>
        <v>165.24</v>
      </c>
    </row>
    <row r="303" spans="1:15" x14ac:dyDescent="0.3">
      <c r="A303" s="3">
        <v>44785.46979166667</v>
      </c>
      <c r="B303" s="6" t="s">
        <v>2</v>
      </c>
      <c r="C303" s="9">
        <v>75409.77</v>
      </c>
      <c r="D303" s="9">
        <v>145000</v>
      </c>
      <c r="E303" s="6">
        <v>0</v>
      </c>
      <c r="F303" s="6">
        <v>0</v>
      </c>
      <c r="G303" s="9">
        <v>0</v>
      </c>
      <c r="H303" s="9">
        <v>0</v>
      </c>
      <c r="I303" s="9">
        <v>0</v>
      </c>
      <c r="J303" s="9">
        <v>0</v>
      </c>
      <c r="K303" s="12">
        <v>220409.77</v>
      </c>
      <c r="L303" s="13">
        <f t="shared" si="18"/>
        <v>0</v>
      </c>
      <c r="M303" s="15">
        <f t="shared" si="19"/>
        <v>0</v>
      </c>
      <c r="N303" s="15" t="str">
        <f t="shared" si="16"/>
        <v>-</v>
      </c>
      <c r="O303" s="16">
        <f t="shared" si="17"/>
        <v>0</v>
      </c>
    </row>
    <row r="304" spans="1:15" x14ac:dyDescent="0.3">
      <c r="A304" s="3">
        <v>44785.656886574077</v>
      </c>
      <c r="B304" s="6" t="s">
        <v>3</v>
      </c>
      <c r="C304" s="9">
        <v>220409.77</v>
      </c>
      <c r="D304" s="9">
        <v>0</v>
      </c>
      <c r="E304" s="6">
        <v>0</v>
      </c>
      <c r="F304" s="6">
        <v>172.07</v>
      </c>
      <c r="G304" s="9">
        <v>161319.65</v>
      </c>
      <c r="H304" s="9">
        <v>56461.88</v>
      </c>
      <c r="I304" s="9">
        <v>2178</v>
      </c>
      <c r="J304" s="9">
        <v>219959.53</v>
      </c>
      <c r="K304" s="12">
        <v>450.24</v>
      </c>
      <c r="L304" s="13">
        <f t="shared" si="18"/>
        <v>0.35000001549718213</v>
      </c>
      <c r="M304" s="15">
        <f t="shared" si="19"/>
        <v>1.350114508678887E-2</v>
      </c>
      <c r="N304" s="15" t="str">
        <f t="shared" si="16"/>
        <v>Liquor</v>
      </c>
      <c r="O304" s="16">
        <f t="shared" si="17"/>
        <v>229.42666666666665</v>
      </c>
    </row>
    <row r="305" spans="1:15" x14ac:dyDescent="0.3">
      <c r="A305" s="3">
        <v>44795.482870370368</v>
      </c>
      <c r="B305" s="6" t="s">
        <v>2</v>
      </c>
      <c r="C305" s="9">
        <v>450.24</v>
      </c>
      <c r="D305" s="9">
        <v>499900</v>
      </c>
      <c r="E305" s="6">
        <v>0</v>
      </c>
      <c r="F305" s="6">
        <v>0</v>
      </c>
      <c r="G305" s="9">
        <v>0</v>
      </c>
      <c r="H305" s="9">
        <v>0</v>
      </c>
      <c r="I305" s="9">
        <v>0</v>
      </c>
      <c r="J305" s="9">
        <v>0</v>
      </c>
      <c r="K305" s="12">
        <v>500350.24</v>
      </c>
      <c r="L305" s="13">
        <f t="shared" si="18"/>
        <v>0</v>
      </c>
      <c r="M305" s="15">
        <f t="shared" si="19"/>
        <v>0</v>
      </c>
      <c r="N305" s="15" t="str">
        <f t="shared" si="16"/>
        <v>-</v>
      </c>
      <c r="O305" s="16">
        <f t="shared" si="17"/>
        <v>0</v>
      </c>
    </row>
    <row r="306" spans="1:15" x14ac:dyDescent="0.3">
      <c r="A306" s="3">
        <v>44795.68986111111</v>
      </c>
      <c r="B306" s="6" t="s">
        <v>3</v>
      </c>
      <c r="C306" s="9">
        <v>500350.24</v>
      </c>
      <c r="D306" s="9">
        <v>0</v>
      </c>
      <c r="E306" s="6">
        <v>837.36</v>
      </c>
      <c r="F306" s="6">
        <v>0</v>
      </c>
      <c r="G306" s="9">
        <v>140714.45000000001</v>
      </c>
      <c r="H306" s="9">
        <v>49250.06</v>
      </c>
      <c r="I306" s="9">
        <v>1900</v>
      </c>
      <c r="J306" s="9">
        <v>191864.51</v>
      </c>
      <c r="K306" s="12">
        <v>308485.73</v>
      </c>
      <c r="L306" s="13">
        <f t="shared" si="18"/>
        <v>0.35000001776647666</v>
      </c>
      <c r="M306" s="15">
        <f t="shared" si="19"/>
        <v>1.3502522306699844E-2</v>
      </c>
      <c r="N306" s="15" t="str">
        <f t="shared" si="16"/>
        <v>Beer</v>
      </c>
      <c r="O306" s="16">
        <f t="shared" si="17"/>
        <v>837.36</v>
      </c>
    </row>
    <row r="307" spans="1:15" x14ac:dyDescent="0.3">
      <c r="A307" s="3">
        <v>44795.691562499997</v>
      </c>
      <c r="B307" s="6" t="s">
        <v>3</v>
      </c>
      <c r="C307" s="9">
        <v>308485.73</v>
      </c>
      <c r="D307" s="9">
        <v>0</v>
      </c>
      <c r="E307" s="6">
        <v>0</v>
      </c>
      <c r="F307" s="6">
        <v>243.07</v>
      </c>
      <c r="G307" s="9">
        <v>225654.72</v>
      </c>
      <c r="H307" s="9">
        <v>78979.149999999994</v>
      </c>
      <c r="I307" s="9">
        <v>3046</v>
      </c>
      <c r="J307" s="9">
        <v>307679.87</v>
      </c>
      <c r="K307" s="12">
        <v>805.86</v>
      </c>
      <c r="L307" s="13">
        <f t="shared" si="18"/>
        <v>0.3499999911369015</v>
      </c>
      <c r="M307" s="15">
        <f t="shared" si="19"/>
        <v>1.3498498945645808E-2</v>
      </c>
      <c r="N307" s="15" t="str">
        <f t="shared" si="16"/>
        <v>Liquor</v>
      </c>
      <c r="O307" s="16">
        <f t="shared" si="17"/>
        <v>324.09333333333331</v>
      </c>
    </row>
    <row r="308" spans="1:15" x14ac:dyDescent="0.3">
      <c r="A308" s="3">
        <v>44806.287175925929</v>
      </c>
      <c r="B308" s="6" t="s">
        <v>2</v>
      </c>
      <c r="C308" s="9">
        <v>805.86</v>
      </c>
      <c r="D308" s="9">
        <v>300000</v>
      </c>
      <c r="E308" s="6">
        <v>0</v>
      </c>
      <c r="F308" s="6">
        <v>0</v>
      </c>
      <c r="G308" s="9">
        <v>0</v>
      </c>
      <c r="H308" s="9">
        <v>0</v>
      </c>
      <c r="I308" s="9">
        <v>0</v>
      </c>
      <c r="J308" s="9">
        <v>0</v>
      </c>
      <c r="K308" s="12">
        <v>300805.86</v>
      </c>
      <c r="L308" s="13">
        <f t="shared" si="18"/>
        <v>0</v>
      </c>
      <c r="M308" s="15">
        <f t="shared" si="19"/>
        <v>0</v>
      </c>
      <c r="N308" s="15" t="str">
        <f t="shared" si="16"/>
        <v>-</v>
      </c>
      <c r="O308" s="16">
        <f t="shared" si="17"/>
        <v>0</v>
      </c>
    </row>
    <row r="309" spans="1:15" x14ac:dyDescent="0.3">
      <c r="A309" s="3">
        <v>44806.462199074071</v>
      </c>
      <c r="B309" s="6" t="s">
        <v>2</v>
      </c>
      <c r="C309" s="9">
        <v>300805.86</v>
      </c>
      <c r="D309" s="9">
        <v>199500</v>
      </c>
      <c r="E309" s="6">
        <v>0</v>
      </c>
      <c r="F309" s="6">
        <v>0</v>
      </c>
      <c r="G309" s="9">
        <v>0</v>
      </c>
      <c r="H309" s="9">
        <v>0</v>
      </c>
      <c r="I309" s="9">
        <v>0</v>
      </c>
      <c r="J309" s="9">
        <v>0</v>
      </c>
      <c r="K309" s="12">
        <v>500305.86</v>
      </c>
      <c r="L309" s="13">
        <f t="shared" si="18"/>
        <v>0</v>
      </c>
      <c r="M309" s="15">
        <f t="shared" si="19"/>
        <v>0</v>
      </c>
      <c r="N309" s="15" t="str">
        <f t="shared" si="16"/>
        <v>-</v>
      </c>
      <c r="O309" s="16">
        <f t="shared" si="17"/>
        <v>0</v>
      </c>
    </row>
    <row r="310" spans="1:15" x14ac:dyDescent="0.3">
      <c r="A310" s="3">
        <v>44806.676412037035</v>
      </c>
      <c r="B310" s="6" t="s">
        <v>3</v>
      </c>
      <c r="C310" s="9">
        <v>500305.86</v>
      </c>
      <c r="D310" s="9">
        <v>0</v>
      </c>
      <c r="E310" s="6">
        <v>582.6</v>
      </c>
      <c r="F310" s="6">
        <v>0</v>
      </c>
      <c r="G310" s="9">
        <v>98571.56</v>
      </c>
      <c r="H310" s="9">
        <v>34500.050000000003</v>
      </c>
      <c r="I310" s="9">
        <v>1331</v>
      </c>
      <c r="J310" s="9">
        <v>134402.60999999999</v>
      </c>
      <c r="K310" s="12">
        <v>365903.25</v>
      </c>
      <c r="L310" s="13">
        <f t="shared" si="18"/>
        <v>0.35000004057965606</v>
      </c>
      <c r="M310" s="15">
        <f t="shared" si="19"/>
        <v>1.3502880546883908E-2</v>
      </c>
      <c r="N310" s="15" t="str">
        <f t="shared" si="16"/>
        <v>Beer</v>
      </c>
      <c r="O310" s="16">
        <f t="shared" si="17"/>
        <v>582.6</v>
      </c>
    </row>
    <row r="311" spans="1:15" x14ac:dyDescent="0.3">
      <c r="A311" s="3">
        <v>44806.678159722222</v>
      </c>
      <c r="B311" s="6" t="s">
        <v>3</v>
      </c>
      <c r="C311" s="9">
        <v>365903.25</v>
      </c>
      <c r="D311" s="9">
        <v>0</v>
      </c>
      <c r="E311" s="6">
        <v>0</v>
      </c>
      <c r="F311" s="6">
        <v>287.97000000000003</v>
      </c>
      <c r="G311" s="9">
        <v>268260.88</v>
      </c>
      <c r="H311" s="9">
        <v>93891.31</v>
      </c>
      <c r="I311" s="9">
        <v>3622</v>
      </c>
      <c r="J311" s="9">
        <v>365774.19</v>
      </c>
      <c r="K311" s="12">
        <v>129.06</v>
      </c>
      <c r="L311" s="13">
        <f t="shared" si="18"/>
        <v>0.3500000074554292</v>
      </c>
      <c r="M311" s="15">
        <f t="shared" si="19"/>
        <v>1.3501782294906362E-2</v>
      </c>
      <c r="N311" s="15" t="str">
        <f t="shared" si="16"/>
        <v>Liquor</v>
      </c>
      <c r="O311" s="16">
        <f t="shared" si="17"/>
        <v>383.96000000000004</v>
      </c>
    </row>
    <row r="312" spans="1:15" x14ac:dyDescent="0.3">
      <c r="A312" s="3">
        <v>44816.484699074077</v>
      </c>
      <c r="B312" s="6" t="s">
        <v>2</v>
      </c>
      <c r="C312" s="9">
        <v>129.06</v>
      </c>
      <c r="D312" s="9">
        <v>100000</v>
      </c>
      <c r="E312" s="6">
        <v>0</v>
      </c>
      <c r="F312" s="6">
        <v>0</v>
      </c>
      <c r="G312" s="9">
        <v>0</v>
      </c>
      <c r="H312" s="9">
        <v>0</v>
      </c>
      <c r="I312" s="9">
        <v>0</v>
      </c>
      <c r="J312" s="9">
        <v>0</v>
      </c>
      <c r="K312" s="12">
        <v>100129.06</v>
      </c>
      <c r="L312" s="13">
        <f t="shared" si="18"/>
        <v>0</v>
      </c>
      <c r="M312" s="15">
        <f t="shared" si="19"/>
        <v>0</v>
      </c>
      <c r="N312" s="15" t="str">
        <f t="shared" si="16"/>
        <v>-</v>
      </c>
      <c r="O312" s="16">
        <f t="shared" si="17"/>
        <v>0</v>
      </c>
    </row>
    <row r="313" spans="1:15" x14ac:dyDescent="0.3">
      <c r="A313" s="3">
        <v>44816.495937500003</v>
      </c>
      <c r="B313" s="6" t="s">
        <v>2</v>
      </c>
      <c r="C313" s="9">
        <v>100129.06</v>
      </c>
      <c r="D313" s="9">
        <v>150000</v>
      </c>
      <c r="E313" s="6">
        <v>0</v>
      </c>
      <c r="F313" s="6">
        <v>0</v>
      </c>
      <c r="G313" s="9">
        <v>0</v>
      </c>
      <c r="H313" s="9">
        <v>0</v>
      </c>
      <c r="I313" s="9">
        <v>0</v>
      </c>
      <c r="J313" s="9">
        <v>0</v>
      </c>
      <c r="K313" s="12">
        <v>250129.06</v>
      </c>
      <c r="L313" s="13">
        <f t="shared" si="18"/>
        <v>0</v>
      </c>
      <c r="M313" s="15">
        <f t="shared" si="19"/>
        <v>0</v>
      </c>
      <c r="N313" s="15" t="str">
        <f t="shared" si="16"/>
        <v>-</v>
      </c>
      <c r="O313" s="16">
        <f t="shared" si="17"/>
        <v>0</v>
      </c>
    </row>
    <row r="314" spans="1:15" x14ac:dyDescent="0.3">
      <c r="A314" s="3">
        <v>44816.524050925924</v>
      </c>
      <c r="B314" s="6" t="s">
        <v>3</v>
      </c>
      <c r="C314" s="9">
        <v>250129.06</v>
      </c>
      <c r="D314" s="9">
        <v>0</v>
      </c>
      <c r="E314" s="6">
        <v>0</v>
      </c>
      <c r="F314" s="6">
        <v>211.68</v>
      </c>
      <c r="G314" s="9">
        <v>178174.62</v>
      </c>
      <c r="H314" s="9">
        <v>62361.120000000003</v>
      </c>
      <c r="I314" s="9">
        <v>2405</v>
      </c>
      <c r="J314" s="9">
        <v>242940.74</v>
      </c>
      <c r="K314" s="12">
        <v>7188.32</v>
      </c>
      <c r="L314" s="13">
        <f t="shared" si="18"/>
        <v>0.35000001683741494</v>
      </c>
      <c r="M314" s="15">
        <f t="shared" si="19"/>
        <v>1.3497994271013459E-2</v>
      </c>
      <c r="N314" s="15" t="str">
        <f t="shared" si="16"/>
        <v>Liquor</v>
      </c>
      <c r="O314" s="16">
        <f t="shared" si="17"/>
        <v>282.24</v>
      </c>
    </row>
    <row r="315" spans="1:15" x14ac:dyDescent="0.3">
      <c r="A315" s="3">
        <v>44819.475138888891</v>
      </c>
      <c r="B315" s="6" t="s">
        <v>2</v>
      </c>
      <c r="C315" s="9">
        <v>7188.32</v>
      </c>
      <c r="D315" s="9">
        <v>250000</v>
      </c>
      <c r="E315" s="6">
        <v>0</v>
      </c>
      <c r="F315" s="6">
        <v>0</v>
      </c>
      <c r="G315" s="9">
        <v>0</v>
      </c>
      <c r="H315" s="9">
        <v>0</v>
      </c>
      <c r="I315" s="9">
        <v>0</v>
      </c>
      <c r="J315" s="9">
        <v>0</v>
      </c>
      <c r="K315" s="12">
        <v>257188.32</v>
      </c>
      <c r="L315" s="13">
        <f t="shared" si="18"/>
        <v>0</v>
      </c>
      <c r="M315" s="15">
        <f t="shared" si="19"/>
        <v>0</v>
      </c>
      <c r="N315" s="15" t="str">
        <f t="shared" si="16"/>
        <v>-</v>
      </c>
      <c r="O315" s="16">
        <f t="shared" si="17"/>
        <v>0</v>
      </c>
    </row>
    <row r="316" spans="1:15" x14ac:dyDescent="0.3">
      <c r="A316" s="3">
        <v>44819.552372685182</v>
      </c>
      <c r="B316" s="6" t="s">
        <v>3</v>
      </c>
      <c r="C316" s="9">
        <v>257188.32</v>
      </c>
      <c r="D316" s="9">
        <v>0</v>
      </c>
      <c r="E316" s="6">
        <v>0</v>
      </c>
      <c r="F316" s="6">
        <v>161.72</v>
      </c>
      <c r="G316" s="9">
        <v>137552.95000000001</v>
      </c>
      <c r="H316" s="9">
        <v>48143.53</v>
      </c>
      <c r="I316" s="9">
        <v>1857</v>
      </c>
      <c r="J316" s="9">
        <v>187553.48</v>
      </c>
      <c r="K316" s="12">
        <v>69634.84</v>
      </c>
      <c r="L316" s="13">
        <f t="shared" si="18"/>
        <v>0.34999998182518072</v>
      </c>
      <c r="M316" s="15">
        <f t="shared" si="19"/>
        <v>1.3500255719706483E-2</v>
      </c>
      <c r="N316" s="15" t="str">
        <f t="shared" si="16"/>
        <v>Liquor</v>
      </c>
      <c r="O316" s="16">
        <f t="shared" si="17"/>
        <v>215.62666666666667</v>
      </c>
    </row>
    <row r="317" spans="1:15" x14ac:dyDescent="0.3">
      <c r="A317" s="3">
        <v>44819.637337962966</v>
      </c>
      <c r="B317" s="6" t="s">
        <v>3</v>
      </c>
      <c r="C317" s="9">
        <v>69634.84</v>
      </c>
      <c r="D317" s="9">
        <v>0</v>
      </c>
      <c r="E317" s="6">
        <v>306.24</v>
      </c>
      <c r="F317" s="6">
        <v>0</v>
      </c>
      <c r="G317" s="9">
        <v>51031.8</v>
      </c>
      <c r="H317" s="9">
        <v>17861.13</v>
      </c>
      <c r="I317" s="9">
        <v>689</v>
      </c>
      <c r="J317" s="9">
        <v>69581.929999999993</v>
      </c>
      <c r="K317" s="12">
        <v>52.91</v>
      </c>
      <c r="L317" s="13">
        <f t="shared" si="18"/>
        <v>0.35</v>
      </c>
      <c r="M317" s="15">
        <f t="shared" si="19"/>
        <v>1.3501385410665506E-2</v>
      </c>
      <c r="N317" s="15" t="str">
        <f t="shared" si="16"/>
        <v>Beer</v>
      </c>
      <c r="O317" s="16">
        <f t="shared" si="17"/>
        <v>306.24</v>
      </c>
    </row>
    <row r="318" spans="1:15" x14ac:dyDescent="0.3">
      <c r="A318" s="3">
        <v>44826.490682870368</v>
      </c>
      <c r="B318" s="6" t="s">
        <v>2</v>
      </c>
      <c r="C318" s="9">
        <v>52.91</v>
      </c>
      <c r="D318" s="9">
        <v>300000</v>
      </c>
      <c r="E318" s="6">
        <v>0</v>
      </c>
      <c r="F318" s="6">
        <v>0</v>
      </c>
      <c r="G318" s="9">
        <v>0</v>
      </c>
      <c r="H318" s="9">
        <v>0</v>
      </c>
      <c r="I318" s="9">
        <v>0</v>
      </c>
      <c r="J318" s="9">
        <v>0</v>
      </c>
      <c r="K318" s="12">
        <v>300052.90999999997</v>
      </c>
      <c r="L318" s="13">
        <f t="shared" si="18"/>
        <v>0</v>
      </c>
      <c r="M318" s="15">
        <f t="shared" si="19"/>
        <v>0</v>
      </c>
      <c r="N318" s="15" t="str">
        <f t="shared" si="16"/>
        <v>-</v>
      </c>
      <c r="O318" s="16">
        <f t="shared" si="17"/>
        <v>0</v>
      </c>
    </row>
    <row r="319" spans="1:15" x14ac:dyDescent="0.3">
      <c r="A319" s="3">
        <v>44826.66170138889</v>
      </c>
      <c r="B319" s="6" t="s">
        <v>3</v>
      </c>
      <c r="C319" s="9">
        <v>300052.90999999997</v>
      </c>
      <c r="D319" s="9">
        <v>0</v>
      </c>
      <c r="E319" s="6">
        <v>326.39999999999998</v>
      </c>
      <c r="F319" s="6">
        <v>0</v>
      </c>
      <c r="G319" s="9">
        <v>52539.76</v>
      </c>
      <c r="H319" s="9">
        <v>18388.919999999998</v>
      </c>
      <c r="I319" s="9">
        <v>709</v>
      </c>
      <c r="J319" s="9">
        <v>71637.679999999993</v>
      </c>
      <c r="K319" s="12">
        <v>228415.23</v>
      </c>
      <c r="L319" s="13">
        <f t="shared" si="18"/>
        <v>0.35000007613281825</v>
      </c>
      <c r="M319" s="15">
        <f t="shared" si="19"/>
        <v>1.3494542038258263E-2</v>
      </c>
      <c r="N319" s="15" t="str">
        <f t="shared" si="16"/>
        <v>Beer</v>
      </c>
      <c r="O319" s="16">
        <f t="shared" si="17"/>
        <v>326.39999999999998</v>
      </c>
    </row>
    <row r="320" spans="1:15" x14ac:dyDescent="0.3">
      <c r="A320" s="3">
        <v>44826.67869212963</v>
      </c>
      <c r="B320" s="6" t="s">
        <v>3</v>
      </c>
      <c r="C320" s="9">
        <v>228415.23</v>
      </c>
      <c r="D320" s="9">
        <v>0</v>
      </c>
      <c r="E320" s="6">
        <v>0</v>
      </c>
      <c r="F320" s="6">
        <v>188.33</v>
      </c>
      <c r="G320" s="9">
        <v>158759.26999999999</v>
      </c>
      <c r="H320" s="9">
        <v>55565.74</v>
      </c>
      <c r="I320" s="9">
        <v>2143</v>
      </c>
      <c r="J320" s="9">
        <v>216468.01</v>
      </c>
      <c r="K320" s="12">
        <v>11947.22</v>
      </c>
      <c r="L320" s="13">
        <f t="shared" si="18"/>
        <v>0.34999997165519847</v>
      </c>
      <c r="M320" s="15">
        <f t="shared" si="19"/>
        <v>1.3498424375471114E-2</v>
      </c>
      <c r="N320" s="15" t="str">
        <f t="shared" si="16"/>
        <v>Liquor</v>
      </c>
      <c r="O320" s="16">
        <f t="shared" si="17"/>
        <v>251.10666666666668</v>
      </c>
    </row>
    <row r="321" spans="1:15" x14ac:dyDescent="0.3">
      <c r="A321" s="3">
        <v>44833.412777777776</v>
      </c>
      <c r="B321" s="6" t="s">
        <v>2</v>
      </c>
      <c r="C321" s="9">
        <v>11947.22</v>
      </c>
      <c r="D321" s="9">
        <v>92000</v>
      </c>
      <c r="E321" s="6">
        <v>0</v>
      </c>
      <c r="F321" s="6">
        <v>0</v>
      </c>
      <c r="G321" s="9">
        <v>0</v>
      </c>
      <c r="H321" s="9">
        <v>0</v>
      </c>
      <c r="I321" s="9">
        <v>0</v>
      </c>
      <c r="J321" s="9">
        <v>0</v>
      </c>
      <c r="K321" s="12">
        <v>103947.22</v>
      </c>
      <c r="L321" s="13">
        <f t="shared" si="18"/>
        <v>0</v>
      </c>
      <c r="M321" s="15">
        <f t="shared" si="19"/>
        <v>0</v>
      </c>
      <c r="N321" s="15" t="str">
        <f t="shared" si="16"/>
        <v>-</v>
      </c>
      <c r="O321" s="16">
        <f t="shared" si="17"/>
        <v>0</v>
      </c>
    </row>
    <row r="322" spans="1:15" x14ac:dyDescent="0.3">
      <c r="A322" s="3">
        <v>44833.49417824074</v>
      </c>
      <c r="B322" s="6" t="s">
        <v>3</v>
      </c>
      <c r="C322" s="9">
        <v>103947.22</v>
      </c>
      <c r="D322" s="9">
        <v>0</v>
      </c>
      <c r="E322" s="6">
        <v>406.32</v>
      </c>
      <c r="F322" s="6">
        <v>0</v>
      </c>
      <c r="G322" s="9">
        <v>66349.289999999994</v>
      </c>
      <c r="H322" s="9">
        <v>23222.27</v>
      </c>
      <c r="I322" s="9">
        <v>896</v>
      </c>
      <c r="J322" s="9">
        <v>90467.56</v>
      </c>
      <c r="K322" s="12">
        <v>13479.66</v>
      </c>
      <c r="L322" s="13">
        <f t="shared" si="18"/>
        <v>0.3500002788273997</v>
      </c>
      <c r="M322" s="15">
        <f t="shared" si="19"/>
        <v>1.3504289194353099E-2</v>
      </c>
      <c r="N322" s="15" t="str">
        <f t="shared" si="16"/>
        <v>Beer</v>
      </c>
      <c r="O322" s="16">
        <f t="shared" si="17"/>
        <v>406.32</v>
      </c>
    </row>
    <row r="323" spans="1:15" x14ac:dyDescent="0.3">
      <c r="A323" s="3">
        <v>44835.466944444444</v>
      </c>
      <c r="B323" s="6" t="s">
        <v>2</v>
      </c>
      <c r="C323" s="9">
        <v>13479.66</v>
      </c>
      <c r="D323" s="9">
        <v>185000</v>
      </c>
      <c r="E323" s="6">
        <v>0</v>
      </c>
      <c r="F323" s="6">
        <v>0</v>
      </c>
      <c r="G323" s="9">
        <v>0</v>
      </c>
      <c r="H323" s="9">
        <v>0</v>
      </c>
      <c r="I323" s="9">
        <v>0</v>
      </c>
      <c r="J323" s="9">
        <v>0</v>
      </c>
      <c r="K323" s="12">
        <v>198479.66</v>
      </c>
      <c r="L323" s="13">
        <f t="shared" si="18"/>
        <v>0</v>
      </c>
      <c r="M323" s="15">
        <f t="shared" si="19"/>
        <v>0</v>
      </c>
      <c r="N323" s="15" t="str">
        <f t="shared" ref="N323:N386" si="20">IF($E323&lt;&gt;0,"Beer",IF($F323&lt;&gt;0,"Liquor","-"))</f>
        <v>-</v>
      </c>
      <c r="O323" s="16">
        <f t="shared" ref="O323:O386" si="21">IF($E323&lt;&gt;0,$E323,IF($F323&lt;&gt;0,$F323/0.75,0))</f>
        <v>0</v>
      </c>
    </row>
    <row r="324" spans="1:15" x14ac:dyDescent="0.3">
      <c r="A324" s="3">
        <v>44835.505254629628</v>
      </c>
      <c r="B324" s="6" t="s">
        <v>3</v>
      </c>
      <c r="C324" s="9">
        <v>198479.66</v>
      </c>
      <c r="D324" s="9">
        <v>0</v>
      </c>
      <c r="E324" s="6">
        <v>0</v>
      </c>
      <c r="F324" s="6">
        <v>166.05</v>
      </c>
      <c r="G324" s="9">
        <v>144523.85999999999</v>
      </c>
      <c r="H324" s="9">
        <v>50583.35</v>
      </c>
      <c r="I324" s="9">
        <v>1951</v>
      </c>
      <c r="J324" s="9">
        <v>197058.21</v>
      </c>
      <c r="K324" s="12">
        <v>1421.45</v>
      </c>
      <c r="L324" s="13">
        <f t="shared" ref="L324:L387" si="22">IFERROR(H324/$G324,0)</f>
        <v>0.34999999308072732</v>
      </c>
      <c r="M324" s="15">
        <f t="shared" ref="M324:M387" si="23">IFERROR(I324/$G324,0)</f>
        <v>1.3499501051245104E-2</v>
      </c>
      <c r="N324" s="15" t="str">
        <f t="shared" si="20"/>
        <v>Liquor</v>
      </c>
      <c r="O324" s="16">
        <f t="shared" si="21"/>
        <v>221.4</v>
      </c>
    </row>
    <row r="325" spans="1:15" x14ac:dyDescent="0.3">
      <c r="A325" s="3">
        <v>44841.318414351852</v>
      </c>
      <c r="B325" s="6" t="s">
        <v>2</v>
      </c>
      <c r="C325" s="9">
        <v>1421.45</v>
      </c>
      <c r="D325" s="9">
        <v>100000</v>
      </c>
      <c r="E325" s="6">
        <v>0</v>
      </c>
      <c r="F325" s="6">
        <v>0</v>
      </c>
      <c r="G325" s="9">
        <v>0</v>
      </c>
      <c r="H325" s="9">
        <v>0</v>
      </c>
      <c r="I325" s="9">
        <v>0</v>
      </c>
      <c r="J325" s="9">
        <v>0</v>
      </c>
      <c r="K325" s="12">
        <v>101421.45</v>
      </c>
      <c r="L325" s="13">
        <f t="shared" si="22"/>
        <v>0</v>
      </c>
      <c r="M325" s="15">
        <f t="shared" si="23"/>
        <v>0</v>
      </c>
      <c r="N325" s="15" t="str">
        <f t="shared" si="20"/>
        <v>-</v>
      </c>
      <c r="O325" s="16">
        <f t="shared" si="21"/>
        <v>0</v>
      </c>
    </row>
    <row r="326" spans="1:15" x14ac:dyDescent="0.3">
      <c r="A326" s="3">
        <v>44841.422500000001</v>
      </c>
      <c r="B326" s="6" t="s">
        <v>3</v>
      </c>
      <c r="C326" s="9">
        <v>101421.45</v>
      </c>
      <c r="D326" s="9">
        <v>0</v>
      </c>
      <c r="E326" s="6">
        <v>444.72</v>
      </c>
      <c r="F326" s="6">
        <v>0</v>
      </c>
      <c r="G326" s="9">
        <v>74047.7</v>
      </c>
      <c r="H326" s="9">
        <v>25916.7</v>
      </c>
      <c r="I326" s="9">
        <v>1000</v>
      </c>
      <c r="J326" s="9">
        <v>100964.4</v>
      </c>
      <c r="K326" s="12">
        <v>457.05</v>
      </c>
      <c r="L326" s="13">
        <f t="shared" si="22"/>
        <v>0.35000006752404195</v>
      </c>
      <c r="M326" s="15">
        <f t="shared" si="23"/>
        <v>1.3504808387026201E-2</v>
      </c>
      <c r="N326" s="15" t="str">
        <f t="shared" si="20"/>
        <v>Beer</v>
      </c>
      <c r="O326" s="16">
        <f t="shared" si="21"/>
        <v>444.72</v>
      </c>
    </row>
    <row r="327" spans="1:15" x14ac:dyDescent="0.3">
      <c r="A327" s="3">
        <v>44845.483680555553</v>
      </c>
      <c r="B327" s="6" t="s">
        <v>2</v>
      </c>
      <c r="C327" s="9">
        <v>457.05</v>
      </c>
      <c r="D327" s="9">
        <v>499500</v>
      </c>
      <c r="E327" s="6">
        <v>0</v>
      </c>
      <c r="F327" s="6">
        <v>0</v>
      </c>
      <c r="G327" s="9">
        <v>0</v>
      </c>
      <c r="H327" s="9">
        <v>0</v>
      </c>
      <c r="I327" s="9">
        <v>0</v>
      </c>
      <c r="J327" s="9">
        <v>0</v>
      </c>
      <c r="K327" s="12">
        <v>499957.05</v>
      </c>
      <c r="L327" s="13">
        <f t="shared" si="22"/>
        <v>0</v>
      </c>
      <c r="M327" s="15">
        <f t="shared" si="23"/>
        <v>0</v>
      </c>
      <c r="N327" s="15" t="str">
        <f t="shared" si="20"/>
        <v>-</v>
      </c>
      <c r="O327" s="16">
        <f t="shared" si="21"/>
        <v>0</v>
      </c>
    </row>
    <row r="328" spans="1:15" x14ac:dyDescent="0.3">
      <c r="A328" s="3">
        <v>44845.642071759263</v>
      </c>
      <c r="B328" s="6" t="s">
        <v>3</v>
      </c>
      <c r="C328" s="9">
        <v>499957.05</v>
      </c>
      <c r="D328" s="9">
        <v>0</v>
      </c>
      <c r="E328" s="6">
        <v>0</v>
      </c>
      <c r="F328" s="6">
        <v>417.22</v>
      </c>
      <c r="G328" s="9">
        <v>366031.84</v>
      </c>
      <c r="H328" s="9">
        <v>128111.14</v>
      </c>
      <c r="I328" s="9">
        <v>4941</v>
      </c>
      <c r="J328" s="9">
        <v>499083.98</v>
      </c>
      <c r="K328" s="12">
        <v>873.07</v>
      </c>
      <c r="L328" s="13">
        <f t="shared" si="22"/>
        <v>0.34999998907198893</v>
      </c>
      <c r="M328" s="15">
        <f t="shared" si="23"/>
        <v>1.3498825675930267E-2</v>
      </c>
      <c r="N328" s="15" t="str">
        <f t="shared" si="20"/>
        <v>Liquor</v>
      </c>
      <c r="O328" s="16">
        <f t="shared" si="21"/>
        <v>556.29333333333341</v>
      </c>
    </row>
    <row r="329" spans="1:15" x14ac:dyDescent="0.3">
      <c r="A329" s="3">
        <v>44856.474953703706</v>
      </c>
      <c r="B329" s="6" t="s">
        <v>2</v>
      </c>
      <c r="C329" s="9">
        <v>873.07</v>
      </c>
      <c r="D329" s="9">
        <v>50000</v>
      </c>
      <c r="E329" s="6">
        <v>0</v>
      </c>
      <c r="F329" s="6">
        <v>0</v>
      </c>
      <c r="G329" s="9">
        <v>0</v>
      </c>
      <c r="H329" s="9">
        <v>0</v>
      </c>
      <c r="I329" s="9">
        <v>0</v>
      </c>
      <c r="J329" s="9">
        <v>0</v>
      </c>
      <c r="K329" s="12">
        <v>50873.07</v>
      </c>
      <c r="L329" s="13">
        <f t="shared" si="22"/>
        <v>0</v>
      </c>
      <c r="M329" s="15">
        <f t="shared" si="23"/>
        <v>0</v>
      </c>
      <c r="N329" s="15" t="str">
        <f t="shared" si="20"/>
        <v>-</v>
      </c>
      <c r="O329" s="16">
        <f t="shared" si="21"/>
        <v>0</v>
      </c>
    </row>
    <row r="330" spans="1:15" x14ac:dyDescent="0.3">
      <c r="A330" s="3">
        <v>44856.479247685187</v>
      </c>
      <c r="B330" s="6" t="s">
        <v>2</v>
      </c>
      <c r="C330" s="9">
        <v>50873.07</v>
      </c>
      <c r="D330" s="9">
        <v>9000</v>
      </c>
      <c r="E330" s="6">
        <v>0</v>
      </c>
      <c r="F330" s="6">
        <v>0</v>
      </c>
      <c r="G330" s="9">
        <v>0</v>
      </c>
      <c r="H330" s="9">
        <v>0</v>
      </c>
      <c r="I330" s="9">
        <v>0</v>
      </c>
      <c r="J330" s="9">
        <v>0</v>
      </c>
      <c r="K330" s="12">
        <v>59873.07</v>
      </c>
      <c r="L330" s="13">
        <f t="shared" si="22"/>
        <v>0</v>
      </c>
      <c r="M330" s="15">
        <f t="shared" si="23"/>
        <v>0</v>
      </c>
      <c r="N330" s="15" t="str">
        <f t="shared" si="20"/>
        <v>-</v>
      </c>
      <c r="O330" s="16">
        <f t="shared" si="21"/>
        <v>0</v>
      </c>
    </row>
    <row r="331" spans="1:15" x14ac:dyDescent="0.3">
      <c r="A331" s="3">
        <v>44856.643645833334</v>
      </c>
      <c r="B331" s="6" t="s">
        <v>3</v>
      </c>
      <c r="C331" s="9">
        <v>59873.07</v>
      </c>
      <c r="D331" s="9">
        <v>0</v>
      </c>
      <c r="E331" s="6">
        <v>0</v>
      </c>
      <c r="F331" s="6">
        <v>51.84</v>
      </c>
      <c r="G331" s="9">
        <v>43492.08</v>
      </c>
      <c r="H331" s="9">
        <v>15222.23</v>
      </c>
      <c r="I331" s="9">
        <v>587</v>
      </c>
      <c r="J331" s="9">
        <v>59301.31</v>
      </c>
      <c r="K331" s="12">
        <v>571.76</v>
      </c>
      <c r="L331" s="13">
        <f t="shared" si="22"/>
        <v>0.35000004598538398</v>
      </c>
      <c r="M331" s="15">
        <f t="shared" si="23"/>
        <v>1.3496710205628242E-2</v>
      </c>
      <c r="N331" s="15" t="str">
        <f t="shared" si="20"/>
        <v>Liquor</v>
      </c>
      <c r="O331" s="16">
        <f t="shared" si="21"/>
        <v>69.12</v>
      </c>
    </row>
    <row r="332" spans="1:15" x14ac:dyDescent="0.3">
      <c r="A332" s="3">
        <v>44866.461076388892</v>
      </c>
      <c r="B332" s="6" t="s">
        <v>2</v>
      </c>
      <c r="C332" s="9">
        <v>571.76</v>
      </c>
      <c r="D332" s="9">
        <v>118000</v>
      </c>
      <c r="E332" s="6">
        <v>0</v>
      </c>
      <c r="F332" s="6">
        <v>0</v>
      </c>
      <c r="G332" s="9">
        <v>0</v>
      </c>
      <c r="H332" s="9">
        <v>0</v>
      </c>
      <c r="I332" s="9">
        <v>0</v>
      </c>
      <c r="J332" s="9">
        <v>0</v>
      </c>
      <c r="K332" s="12">
        <v>118571.76</v>
      </c>
      <c r="L332" s="13">
        <f t="shared" si="22"/>
        <v>0</v>
      </c>
      <c r="M332" s="15">
        <f t="shared" si="23"/>
        <v>0</v>
      </c>
      <c r="N332" s="15" t="str">
        <f t="shared" si="20"/>
        <v>-</v>
      </c>
      <c r="O332" s="16">
        <f t="shared" si="21"/>
        <v>0</v>
      </c>
    </row>
    <row r="333" spans="1:15" x14ac:dyDescent="0.3">
      <c r="A333" s="3">
        <v>44866.507060185184</v>
      </c>
      <c r="B333" s="6" t="s">
        <v>3</v>
      </c>
      <c r="C333" s="9">
        <v>118571.76</v>
      </c>
      <c r="D333" s="9">
        <v>0</v>
      </c>
      <c r="E333" s="6">
        <v>0</v>
      </c>
      <c r="F333" s="6">
        <v>97.47</v>
      </c>
      <c r="G333" s="9">
        <v>86904.79</v>
      </c>
      <c r="H333" s="9">
        <v>30416.68</v>
      </c>
      <c r="I333" s="9">
        <v>1173</v>
      </c>
      <c r="J333" s="9">
        <v>118494.47</v>
      </c>
      <c r="K333" s="12">
        <v>77.290000000000006</v>
      </c>
      <c r="L333" s="13">
        <f t="shared" si="22"/>
        <v>0.35000004027395959</v>
      </c>
      <c r="M333" s="15">
        <f t="shared" si="23"/>
        <v>1.349752988299034E-2</v>
      </c>
      <c r="N333" s="15" t="str">
        <f t="shared" si="20"/>
        <v>Liquor</v>
      </c>
      <c r="O333" s="16">
        <f t="shared" si="21"/>
        <v>129.96</v>
      </c>
    </row>
    <row r="334" spans="1:15" x14ac:dyDescent="0.3">
      <c r="A334" s="3">
        <v>44872.492326388892</v>
      </c>
      <c r="B334" s="6" t="s">
        <v>2</v>
      </c>
      <c r="C334" s="9">
        <v>77.290000000000006</v>
      </c>
      <c r="D334" s="9">
        <v>237000</v>
      </c>
      <c r="E334" s="6">
        <v>0</v>
      </c>
      <c r="F334" s="6">
        <v>0</v>
      </c>
      <c r="G334" s="9">
        <v>0</v>
      </c>
      <c r="H334" s="9">
        <v>0</v>
      </c>
      <c r="I334" s="9">
        <v>0</v>
      </c>
      <c r="J334" s="9">
        <v>0</v>
      </c>
      <c r="K334" s="12">
        <v>237077.29</v>
      </c>
      <c r="L334" s="13">
        <f t="shared" si="22"/>
        <v>0</v>
      </c>
      <c r="M334" s="15">
        <f t="shared" si="23"/>
        <v>0</v>
      </c>
      <c r="N334" s="15" t="str">
        <f t="shared" si="20"/>
        <v>-</v>
      </c>
      <c r="O334" s="16">
        <f t="shared" si="21"/>
        <v>0</v>
      </c>
    </row>
    <row r="335" spans="1:15" x14ac:dyDescent="0.3">
      <c r="A335" s="3">
        <v>44872.631493055553</v>
      </c>
      <c r="B335" s="6" t="s">
        <v>3</v>
      </c>
      <c r="C335" s="9">
        <v>237077.29</v>
      </c>
      <c r="D335" s="9">
        <v>0</v>
      </c>
      <c r="E335" s="6">
        <v>0</v>
      </c>
      <c r="F335" s="6">
        <v>196.33</v>
      </c>
      <c r="G335" s="9">
        <v>170337.35</v>
      </c>
      <c r="H335" s="9">
        <v>59618.07</v>
      </c>
      <c r="I335" s="9">
        <v>2300</v>
      </c>
      <c r="J335" s="9">
        <v>232255.42</v>
      </c>
      <c r="K335" s="12">
        <v>4821.87</v>
      </c>
      <c r="L335" s="13">
        <f t="shared" si="22"/>
        <v>0.34999998532324239</v>
      </c>
      <c r="M335" s="15">
        <f t="shared" si="23"/>
        <v>1.3502617012651659E-2</v>
      </c>
      <c r="N335" s="15" t="str">
        <f t="shared" si="20"/>
        <v>Liquor</v>
      </c>
      <c r="O335" s="16">
        <f t="shared" si="21"/>
        <v>261.77333333333337</v>
      </c>
    </row>
    <row r="336" spans="1:15" x14ac:dyDescent="0.3">
      <c r="A336" s="3">
        <v>44876.458032407405</v>
      </c>
      <c r="B336" s="6" t="s">
        <v>2</v>
      </c>
      <c r="C336" s="9">
        <v>4821.87</v>
      </c>
      <c r="D336" s="9">
        <v>260000</v>
      </c>
      <c r="E336" s="6">
        <v>0</v>
      </c>
      <c r="F336" s="6">
        <v>0</v>
      </c>
      <c r="G336" s="9">
        <v>0</v>
      </c>
      <c r="H336" s="9">
        <v>0</v>
      </c>
      <c r="I336" s="9">
        <v>0</v>
      </c>
      <c r="J336" s="9">
        <v>0</v>
      </c>
      <c r="K336" s="12">
        <v>264821.87</v>
      </c>
      <c r="L336" s="13">
        <f t="shared" si="22"/>
        <v>0</v>
      </c>
      <c r="M336" s="15">
        <f t="shared" si="23"/>
        <v>0</v>
      </c>
      <c r="N336" s="15" t="str">
        <f t="shared" si="20"/>
        <v>-</v>
      </c>
      <c r="O336" s="16">
        <f t="shared" si="21"/>
        <v>0</v>
      </c>
    </row>
    <row r="337" spans="1:15" x14ac:dyDescent="0.3">
      <c r="A337" s="3">
        <v>44876.675300925926</v>
      </c>
      <c r="B337" s="6" t="s">
        <v>3</v>
      </c>
      <c r="C337" s="9">
        <v>264821.87</v>
      </c>
      <c r="D337" s="9">
        <v>0</v>
      </c>
      <c r="E337" s="6">
        <v>0</v>
      </c>
      <c r="F337" s="6">
        <v>159.02000000000001</v>
      </c>
      <c r="G337" s="9">
        <v>135994.28</v>
      </c>
      <c r="H337" s="9">
        <v>47598</v>
      </c>
      <c r="I337" s="9">
        <v>1836</v>
      </c>
      <c r="J337" s="9">
        <v>185428.28</v>
      </c>
      <c r="K337" s="12">
        <v>79393.59</v>
      </c>
      <c r="L337" s="13">
        <f t="shared" si="22"/>
        <v>0.35000001470650088</v>
      </c>
      <c r="M337" s="15">
        <f t="shared" si="23"/>
        <v>1.3500567817999404E-2</v>
      </c>
      <c r="N337" s="15" t="str">
        <f t="shared" si="20"/>
        <v>Liquor</v>
      </c>
      <c r="O337" s="16">
        <f t="shared" si="21"/>
        <v>212.02666666666667</v>
      </c>
    </row>
    <row r="338" spans="1:15" x14ac:dyDescent="0.3">
      <c r="A338" s="3">
        <v>44876.676006944443</v>
      </c>
      <c r="B338" s="6" t="s">
        <v>3</v>
      </c>
      <c r="C338" s="9">
        <v>79393.59</v>
      </c>
      <c r="D338" s="9">
        <v>0</v>
      </c>
      <c r="E338" s="6">
        <v>330</v>
      </c>
      <c r="F338" s="6">
        <v>0</v>
      </c>
      <c r="G338" s="9">
        <v>57936.53</v>
      </c>
      <c r="H338" s="9">
        <v>20277.79</v>
      </c>
      <c r="I338" s="9">
        <v>782</v>
      </c>
      <c r="J338" s="9">
        <v>78996.320000000007</v>
      </c>
      <c r="K338" s="12">
        <v>397.27</v>
      </c>
      <c r="L338" s="13">
        <f t="shared" si="22"/>
        <v>0.35000007767120334</v>
      </c>
      <c r="M338" s="15">
        <f t="shared" si="23"/>
        <v>1.3497529106420422E-2</v>
      </c>
      <c r="N338" s="15" t="str">
        <f t="shared" si="20"/>
        <v>Beer</v>
      </c>
      <c r="O338" s="16">
        <f t="shared" si="21"/>
        <v>330</v>
      </c>
    </row>
    <row r="339" spans="1:15" x14ac:dyDescent="0.3">
      <c r="A339" s="3">
        <v>44880.470601851855</v>
      </c>
      <c r="B339" s="6" t="s">
        <v>2</v>
      </c>
      <c r="C339" s="9">
        <v>397.27</v>
      </c>
      <c r="D339" s="9">
        <v>300000</v>
      </c>
      <c r="E339" s="6">
        <v>0</v>
      </c>
      <c r="F339" s="6">
        <v>0</v>
      </c>
      <c r="G339" s="9">
        <v>0</v>
      </c>
      <c r="H339" s="9">
        <v>0</v>
      </c>
      <c r="I339" s="9">
        <v>0</v>
      </c>
      <c r="J339" s="9">
        <v>0</v>
      </c>
      <c r="K339" s="12">
        <v>300397.27</v>
      </c>
      <c r="L339" s="13">
        <f t="shared" si="22"/>
        <v>0</v>
      </c>
      <c r="M339" s="15">
        <f t="shared" si="23"/>
        <v>0</v>
      </c>
      <c r="N339" s="15" t="str">
        <f t="shared" si="20"/>
        <v>-</v>
      </c>
      <c r="O339" s="16">
        <f t="shared" si="21"/>
        <v>0</v>
      </c>
    </row>
    <row r="340" spans="1:15" x14ac:dyDescent="0.3">
      <c r="A340" s="3">
        <v>44880.652453703704</v>
      </c>
      <c r="B340" s="6" t="s">
        <v>3</v>
      </c>
      <c r="C340" s="9">
        <v>300397.27</v>
      </c>
      <c r="D340" s="9">
        <v>0</v>
      </c>
      <c r="E340" s="6">
        <v>0</v>
      </c>
      <c r="F340" s="6">
        <v>243</v>
      </c>
      <c r="G340" s="9">
        <v>218412.75</v>
      </c>
      <c r="H340" s="9">
        <v>76444.460000000006</v>
      </c>
      <c r="I340" s="9">
        <v>2949</v>
      </c>
      <c r="J340" s="9">
        <v>297806.21000000002</v>
      </c>
      <c r="K340" s="12">
        <v>2591.06</v>
      </c>
      <c r="L340" s="13">
        <f t="shared" si="22"/>
        <v>0.34999998855378178</v>
      </c>
      <c r="M340" s="15">
        <f t="shared" si="23"/>
        <v>1.3501959020249504E-2</v>
      </c>
      <c r="N340" s="15" t="str">
        <f t="shared" si="20"/>
        <v>Liquor</v>
      </c>
      <c r="O340" s="16">
        <f t="shared" si="21"/>
        <v>324</v>
      </c>
    </row>
    <row r="341" spans="1:15" x14ac:dyDescent="0.3">
      <c r="A341" s="3">
        <v>44882.450254629628</v>
      </c>
      <c r="B341" s="6" t="s">
        <v>2</v>
      </c>
      <c r="C341" s="9">
        <v>2591.06</v>
      </c>
      <c r="D341" s="9">
        <v>190000</v>
      </c>
      <c r="E341" s="6">
        <v>0</v>
      </c>
      <c r="F341" s="6">
        <v>0</v>
      </c>
      <c r="G341" s="9">
        <v>0</v>
      </c>
      <c r="H341" s="9">
        <v>0</v>
      </c>
      <c r="I341" s="9">
        <v>0</v>
      </c>
      <c r="J341" s="9">
        <v>0</v>
      </c>
      <c r="K341" s="12">
        <v>192591.06</v>
      </c>
      <c r="L341" s="13">
        <f t="shared" si="22"/>
        <v>0</v>
      </c>
      <c r="M341" s="15">
        <f t="shared" si="23"/>
        <v>0</v>
      </c>
      <c r="N341" s="15" t="str">
        <f t="shared" si="20"/>
        <v>-</v>
      </c>
      <c r="O341" s="16">
        <f t="shared" si="21"/>
        <v>0</v>
      </c>
    </row>
    <row r="342" spans="1:15" x14ac:dyDescent="0.3">
      <c r="A342" s="3">
        <v>44882.542824074073</v>
      </c>
      <c r="B342" s="6" t="s">
        <v>3</v>
      </c>
      <c r="C342" s="9">
        <v>192591.06</v>
      </c>
      <c r="D342" s="9">
        <v>0</v>
      </c>
      <c r="E342" s="6">
        <v>0</v>
      </c>
      <c r="F342" s="6">
        <v>169.06</v>
      </c>
      <c r="G342" s="9">
        <v>139980.20000000001</v>
      </c>
      <c r="H342" s="9">
        <v>48993.07</v>
      </c>
      <c r="I342" s="9">
        <v>1890</v>
      </c>
      <c r="J342" s="9">
        <v>190863.27</v>
      </c>
      <c r="K342" s="12">
        <v>1727.79</v>
      </c>
      <c r="L342" s="13">
        <f t="shared" si="22"/>
        <v>0.35</v>
      </c>
      <c r="M342" s="15">
        <f t="shared" si="23"/>
        <v>1.3501909555780031E-2</v>
      </c>
      <c r="N342" s="15" t="str">
        <f t="shared" si="20"/>
        <v>Liquor</v>
      </c>
      <c r="O342" s="16">
        <f t="shared" si="21"/>
        <v>225.41333333333333</v>
      </c>
    </row>
    <row r="343" spans="1:15" x14ac:dyDescent="0.3">
      <c r="A343" s="3">
        <v>44884.499374999999</v>
      </c>
      <c r="B343" s="6" t="s">
        <v>2</v>
      </c>
      <c r="C343" s="9">
        <v>1727.79</v>
      </c>
      <c r="D343" s="9">
        <v>200000</v>
      </c>
      <c r="E343" s="6">
        <v>0</v>
      </c>
      <c r="F343" s="6">
        <v>0</v>
      </c>
      <c r="G343" s="9">
        <v>0</v>
      </c>
      <c r="H343" s="9">
        <v>0</v>
      </c>
      <c r="I343" s="9">
        <v>0</v>
      </c>
      <c r="J343" s="9">
        <v>0</v>
      </c>
      <c r="K343" s="12">
        <v>201727.79</v>
      </c>
      <c r="L343" s="13">
        <f t="shared" si="22"/>
        <v>0</v>
      </c>
      <c r="M343" s="15">
        <f t="shared" si="23"/>
        <v>0</v>
      </c>
      <c r="N343" s="15" t="str">
        <f t="shared" si="20"/>
        <v>-</v>
      </c>
      <c r="O343" s="16">
        <f t="shared" si="21"/>
        <v>0</v>
      </c>
    </row>
    <row r="344" spans="1:15" x14ac:dyDescent="0.3">
      <c r="A344" s="3">
        <v>44888.429224537038</v>
      </c>
      <c r="B344" s="6" t="s">
        <v>2</v>
      </c>
      <c r="C344" s="9">
        <v>201727.79</v>
      </c>
      <c r="D344" s="9">
        <v>55000</v>
      </c>
      <c r="E344" s="6">
        <v>0</v>
      </c>
      <c r="F344" s="6">
        <v>0</v>
      </c>
      <c r="G344" s="9">
        <v>0</v>
      </c>
      <c r="H344" s="9">
        <v>0</v>
      </c>
      <c r="I344" s="9">
        <v>0</v>
      </c>
      <c r="J344" s="9">
        <v>0</v>
      </c>
      <c r="K344" s="12">
        <v>256727.79</v>
      </c>
      <c r="L344" s="13">
        <f t="shared" si="22"/>
        <v>0</v>
      </c>
      <c r="M344" s="15">
        <f t="shared" si="23"/>
        <v>0</v>
      </c>
      <c r="N344" s="15" t="str">
        <f t="shared" si="20"/>
        <v>-</v>
      </c>
      <c r="O344" s="16">
        <f t="shared" si="21"/>
        <v>0</v>
      </c>
    </row>
    <row r="345" spans="1:15" x14ac:dyDescent="0.3">
      <c r="A345" s="3">
        <v>44888.504571759258</v>
      </c>
      <c r="B345" s="6" t="s">
        <v>3</v>
      </c>
      <c r="C345" s="9">
        <v>256727.79</v>
      </c>
      <c r="D345" s="9">
        <v>0</v>
      </c>
      <c r="E345" s="6">
        <v>0</v>
      </c>
      <c r="F345" s="6">
        <v>171.72</v>
      </c>
      <c r="G345" s="9">
        <v>146269.89000000001</v>
      </c>
      <c r="H345" s="9">
        <v>51194.46</v>
      </c>
      <c r="I345" s="9">
        <v>1975</v>
      </c>
      <c r="J345" s="9">
        <v>199439.35</v>
      </c>
      <c r="K345" s="12">
        <v>57288.44</v>
      </c>
      <c r="L345" s="13">
        <f t="shared" si="22"/>
        <v>0.34999998974498436</v>
      </c>
      <c r="M345" s="15">
        <f t="shared" si="23"/>
        <v>1.3502437172818E-2</v>
      </c>
      <c r="N345" s="15" t="str">
        <f t="shared" si="20"/>
        <v>Liquor</v>
      </c>
      <c r="O345" s="16">
        <f t="shared" si="21"/>
        <v>228.96</v>
      </c>
    </row>
    <row r="346" spans="1:15" x14ac:dyDescent="0.3">
      <c r="A346" s="3">
        <v>44888.50509259259</v>
      </c>
      <c r="B346" s="6" t="s">
        <v>3</v>
      </c>
      <c r="C346" s="9">
        <v>57288.44</v>
      </c>
      <c r="D346" s="9">
        <v>0</v>
      </c>
      <c r="E346" s="6">
        <v>252</v>
      </c>
      <c r="F346" s="6">
        <v>0</v>
      </c>
      <c r="G346" s="9">
        <v>41904.81</v>
      </c>
      <c r="H346" s="9">
        <v>14666.68</v>
      </c>
      <c r="I346" s="9">
        <v>566</v>
      </c>
      <c r="J346" s="9">
        <v>57137.49</v>
      </c>
      <c r="K346" s="12">
        <v>150.94999999999999</v>
      </c>
      <c r="L346" s="13">
        <f t="shared" si="22"/>
        <v>0.34999991647736861</v>
      </c>
      <c r="M346" s="15">
        <f t="shared" si="23"/>
        <v>1.3506802679692381E-2</v>
      </c>
      <c r="N346" s="15" t="str">
        <f t="shared" si="20"/>
        <v>Beer</v>
      </c>
      <c r="O346" s="16">
        <f t="shared" si="21"/>
        <v>252</v>
      </c>
    </row>
    <row r="347" spans="1:15" x14ac:dyDescent="0.3">
      <c r="A347" s="3">
        <v>44896.498611111114</v>
      </c>
      <c r="B347" s="6" t="s">
        <v>2</v>
      </c>
      <c r="C347" s="9">
        <v>150.94999999999999</v>
      </c>
      <c r="D347" s="9">
        <v>250000</v>
      </c>
      <c r="E347" s="6">
        <v>0</v>
      </c>
      <c r="F347" s="6">
        <v>0</v>
      </c>
      <c r="G347" s="9">
        <v>0</v>
      </c>
      <c r="H347" s="9">
        <v>0</v>
      </c>
      <c r="I347" s="9">
        <v>0</v>
      </c>
      <c r="J347" s="9">
        <v>0</v>
      </c>
      <c r="K347" s="12">
        <v>250150.95</v>
      </c>
      <c r="L347" s="13">
        <f t="shared" si="22"/>
        <v>0</v>
      </c>
      <c r="M347" s="15">
        <f t="shared" si="23"/>
        <v>0</v>
      </c>
      <c r="N347" s="15" t="str">
        <f t="shared" si="20"/>
        <v>-</v>
      </c>
      <c r="O347" s="16">
        <f t="shared" si="21"/>
        <v>0</v>
      </c>
    </row>
    <row r="348" spans="1:15" x14ac:dyDescent="0.3">
      <c r="A348" s="3">
        <v>44896.50068287037</v>
      </c>
      <c r="B348" s="6" t="s">
        <v>2</v>
      </c>
      <c r="C348" s="9">
        <v>250150.95</v>
      </c>
      <c r="D348" s="9">
        <v>100000</v>
      </c>
      <c r="E348" s="6">
        <v>0</v>
      </c>
      <c r="F348" s="6">
        <v>0</v>
      </c>
      <c r="G348" s="9">
        <v>0</v>
      </c>
      <c r="H348" s="9">
        <v>0</v>
      </c>
      <c r="I348" s="9">
        <v>0</v>
      </c>
      <c r="J348" s="9">
        <v>0</v>
      </c>
      <c r="K348" s="12">
        <v>350150.95</v>
      </c>
      <c r="L348" s="13">
        <f t="shared" si="22"/>
        <v>0</v>
      </c>
      <c r="M348" s="15">
        <f t="shared" si="23"/>
        <v>0</v>
      </c>
      <c r="N348" s="15" t="str">
        <f t="shared" si="20"/>
        <v>-</v>
      </c>
      <c r="O348" s="16">
        <f t="shared" si="21"/>
        <v>0</v>
      </c>
    </row>
    <row r="349" spans="1:15" x14ac:dyDescent="0.3">
      <c r="A349" s="3">
        <v>44897.486608796295</v>
      </c>
      <c r="B349" s="6" t="s">
        <v>3</v>
      </c>
      <c r="C349" s="9">
        <v>350150.95</v>
      </c>
      <c r="D349" s="9">
        <v>0</v>
      </c>
      <c r="E349" s="6">
        <v>0</v>
      </c>
      <c r="F349" s="6">
        <v>301.19</v>
      </c>
      <c r="G349" s="9">
        <v>255614.9</v>
      </c>
      <c r="H349" s="9">
        <v>89465.21</v>
      </c>
      <c r="I349" s="9">
        <v>3451</v>
      </c>
      <c r="J349" s="9">
        <v>348531.11</v>
      </c>
      <c r="K349" s="12">
        <v>1619.84</v>
      </c>
      <c r="L349" s="13">
        <f t="shared" si="22"/>
        <v>0.34999998043932495</v>
      </c>
      <c r="M349" s="15">
        <f t="shared" si="23"/>
        <v>1.3500777928047231E-2</v>
      </c>
      <c r="N349" s="15" t="str">
        <f t="shared" si="20"/>
        <v>Liquor</v>
      </c>
      <c r="O349" s="16">
        <f t="shared" si="21"/>
        <v>401.58666666666664</v>
      </c>
    </row>
    <row r="350" spans="1:15" x14ac:dyDescent="0.3">
      <c r="A350" s="3">
        <v>44901.471400462964</v>
      </c>
      <c r="B350" s="6" t="s">
        <v>2</v>
      </c>
      <c r="C350" s="9">
        <v>1619.84</v>
      </c>
      <c r="D350" s="9">
        <v>275000</v>
      </c>
      <c r="E350" s="6">
        <v>0</v>
      </c>
      <c r="F350" s="6">
        <v>0</v>
      </c>
      <c r="G350" s="9">
        <v>0</v>
      </c>
      <c r="H350" s="9">
        <v>0</v>
      </c>
      <c r="I350" s="9">
        <v>0</v>
      </c>
      <c r="J350" s="9">
        <v>0</v>
      </c>
      <c r="K350" s="12">
        <v>276619.84000000003</v>
      </c>
      <c r="L350" s="13">
        <f t="shared" si="22"/>
        <v>0</v>
      </c>
      <c r="M350" s="15">
        <f t="shared" si="23"/>
        <v>0</v>
      </c>
      <c r="N350" s="15" t="str">
        <f t="shared" si="20"/>
        <v>-</v>
      </c>
      <c r="O350" s="16">
        <f t="shared" si="21"/>
        <v>0</v>
      </c>
    </row>
    <row r="351" spans="1:15" x14ac:dyDescent="0.3">
      <c r="A351" s="3">
        <v>44901.632418981484</v>
      </c>
      <c r="B351" s="6" t="s">
        <v>3</v>
      </c>
      <c r="C351" s="9">
        <v>276619.84000000003</v>
      </c>
      <c r="D351" s="9">
        <v>0</v>
      </c>
      <c r="E351" s="6">
        <v>0</v>
      </c>
      <c r="F351" s="6">
        <v>159.55000000000001</v>
      </c>
      <c r="G351" s="9">
        <v>147381</v>
      </c>
      <c r="H351" s="9">
        <v>51583.35</v>
      </c>
      <c r="I351" s="9">
        <v>1990</v>
      </c>
      <c r="J351" s="9">
        <v>200954.35</v>
      </c>
      <c r="K351" s="12">
        <v>75665.490000000005</v>
      </c>
      <c r="L351" s="13">
        <f t="shared" si="22"/>
        <v>0.35</v>
      </c>
      <c r="M351" s="15">
        <f t="shared" si="23"/>
        <v>1.3502418900672407E-2</v>
      </c>
      <c r="N351" s="15" t="str">
        <f t="shared" si="20"/>
        <v>Liquor</v>
      </c>
      <c r="O351" s="16">
        <f t="shared" si="21"/>
        <v>212.73333333333335</v>
      </c>
    </row>
    <row r="352" spans="1:15" x14ac:dyDescent="0.3">
      <c r="A352" s="3">
        <v>44901.633935185186</v>
      </c>
      <c r="B352" s="6" t="s">
        <v>3</v>
      </c>
      <c r="C352" s="9">
        <v>75665.490000000005</v>
      </c>
      <c r="D352" s="9">
        <v>0</v>
      </c>
      <c r="E352" s="6">
        <v>334.2</v>
      </c>
      <c r="F352" s="6">
        <v>0</v>
      </c>
      <c r="G352" s="9">
        <v>55317.51</v>
      </c>
      <c r="H352" s="9">
        <v>19361.13</v>
      </c>
      <c r="I352" s="9">
        <v>747</v>
      </c>
      <c r="J352" s="9">
        <v>75425.64</v>
      </c>
      <c r="K352" s="12">
        <v>239.85</v>
      </c>
      <c r="L352" s="13">
        <f t="shared" si="22"/>
        <v>0.350000027116188</v>
      </c>
      <c r="M352" s="15">
        <f t="shared" si="23"/>
        <v>1.3503861616330886E-2</v>
      </c>
      <c r="N352" s="15" t="str">
        <f t="shared" si="20"/>
        <v>Beer</v>
      </c>
      <c r="O352" s="16">
        <f t="shared" si="21"/>
        <v>334.2</v>
      </c>
    </row>
    <row r="353" spans="1:15" x14ac:dyDescent="0.3">
      <c r="A353" s="3">
        <v>44914.474826388891</v>
      </c>
      <c r="B353" s="6" t="s">
        <v>2</v>
      </c>
      <c r="C353" s="9">
        <v>239.85</v>
      </c>
      <c r="D353" s="9">
        <v>499000</v>
      </c>
      <c r="E353" s="6">
        <v>0</v>
      </c>
      <c r="F353" s="6">
        <v>0</v>
      </c>
      <c r="G353" s="9">
        <v>0</v>
      </c>
      <c r="H353" s="9">
        <v>0</v>
      </c>
      <c r="I353" s="9">
        <v>0</v>
      </c>
      <c r="J353" s="9">
        <v>0</v>
      </c>
      <c r="K353" s="12">
        <v>499239.85</v>
      </c>
      <c r="L353" s="13">
        <f t="shared" si="22"/>
        <v>0</v>
      </c>
      <c r="M353" s="15">
        <f t="shared" si="23"/>
        <v>0</v>
      </c>
      <c r="N353" s="15" t="str">
        <f t="shared" si="20"/>
        <v>-</v>
      </c>
      <c r="O353" s="16">
        <f t="shared" si="21"/>
        <v>0</v>
      </c>
    </row>
    <row r="354" spans="1:15" x14ac:dyDescent="0.3">
      <c r="A354" s="3">
        <v>44914.768194444441</v>
      </c>
      <c r="B354" s="6" t="s">
        <v>3</v>
      </c>
      <c r="C354" s="9">
        <v>499239.85</v>
      </c>
      <c r="D354" s="9">
        <v>0</v>
      </c>
      <c r="E354" s="6">
        <v>286.8</v>
      </c>
      <c r="F354" s="6">
        <v>0</v>
      </c>
      <c r="G354" s="9">
        <v>47301.62</v>
      </c>
      <c r="H354" s="9">
        <v>16555.57</v>
      </c>
      <c r="I354" s="9">
        <v>639</v>
      </c>
      <c r="J354" s="9">
        <v>64496.19</v>
      </c>
      <c r="K354" s="12">
        <v>434743.66</v>
      </c>
      <c r="L354" s="13">
        <f t="shared" si="22"/>
        <v>0.3500000634227749</v>
      </c>
      <c r="M354" s="15">
        <f t="shared" si="23"/>
        <v>1.3509051064213021E-2</v>
      </c>
      <c r="N354" s="15" t="str">
        <f t="shared" si="20"/>
        <v>Beer</v>
      </c>
      <c r="O354" s="16">
        <f t="shared" si="21"/>
        <v>286.8</v>
      </c>
    </row>
    <row r="355" spans="1:15" x14ac:dyDescent="0.3">
      <c r="A355" s="3">
        <v>44914.77716435185</v>
      </c>
      <c r="B355" s="6" t="s">
        <v>3</v>
      </c>
      <c r="C355" s="9">
        <v>434743.66</v>
      </c>
      <c r="D355" s="9">
        <v>0</v>
      </c>
      <c r="E355" s="6">
        <v>0</v>
      </c>
      <c r="F355" s="6">
        <v>338.28</v>
      </c>
      <c r="G355" s="9">
        <v>316224.2</v>
      </c>
      <c r="H355" s="9">
        <v>110678.46</v>
      </c>
      <c r="I355" s="9">
        <v>4269</v>
      </c>
      <c r="J355" s="9">
        <v>431171.66</v>
      </c>
      <c r="K355" s="12">
        <v>3572</v>
      </c>
      <c r="L355" s="13">
        <f t="shared" si="22"/>
        <v>0.34999996837686681</v>
      </c>
      <c r="M355" s="15">
        <f t="shared" si="23"/>
        <v>1.3499915566234335E-2</v>
      </c>
      <c r="N355" s="15" t="str">
        <f t="shared" si="20"/>
        <v>Liquor</v>
      </c>
      <c r="O355" s="16">
        <f t="shared" si="21"/>
        <v>451.03999999999996</v>
      </c>
    </row>
    <row r="356" spans="1:15" x14ac:dyDescent="0.3">
      <c r="A356" s="3">
        <v>44924.478773148148</v>
      </c>
      <c r="B356" s="6" t="s">
        <v>2</v>
      </c>
      <c r="C356" s="9">
        <v>3572</v>
      </c>
      <c r="D356" s="9">
        <v>215000</v>
      </c>
      <c r="E356" s="6">
        <v>0</v>
      </c>
      <c r="F356" s="6">
        <v>0</v>
      </c>
      <c r="G356" s="9">
        <v>0</v>
      </c>
      <c r="H356" s="9">
        <v>0</v>
      </c>
      <c r="I356" s="9">
        <v>0</v>
      </c>
      <c r="J356" s="9">
        <v>0</v>
      </c>
      <c r="K356" s="12">
        <v>218572</v>
      </c>
      <c r="L356" s="13">
        <f t="shared" si="22"/>
        <v>0</v>
      </c>
      <c r="M356" s="15">
        <f t="shared" si="23"/>
        <v>0</v>
      </c>
      <c r="N356" s="15" t="str">
        <f t="shared" si="20"/>
        <v>-</v>
      </c>
      <c r="O356" s="16">
        <f t="shared" si="21"/>
        <v>0</v>
      </c>
    </row>
    <row r="357" spans="1:15" x14ac:dyDescent="0.3">
      <c r="A357" s="3">
        <v>44924.721238425926</v>
      </c>
      <c r="B357" s="6" t="s">
        <v>3</v>
      </c>
      <c r="C357" s="9">
        <v>218572</v>
      </c>
      <c r="D357" s="9">
        <v>0</v>
      </c>
      <c r="E357" s="6">
        <v>0</v>
      </c>
      <c r="F357" s="6">
        <v>167.97</v>
      </c>
      <c r="G357" s="9">
        <v>160238.17000000001</v>
      </c>
      <c r="H357" s="9">
        <v>56083.360000000001</v>
      </c>
      <c r="I357" s="9">
        <v>2163</v>
      </c>
      <c r="J357" s="9">
        <v>218484.53</v>
      </c>
      <c r="K357" s="12">
        <v>87.47</v>
      </c>
      <c r="L357" s="13">
        <f t="shared" si="22"/>
        <v>0.35000000312035512</v>
      </c>
      <c r="M357" s="15">
        <f t="shared" si="23"/>
        <v>1.3498656406273235E-2</v>
      </c>
      <c r="N357" s="15" t="str">
        <f t="shared" si="20"/>
        <v>Liquor</v>
      </c>
      <c r="O357" s="16">
        <f t="shared" si="21"/>
        <v>223.96</v>
      </c>
    </row>
    <row r="358" spans="1:15" x14ac:dyDescent="0.3">
      <c r="A358" s="3">
        <v>44929.468819444446</v>
      </c>
      <c r="B358" s="6" t="s">
        <v>2</v>
      </c>
      <c r="C358" s="9">
        <v>87.47</v>
      </c>
      <c r="D358" s="9">
        <v>300000</v>
      </c>
      <c r="E358" s="6">
        <v>0</v>
      </c>
      <c r="F358" s="6">
        <v>0</v>
      </c>
      <c r="G358" s="9">
        <v>0</v>
      </c>
      <c r="H358" s="9">
        <v>0</v>
      </c>
      <c r="I358" s="9">
        <v>0</v>
      </c>
      <c r="J358" s="9">
        <v>0</v>
      </c>
      <c r="K358" s="12">
        <v>300087.46999999997</v>
      </c>
      <c r="L358" s="13">
        <f t="shared" si="22"/>
        <v>0</v>
      </c>
      <c r="M358" s="15">
        <f t="shared" si="23"/>
        <v>0</v>
      </c>
      <c r="N358" s="15" t="str">
        <f t="shared" si="20"/>
        <v>-</v>
      </c>
      <c r="O358" s="16">
        <f t="shared" si="21"/>
        <v>0</v>
      </c>
    </row>
    <row r="359" spans="1:15" x14ac:dyDescent="0.3">
      <c r="A359" s="3">
        <v>44929.652650462966</v>
      </c>
      <c r="B359" s="6" t="s">
        <v>3</v>
      </c>
      <c r="C359" s="9">
        <v>300087.46999999997</v>
      </c>
      <c r="D359" s="9">
        <v>0</v>
      </c>
      <c r="E359" s="6">
        <v>0</v>
      </c>
      <c r="F359" s="6">
        <v>256.76</v>
      </c>
      <c r="G359" s="9">
        <v>219321.01</v>
      </c>
      <c r="H359" s="9">
        <v>76762.36</v>
      </c>
      <c r="I359" s="9">
        <v>2961</v>
      </c>
      <c r="J359" s="9">
        <v>299044.37</v>
      </c>
      <c r="K359" s="12">
        <v>1043.0999999999999</v>
      </c>
      <c r="L359" s="13">
        <f t="shared" si="22"/>
        <v>0.3500000296369235</v>
      </c>
      <c r="M359" s="15">
        <f t="shared" si="23"/>
        <v>1.3500758545658713E-2</v>
      </c>
      <c r="N359" s="15" t="str">
        <f t="shared" si="20"/>
        <v>Liquor</v>
      </c>
      <c r="O359" s="16">
        <f t="shared" si="21"/>
        <v>342.34666666666664</v>
      </c>
    </row>
    <row r="360" spans="1:15" x14ac:dyDescent="0.3">
      <c r="A360" s="3">
        <v>44944.483402777776</v>
      </c>
      <c r="B360" s="6" t="s">
        <v>2</v>
      </c>
      <c r="C360" s="9">
        <v>1043.0999999999999</v>
      </c>
      <c r="D360" s="9">
        <v>190000</v>
      </c>
      <c r="E360" s="6">
        <v>0</v>
      </c>
      <c r="F360" s="6">
        <v>0</v>
      </c>
      <c r="G360" s="9">
        <v>0</v>
      </c>
      <c r="H360" s="9">
        <v>0</v>
      </c>
      <c r="I360" s="9">
        <v>0</v>
      </c>
      <c r="J360" s="9">
        <v>0</v>
      </c>
      <c r="K360" s="12">
        <v>191043.1</v>
      </c>
      <c r="L360" s="13">
        <f t="shared" si="22"/>
        <v>0</v>
      </c>
      <c r="M360" s="15">
        <f t="shared" si="23"/>
        <v>0</v>
      </c>
      <c r="N360" s="15" t="str">
        <f t="shared" si="20"/>
        <v>-</v>
      </c>
      <c r="O360" s="16">
        <f t="shared" si="21"/>
        <v>0</v>
      </c>
    </row>
    <row r="361" spans="1:15" x14ac:dyDescent="0.3">
      <c r="A361" s="3">
        <v>44944.486111111109</v>
      </c>
      <c r="B361" s="6" t="s">
        <v>2</v>
      </c>
      <c r="C361" s="9">
        <v>191043.1</v>
      </c>
      <c r="D361" s="9">
        <v>24000</v>
      </c>
      <c r="E361" s="6">
        <v>0</v>
      </c>
      <c r="F361" s="6">
        <v>0</v>
      </c>
      <c r="G361" s="9">
        <v>0</v>
      </c>
      <c r="H361" s="9">
        <v>0</v>
      </c>
      <c r="I361" s="9">
        <v>0</v>
      </c>
      <c r="J361" s="9">
        <v>0</v>
      </c>
      <c r="K361" s="12">
        <v>215043.1</v>
      </c>
      <c r="L361" s="13">
        <f t="shared" si="22"/>
        <v>0</v>
      </c>
      <c r="M361" s="15">
        <f t="shared" si="23"/>
        <v>0</v>
      </c>
      <c r="N361" s="15" t="str">
        <f t="shared" si="20"/>
        <v>-</v>
      </c>
      <c r="O361" s="16">
        <f t="shared" si="21"/>
        <v>0</v>
      </c>
    </row>
    <row r="362" spans="1:15" x14ac:dyDescent="0.3">
      <c r="A362" s="3">
        <v>44944.669386574074</v>
      </c>
      <c r="B362" s="6" t="s">
        <v>3</v>
      </c>
      <c r="C362" s="9">
        <v>215043.1</v>
      </c>
      <c r="D362" s="9">
        <v>0</v>
      </c>
      <c r="E362" s="6">
        <v>0</v>
      </c>
      <c r="F362" s="6">
        <v>173.5</v>
      </c>
      <c r="G362" s="9">
        <v>154114.04999999999</v>
      </c>
      <c r="H362" s="9">
        <v>53939.88</v>
      </c>
      <c r="I362" s="9">
        <v>2081</v>
      </c>
      <c r="J362" s="9">
        <v>210134.93</v>
      </c>
      <c r="K362" s="12">
        <v>4908.17</v>
      </c>
      <c r="L362" s="13">
        <f t="shared" si="22"/>
        <v>0.34999975667371014</v>
      </c>
      <c r="M362" s="15">
        <f t="shared" si="23"/>
        <v>1.3502986911316652E-2</v>
      </c>
      <c r="N362" s="15" t="str">
        <f t="shared" si="20"/>
        <v>Liquor</v>
      </c>
      <c r="O362" s="16">
        <f t="shared" si="21"/>
        <v>231.33333333333334</v>
      </c>
    </row>
    <row r="363" spans="1:15" x14ac:dyDescent="0.3">
      <c r="A363" s="3">
        <v>44950.497164351851</v>
      </c>
      <c r="B363" s="6" t="s">
        <v>2</v>
      </c>
      <c r="C363" s="9">
        <v>4908.17</v>
      </c>
      <c r="D363" s="9">
        <v>225000</v>
      </c>
      <c r="E363" s="6">
        <v>0</v>
      </c>
      <c r="F363" s="6">
        <v>0</v>
      </c>
      <c r="G363" s="9">
        <v>0</v>
      </c>
      <c r="H363" s="9">
        <v>0</v>
      </c>
      <c r="I363" s="9">
        <v>0</v>
      </c>
      <c r="J363" s="9">
        <v>0</v>
      </c>
      <c r="K363" s="12">
        <v>229908.17</v>
      </c>
      <c r="L363" s="13">
        <f t="shared" si="22"/>
        <v>0</v>
      </c>
      <c r="M363" s="15">
        <f t="shared" si="23"/>
        <v>0</v>
      </c>
      <c r="N363" s="15" t="str">
        <f t="shared" si="20"/>
        <v>-</v>
      </c>
      <c r="O363" s="16">
        <f t="shared" si="21"/>
        <v>0</v>
      </c>
    </row>
    <row r="364" spans="1:15" x14ac:dyDescent="0.3">
      <c r="A364" s="3">
        <v>44951.443981481483</v>
      </c>
      <c r="B364" s="6" t="s">
        <v>2</v>
      </c>
      <c r="C364" s="9">
        <v>229908.17</v>
      </c>
      <c r="D364" s="9">
        <v>100000</v>
      </c>
      <c r="E364" s="6">
        <v>0</v>
      </c>
      <c r="F364" s="6">
        <v>0</v>
      </c>
      <c r="G364" s="9">
        <v>0</v>
      </c>
      <c r="H364" s="9">
        <v>0</v>
      </c>
      <c r="I364" s="9">
        <v>0</v>
      </c>
      <c r="J364" s="9">
        <v>0</v>
      </c>
      <c r="K364" s="12">
        <v>329908.17</v>
      </c>
      <c r="L364" s="13">
        <f t="shared" si="22"/>
        <v>0</v>
      </c>
      <c r="M364" s="15">
        <f t="shared" si="23"/>
        <v>0</v>
      </c>
      <c r="N364" s="15" t="str">
        <f t="shared" si="20"/>
        <v>-</v>
      </c>
      <c r="O364" s="16">
        <f t="shared" si="21"/>
        <v>0</v>
      </c>
    </row>
    <row r="365" spans="1:15" x14ac:dyDescent="0.3">
      <c r="A365" s="3">
        <v>44951.447847222225</v>
      </c>
      <c r="B365" s="6" t="s">
        <v>2</v>
      </c>
      <c r="C365" s="9">
        <v>329908.17</v>
      </c>
      <c r="D365" s="9">
        <v>200000</v>
      </c>
      <c r="E365" s="6">
        <v>0</v>
      </c>
      <c r="F365" s="6">
        <v>0</v>
      </c>
      <c r="G365" s="9">
        <v>0</v>
      </c>
      <c r="H365" s="9">
        <v>0</v>
      </c>
      <c r="I365" s="9">
        <v>0</v>
      </c>
      <c r="J365" s="9">
        <v>0</v>
      </c>
      <c r="K365" s="12">
        <v>529908.17000000004</v>
      </c>
      <c r="L365" s="13">
        <f t="shared" si="22"/>
        <v>0</v>
      </c>
      <c r="M365" s="15">
        <f t="shared" si="23"/>
        <v>0</v>
      </c>
      <c r="N365" s="15" t="str">
        <f t="shared" si="20"/>
        <v>-</v>
      </c>
      <c r="O365" s="16">
        <f t="shared" si="21"/>
        <v>0</v>
      </c>
    </row>
    <row r="366" spans="1:15" x14ac:dyDescent="0.3">
      <c r="A366" s="3">
        <v>44951.552974537037</v>
      </c>
      <c r="B366" s="6" t="s">
        <v>3</v>
      </c>
      <c r="C366" s="9">
        <v>529908.17000000004</v>
      </c>
      <c r="D366" s="9">
        <v>0</v>
      </c>
      <c r="E366" s="6">
        <v>0</v>
      </c>
      <c r="F366" s="6">
        <v>192.29</v>
      </c>
      <c r="G366" s="9">
        <v>168322.85</v>
      </c>
      <c r="H366" s="9">
        <v>58912.99</v>
      </c>
      <c r="I366" s="9">
        <v>2272</v>
      </c>
      <c r="J366" s="9">
        <v>229507.84</v>
      </c>
      <c r="K366" s="12">
        <v>300400.33</v>
      </c>
      <c r="L366" s="13">
        <f t="shared" si="22"/>
        <v>0.34999995544276963</v>
      </c>
      <c r="M366" s="15">
        <f t="shared" si="23"/>
        <v>1.3497870312913546E-2</v>
      </c>
      <c r="N366" s="15" t="str">
        <f t="shared" si="20"/>
        <v>Liquor</v>
      </c>
      <c r="O366" s="16">
        <f t="shared" si="21"/>
        <v>256.38666666666666</v>
      </c>
    </row>
    <row r="367" spans="1:15" x14ac:dyDescent="0.3">
      <c r="A367" s="3">
        <v>44951.556030092594</v>
      </c>
      <c r="B367" s="6" t="s">
        <v>3</v>
      </c>
      <c r="C367" s="9">
        <v>300400.33</v>
      </c>
      <c r="D367" s="9">
        <v>0</v>
      </c>
      <c r="E367" s="6">
        <v>606</v>
      </c>
      <c r="F367" s="6">
        <v>0</v>
      </c>
      <c r="G367" s="9">
        <v>100476.24</v>
      </c>
      <c r="H367" s="9">
        <v>35166.68</v>
      </c>
      <c r="I367" s="9">
        <v>1356</v>
      </c>
      <c r="J367" s="9">
        <v>136998.92000000001</v>
      </c>
      <c r="K367" s="12">
        <v>163401.41</v>
      </c>
      <c r="L367" s="13">
        <f t="shared" si="22"/>
        <v>0.34999996018959306</v>
      </c>
      <c r="M367" s="15">
        <f t="shared" si="23"/>
        <v>1.349572794523362E-2</v>
      </c>
      <c r="N367" s="15" t="str">
        <f t="shared" si="20"/>
        <v>Beer</v>
      </c>
      <c r="O367" s="16">
        <f t="shared" si="21"/>
        <v>606</v>
      </c>
    </row>
    <row r="368" spans="1:15" x14ac:dyDescent="0.3">
      <c r="A368" s="3">
        <v>44956.488275462965</v>
      </c>
      <c r="B368" s="6" t="s">
        <v>2</v>
      </c>
      <c r="C368" s="9">
        <v>163401.41</v>
      </c>
      <c r="D368" s="9">
        <v>100000</v>
      </c>
      <c r="E368" s="6">
        <v>0</v>
      </c>
      <c r="F368" s="6">
        <v>0</v>
      </c>
      <c r="G368" s="9">
        <v>0</v>
      </c>
      <c r="H368" s="9">
        <v>0</v>
      </c>
      <c r="I368" s="9">
        <v>0</v>
      </c>
      <c r="J368" s="9">
        <v>0</v>
      </c>
      <c r="K368" s="12">
        <v>263401.40999999997</v>
      </c>
      <c r="L368" s="13">
        <f t="shared" si="22"/>
        <v>0</v>
      </c>
      <c r="M368" s="15">
        <f t="shared" si="23"/>
        <v>0</v>
      </c>
      <c r="N368" s="15" t="str">
        <f t="shared" si="20"/>
        <v>-</v>
      </c>
      <c r="O368" s="16">
        <f t="shared" si="21"/>
        <v>0</v>
      </c>
    </row>
    <row r="369" spans="1:15" x14ac:dyDescent="0.3">
      <c r="A369" s="3">
        <v>44956.752025462964</v>
      </c>
      <c r="B369" s="6" t="s">
        <v>3</v>
      </c>
      <c r="C369" s="9">
        <v>263401.40999999997</v>
      </c>
      <c r="D369" s="9">
        <v>0</v>
      </c>
      <c r="E369" s="6">
        <v>0</v>
      </c>
      <c r="F369" s="6">
        <v>214.56</v>
      </c>
      <c r="G369" s="9">
        <v>191947.19</v>
      </c>
      <c r="H369" s="9">
        <v>67181.47</v>
      </c>
      <c r="I369" s="9">
        <v>2591</v>
      </c>
      <c r="J369" s="9">
        <v>261719.66</v>
      </c>
      <c r="K369" s="12">
        <v>1681.75</v>
      </c>
      <c r="L369" s="13">
        <f t="shared" si="22"/>
        <v>0.3499997577458675</v>
      </c>
      <c r="M369" s="15">
        <f t="shared" si="23"/>
        <v>1.3498504458439845E-2</v>
      </c>
      <c r="N369" s="15" t="str">
        <f t="shared" si="20"/>
        <v>Liquor</v>
      </c>
      <c r="O369" s="16">
        <f t="shared" si="21"/>
        <v>286.08</v>
      </c>
    </row>
    <row r="370" spans="1:15" x14ac:dyDescent="0.3">
      <c r="A370" s="3">
        <v>44964.479317129626</v>
      </c>
      <c r="B370" s="6" t="s">
        <v>2</v>
      </c>
      <c r="C370" s="9">
        <v>1681.75</v>
      </c>
      <c r="D370" s="9">
        <v>300000</v>
      </c>
      <c r="E370" s="6">
        <v>0</v>
      </c>
      <c r="F370" s="6">
        <v>0</v>
      </c>
      <c r="G370" s="9">
        <v>0</v>
      </c>
      <c r="H370" s="9">
        <v>0</v>
      </c>
      <c r="I370" s="9">
        <v>0</v>
      </c>
      <c r="J370" s="9">
        <v>0</v>
      </c>
      <c r="K370" s="12">
        <v>301681.75</v>
      </c>
      <c r="L370" s="13">
        <f t="shared" si="22"/>
        <v>0</v>
      </c>
      <c r="M370" s="15">
        <f t="shared" si="23"/>
        <v>0</v>
      </c>
      <c r="N370" s="15" t="str">
        <f t="shared" si="20"/>
        <v>-</v>
      </c>
      <c r="O370" s="16">
        <f t="shared" si="21"/>
        <v>0</v>
      </c>
    </row>
    <row r="371" spans="1:15" x14ac:dyDescent="0.3">
      <c r="A371" s="3">
        <v>44964.632986111108</v>
      </c>
      <c r="B371" s="6" t="s">
        <v>3</v>
      </c>
      <c r="C371" s="9">
        <v>301681.75</v>
      </c>
      <c r="D371" s="9">
        <v>0</v>
      </c>
      <c r="E371" s="6">
        <v>0</v>
      </c>
      <c r="F371" s="6">
        <v>245.7</v>
      </c>
      <c r="G371" s="9">
        <v>221053.27</v>
      </c>
      <c r="H371" s="9">
        <v>77368.649999999994</v>
      </c>
      <c r="I371" s="9">
        <v>2984</v>
      </c>
      <c r="J371" s="9">
        <v>301405.92</v>
      </c>
      <c r="K371" s="12">
        <v>275.83</v>
      </c>
      <c r="L371" s="13">
        <f t="shared" si="22"/>
        <v>0.3500000248808805</v>
      </c>
      <c r="M371" s="15">
        <f t="shared" si="23"/>
        <v>1.3499008632625068E-2</v>
      </c>
      <c r="N371" s="15" t="str">
        <f t="shared" si="20"/>
        <v>Liquor</v>
      </c>
      <c r="O371" s="16">
        <f t="shared" si="21"/>
        <v>327.59999999999997</v>
      </c>
    </row>
    <row r="372" spans="1:15" x14ac:dyDescent="0.3">
      <c r="A372" s="3">
        <v>44967.406527777777</v>
      </c>
      <c r="B372" s="6" t="s">
        <v>2</v>
      </c>
      <c r="C372" s="9">
        <v>275.83</v>
      </c>
      <c r="D372" s="9">
        <v>120000</v>
      </c>
      <c r="E372" s="6">
        <v>0</v>
      </c>
      <c r="F372" s="6">
        <v>0</v>
      </c>
      <c r="G372" s="9">
        <v>0</v>
      </c>
      <c r="H372" s="9">
        <v>0</v>
      </c>
      <c r="I372" s="9">
        <v>0</v>
      </c>
      <c r="J372" s="9">
        <v>0</v>
      </c>
      <c r="K372" s="12">
        <v>120275.83</v>
      </c>
      <c r="L372" s="13">
        <f t="shared" si="22"/>
        <v>0</v>
      </c>
      <c r="M372" s="15">
        <f t="shared" si="23"/>
        <v>0</v>
      </c>
      <c r="N372" s="15" t="str">
        <f t="shared" si="20"/>
        <v>-</v>
      </c>
      <c r="O372" s="16">
        <f t="shared" si="21"/>
        <v>0</v>
      </c>
    </row>
    <row r="373" spans="1:15" x14ac:dyDescent="0.3">
      <c r="A373" s="3">
        <v>44967.495289351849</v>
      </c>
      <c r="B373" s="6" t="s">
        <v>3</v>
      </c>
      <c r="C373" s="9">
        <v>120275.83</v>
      </c>
      <c r="D373" s="9">
        <v>0</v>
      </c>
      <c r="E373" s="6">
        <v>532.20000000000005</v>
      </c>
      <c r="F373" s="6">
        <v>0</v>
      </c>
      <c r="G373" s="9">
        <v>87222.36</v>
      </c>
      <c r="H373" s="9">
        <v>30527.87</v>
      </c>
      <c r="I373" s="9">
        <v>1178</v>
      </c>
      <c r="J373" s="9">
        <v>118928.23</v>
      </c>
      <c r="K373" s="12">
        <v>1347.6</v>
      </c>
      <c r="L373" s="13">
        <f t="shared" si="22"/>
        <v>0.35000050445780184</v>
      </c>
      <c r="M373" s="15">
        <f t="shared" si="23"/>
        <v>1.3505711150214234E-2</v>
      </c>
      <c r="N373" s="15" t="str">
        <f t="shared" si="20"/>
        <v>Beer</v>
      </c>
      <c r="O373" s="16">
        <f t="shared" si="21"/>
        <v>532.20000000000005</v>
      </c>
    </row>
    <row r="374" spans="1:15" x14ac:dyDescent="0.3">
      <c r="A374" s="3">
        <v>44973.463703703703</v>
      </c>
      <c r="B374" s="6" t="s">
        <v>2</v>
      </c>
      <c r="C374" s="9">
        <v>1347.6</v>
      </c>
      <c r="D374" s="9">
        <v>180000</v>
      </c>
      <c r="E374" s="6">
        <v>0</v>
      </c>
      <c r="F374" s="6">
        <v>0</v>
      </c>
      <c r="G374" s="9">
        <v>0</v>
      </c>
      <c r="H374" s="9">
        <v>0</v>
      </c>
      <c r="I374" s="9">
        <v>0</v>
      </c>
      <c r="J374" s="9">
        <v>0</v>
      </c>
      <c r="K374" s="12">
        <v>181347.6</v>
      </c>
      <c r="L374" s="13">
        <f t="shared" si="22"/>
        <v>0</v>
      </c>
      <c r="M374" s="15">
        <f t="shared" si="23"/>
        <v>0</v>
      </c>
      <c r="N374" s="15" t="str">
        <f t="shared" si="20"/>
        <v>-</v>
      </c>
      <c r="O374" s="16">
        <f t="shared" si="21"/>
        <v>0</v>
      </c>
    </row>
    <row r="375" spans="1:15" x14ac:dyDescent="0.3">
      <c r="A375" s="3">
        <v>44973.692847222221</v>
      </c>
      <c r="B375" s="6" t="s">
        <v>3</v>
      </c>
      <c r="C375" s="9">
        <v>181347.6</v>
      </c>
      <c r="D375" s="9">
        <v>0</v>
      </c>
      <c r="E375" s="6">
        <v>0</v>
      </c>
      <c r="F375" s="6">
        <v>146.13</v>
      </c>
      <c r="G375" s="9">
        <v>132919.98000000001</v>
      </c>
      <c r="H375" s="9">
        <v>46521.99</v>
      </c>
      <c r="I375" s="9">
        <v>1794</v>
      </c>
      <c r="J375" s="9">
        <v>181235.97</v>
      </c>
      <c r="K375" s="12">
        <v>111.63</v>
      </c>
      <c r="L375" s="13">
        <f t="shared" si="22"/>
        <v>0.34999997743002964</v>
      </c>
      <c r="M375" s="15">
        <f t="shared" si="23"/>
        <v>1.3496842235456248E-2</v>
      </c>
      <c r="N375" s="15" t="str">
        <f t="shared" si="20"/>
        <v>Liquor</v>
      </c>
      <c r="O375" s="16">
        <f t="shared" si="21"/>
        <v>194.84</v>
      </c>
    </row>
    <row r="376" spans="1:15" x14ac:dyDescent="0.3">
      <c r="A376" s="3">
        <v>44984.466516203705</v>
      </c>
      <c r="B376" s="6" t="s">
        <v>2</v>
      </c>
      <c r="C376" s="9">
        <v>111.63</v>
      </c>
      <c r="D376" s="9">
        <v>240000</v>
      </c>
      <c r="E376" s="6">
        <v>0</v>
      </c>
      <c r="F376" s="6">
        <v>0</v>
      </c>
      <c r="G376" s="9">
        <v>0</v>
      </c>
      <c r="H376" s="9">
        <v>0</v>
      </c>
      <c r="I376" s="9">
        <v>0</v>
      </c>
      <c r="J376" s="9">
        <v>0</v>
      </c>
      <c r="K376" s="12">
        <v>240111.63</v>
      </c>
      <c r="L376" s="13">
        <f t="shared" si="22"/>
        <v>0</v>
      </c>
      <c r="M376" s="15">
        <f t="shared" si="23"/>
        <v>0</v>
      </c>
      <c r="N376" s="15" t="str">
        <f t="shared" si="20"/>
        <v>-</v>
      </c>
      <c r="O376" s="16">
        <f t="shared" si="21"/>
        <v>0</v>
      </c>
    </row>
    <row r="377" spans="1:15" x14ac:dyDescent="0.3">
      <c r="A377" s="3">
        <v>44984.52548611111</v>
      </c>
      <c r="B377" s="6" t="s">
        <v>3</v>
      </c>
      <c r="C377" s="9">
        <v>240111.63</v>
      </c>
      <c r="D377" s="9">
        <v>0</v>
      </c>
      <c r="E377" s="6">
        <v>0</v>
      </c>
      <c r="F377" s="6">
        <v>192.87</v>
      </c>
      <c r="G377" s="9">
        <v>175965.71</v>
      </c>
      <c r="H377" s="9">
        <v>61588</v>
      </c>
      <c r="I377" s="9">
        <v>2376</v>
      </c>
      <c r="J377" s="9">
        <v>239929.71</v>
      </c>
      <c r="K377" s="12">
        <v>181.92</v>
      </c>
      <c r="L377" s="13">
        <f t="shared" si="22"/>
        <v>0.35000000852438812</v>
      </c>
      <c r="M377" s="15">
        <f t="shared" si="23"/>
        <v>1.3502630711403944E-2</v>
      </c>
      <c r="N377" s="15" t="str">
        <f t="shared" si="20"/>
        <v>Liquor</v>
      </c>
      <c r="O377" s="16">
        <f t="shared" si="21"/>
        <v>257.16000000000003</v>
      </c>
    </row>
    <row r="378" spans="1:15" x14ac:dyDescent="0.3">
      <c r="A378" s="3">
        <v>44989.481365740743</v>
      </c>
      <c r="B378" s="6" t="s">
        <v>2</v>
      </c>
      <c r="C378" s="9">
        <v>181.92</v>
      </c>
      <c r="D378" s="9">
        <v>238000</v>
      </c>
      <c r="E378" s="6">
        <v>0</v>
      </c>
      <c r="F378" s="6">
        <v>0</v>
      </c>
      <c r="G378" s="9">
        <v>0</v>
      </c>
      <c r="H378" s="9">
        <v>0</v>
      </c>
      <c r="I378" s="9">
        <v>0</v>
      </c>
      <c r="J378" s="9">
        <v>0</v>
      </c>
      <c r="K378" s="12">
        <v>238181.92</v>
      </c>
      <c r="L378" s="13">
        <f t="shared" si="22"/>
        <v>0</v>
      </c>
      <c r="M378" s="15">
        <f t="shared" si="23"/>
        <v>0</v>
      </c>
      <c r="N378" s="15" t="str">
        <f t="shared" si="20"/>
        <v>-</v>
      </c>
      <c r="O378" s="16">
        <f t="shared" si="21"/>
        <v>0</v>
      </c>
    </row>
    <row r="379" spans="1:15" x14ac:dyDescent="0.3">
      <c r="A379" s="3">
        <v>44989.520335648151</v>
      </c>
      <c r="B379" s="6" t="s">
        <v>3</v>
      </c>
      <c r="C379" s="9">
        <v>238181.92</v>
      </c>
      <c r="D379" s="9">
        <v>0</v>
      </c>
      <c r="E379" s="6">
        <v>0</v>
      </c>
      <c r="F379" s="6">
        <v>198.71</v>
      </c>
      <c r="G379" s="9">
        <v>174322.36</v>
      </c>
      <c r="H379" s="9">
        <v>61012.83</v>
      </c>
      <c r="I379" s="9">
        <v>2353</v>
      </c>
      <c r="J379" s="9">
        <v>237688.19</v>
      </c>
      <c r="K379" s="12">
        <v>493.73</v>
      </c>
      <c r="L379" s="13">
        <f t="shared" si="22"/>
        <v>0.35000002294599503</v>
      </c>
      <c r="M379" s="15">
        <f t="shared" si="23"/>
        <v>1.3497981555550305E-2</v>
      </c>
      <c r="N379" s="15" t="str">
        <f t="shared" si="20"/>
        <v>Liquor</v>
      </c>
      <c r="O379" s="16">
        <f t="shared" si="21"/>
        <v>264.94666666666666</v>
      </c>
    </row>
    <row r="380" spans="1:15" x14ac:dyDescent="0.3">
      <c r="A380" s="3">
        <v>44991.378194444442</v>
      </c>
      <c r="B380" s="6" t="s">
        <v>2</v>
      </c>
      <c r="C380" s="9">
        <v>493.73</v>
      </c>
      <c r="D380" s="9">
        <v>135000</v>
      </c>
      <c r="E380" s="6">
        <v>0</v>
      </c>
      <c r="F380" s="6">
        <v>0</v>
      </c>
      <c r="G380" s="9">
        <v>0</v>
      </c>
      <c r="H380" s="9">
        <v>0</v>
      </c>
      <c r="I380" s="9">
        <v>0</v>
      </c>
      <c r="J380" s="9">
        <v>0</v>
      </c>
      <c r="K380" s="12">
        <v>135493.73000000001</v>
      </c>
      <c r="L380" s="13">
        <f t="shared" si="22"/>
        <v>0</v>
      </c>
      <c r="M380" s="15">
        <f t="shared" si="23"/>
        <v>0</v>
      </c>
      <c r="N380" s="15" t="str">
        <f t="shared" si="20"/>
        <v>-</v>
      </c>
      <c r="O380" s="16">
        <f t="shared" si="21"/>
        <v>0</v>
      </c>
    </row>
    <row r="381" spans="1:15" x14ac:dyDescent="0.3">
      <c r="A381" s="3">
        <v>44991.467986111114</v>
      </c>
      <c r="B381" s="6" t="s">
        <v>3</v>
      </c>
      <c r="C381" s="9">
        <v>135493.73000000001</v>
      </c>
      <c r="D381" s="9">
        <v>0</v>
      </c>
      <c r="E381" s="6">
        <v>600.6</v>
      </c>
      <c r="F381" s="6">
        <v>0</v>
      </c>
      <c r="G381" s="9">
        <v>98333.48</v>
      </c>
      <c r="H381" s="9">
        <v>34416.720000000001</v>
      </c>
      <c r="I381" s="9">
        <v>1328</v>
      </c>
      <c r="J381" s="9">
        <v>134078.20000000001</v>
      </c>
      <c r="K381" s="12">
        <v>1415.53</v>
      </c>
      <c r="L381" s="13">
        <f t="shared" si="22"/>
        <v>0.35000002033895272</v>
      </c>
      <c r="M381" s="15">
        <f t="shared" si="23"/>
        <v>1.3505064602615508E-2</v>
      </c>
      <c r="N381" s="15" t="str">
        <f t="shared" si="20"/>
        <v>Beer</v>
      </c>
      <c r="O381" s="16">
        <f t="shared" si="21"/>
        <v>600.6</v>
      </c>
    </row>
    <row r="382" spans="1:15" x14ac:dyDescent="0.3">
      <c r="A382" s="3">
        <v>44994.476099537038</v>
      </c>
      <c r="B382" s="6" t="s">
        <v>2</v>
      </c>
      <c r="C382" s="9">
        <v>1415.53</v>
      </c>
      <c r="D382" s="9">
        <v>250000</v>
      </c>
      <c r="E382" s="6">
        <v>0</v>
      </c>
      <c r="F382" s="6">
        <v>0</v>
      </c>
      <c r="G382" s="9">
        <v>0</v>
      </c>
      <c r="H382" s="9">
        <v>0</v>
      </c>
      <c r="I382" s="9">
        <v>0</v>
      </c>
      <c r="J382" s="9">
        <v>0</v>
      </c>
      <c r="K382" s="12">
        <v>251415.53</v>
      </c>
      <c r="L382" s="13">
        <f t="shared" si="22"/>
        <v>0</v>
      </c>
      <c r="M382" s="15">
        <f t="shared" si="23"/>
        <v>0</v>
      </c>
      <c r="N382" s="15" t="str">
        <f t="shared" si="20"/>
        <v>-</v>
      </c>
      <c r="O382" s="16">
        <f t="shared" si="21"/>
        <v>0</v>
      </c>
    </row>
    <row r="383" spans="1:15" x14ac:dyDescent="0.3">
      <c r="A383" s="3">
        <v>44994.538124999999</v>
      </c>
      <c r="B383" s="6" t="s">
        <v>3</v>
      </c>
      <c r="C383" s="9">
        <v>251415.53</v>
      </c>
      <c r="D383" s="9">
        <v>0</v>
      </c>
      <c r="E383" s="6">
        <v>0</v>
      </c>
      <c r="F383" s="6">
        <v>211.93</v>
      </c>
      <c r="G383" s="9">
        <v>184305.66</v>
      </c>
      <c r="H383" s="9">
        <v>64506.98</v>
      </c>
      <c r="I383" s="9">
        <v>2488</v>
      </c>
      <c r="J383" s="9">
        <v>251300.64</v>
      </c>
      <c r="K383" s="12">
        <v>114.89</v>
      </c>
      <c r="L383" s="13">
        <f t="shared" si="22"/>
        <v>0.34999999457423064</v>
      </c>
      <c r="M383" s="15">
        <f t="shared" si="23"/>
        <v>1.3499314128497192E-2</v>
      </c>
      <c r="N383" s="15" t="str">
        <f t="shared" si="20"/>
        <v>Liquor</v>
      </c>
      <c r="O383" s="16">
        <f t="shared" si="21"/>
        <v>282.57333333333332</v>
      </c>
    </row>
    <row r="384" spans="1:15" x14ac:dyDescent="0.3">
      <c r="A384" s="3">
        <v>45015.9531712963</v>
      </c>
      <c r="B384" s="6" t="s">
        <v>2</v>
      </c>
      <c r="C384" s="9">
        <v>114.89</v>
      </c>
      <c r="D384" s="9">
        <v>167228</v>
      </c>
      <c r="E384" s="6">
        <v>0</v>
      </c>
      <c r="F384" s="6">
        <v>0</v>
      </c>
      <c r="G384" s="9">
        <v>0</v>
      </c>
      <c r="H384" s="9">
        <v>0</v>
      </c>
      <c r="I384" s="9">
        <v>0</v>
      </c>
      <c r="J384" s="9">
        <v>0</v>
      </c>
      <c r="K384" s="12">
        <v>167342.89000000001</v>
      </c>
      <c r="L384" s="13">
        <f t="shared" si="22"/>
        <v>0</v>
      </c>
      <c r="M384" s="15">
        <f t="shared" si="23"/>
        <v>0</v>
      </c>
      <c r="N384" s="15" t="str">
        <f t="shared" si="20"/>
        <v>-</v>
      </c>
      <c r="O384" s="16">
        <f t="shared" si="21"/>
        <v>0</v>
      </c>
    </row>
    <row r="385" spans="1:15" x14ac:dyDescent="0.3">
      <c r="A385" s="3">
        <v>45016.476550925923</v>
      </c>
      <c r="B385" s="6" t="s">
        <v>2</v>
      </c>
      <c r="C385" s="9">
        <v>167342.89000000001</v>
      </c>
      <c r="D385" s="9">
        <v>23000</v>
      </c>
      <c r="E385" s="6">
        <v>0</v>
      </c>
      <c r="F385" s="6">
        <v>0</v>
      </c>
      <c r="G385" s="9">
        <v>0</v>
      </c>
      <c r="H385" s="9">
        <v>0</v>
      </c>
      <c r="I385" s="9">
        <v>0</v>
      </c>
      <c r="J385" s="9">
        <v>0</v>
      </c>
      <c r="K385" s="12">
        <v>190342.89</v>
      </c>
      <c r="L385" s="13">
        <f t="shared" si="22"/>
        <v>0</v>
      </c>
      <c r="M385" s="15">
        <f t="shared" si="23"/>
        <v>0</v>
      </c>
      <c r="N385" s="15" t="str">
        <f t="shared" si="20"/>
        <v>-</v>
      </c>
      <c r="O385" s="16">
        <f t="shared" si="21"/>
        <v>0</v>
      </c>
    </row>
    <row r="386" spans="1:15" x14ac:dyDescent="0.3">
      <c r="A386" s="3">
        <v>45016.544999999998</v>
      </c>
      <c r="B386" s="6" t="s">
        <v>3</v>
      </c>
      <c r="C386" s="9">
        <v>190342.89</v>
      </c>
      <c r="D386" s="9">
        <v>0</v>
      </c>
      <c r="E386" s="6">
        <v>0</v>
      </c>
      <c r="F386" s="6">
        <v>149.91</v>
      </c>
      <c r="G386" s="9">
        <v>138860.95000000001</v>
      </c>
      <c r="H386" s="9">
        <v>48601.32</v>
      </c>
      <c r="I386" s="9">
        <v>1875</v>
      </c>
      <c r="J386" s="9">
        <v>189337.27</v>
      </c>
      <c r="K386" s="12">
        <v>1005.62</v>
      </c>
      <c r="L386" s="13">
        <f t="shared" si="22"/>
        <v>0.3499999099818919</v>
      </c>
      <c r="M386" s="15">
        <f t="shared" si="23"/>
        <v>1.3502716206392077E-2</v>
      </c>
      <c r="N386" s="15" t="str">
        <f t="shared" si="20"/>
        <v>Liquor</v>
      </c>
      <c r="O386" s="16">
        <f t="shared" si="21"/>
        <v>199.88</v>
      </c>
    </row>
    <row r="387" spans="1:15" x14ac:dyDescent="0.3">
      <c r="A387" s="3">
        <v>45026.484791666669</v>
      </c>
      <c r="B387" s="6" t="s">
        <v>2</v>
      </c>
      <c r="C387" s="9">
        <v>1005.62</v>
      </c>
      <c r="D387" s="9">
        <v>560930</v>
      </c>
      <c r="E387" s="6">
        <v>0</v>
      </c>
      <c r="F387" s="6">
        <v>0</v>
      </c>
      <c r="G387" s="9">
        <v>0</v>
      </c>
      <c r="H387" s="9">
        <v>0</v>
      </c>
      <c r="I387" s="9">
        <v>0</v>
      </c>
      <c r="J387" s="9">
        <v>0</v>
      </c>
      <c r="K387" s="12">
        <v>561935.62</v>
      </c>
      <c r="L387" s="13">
        <f t="shared" si="22"/>
        <v>0</v>
      </c>
      <c r="M387" s="15">
        <f t="shared" si="23"/>
        <v>0</v>
      </c>
      <c r="N387" s="15" t="str">
        <f t="shared" ref="N387:N450" si="24">IF($E387&lt;&gt;0,"Beer",IF($F387&lt;&gt;0,"Liquor","-"))</f>
        <v>-</v>
      </c>
      <c r="O387" s="16">
        <f t="shared" ref="O387:O450" si="25">IF($E387&lt;&gt;0,$E387,IF($F387&lt;&gt;0,$F387/0.75,0))</f>
        <v>0</v>
      </c>
    </row>
    <row r="388" spans="1:15" x14ac:dyDescent="0.3">
      <c r="A388" s="3">
        <v>45026.48574074074</v>
      </c>
      <c r="B388" s="6" t="s">
        <v>2</v>
      </c>
      <c r="C388" s="9">
        <v>561935.62</v>
      </c>
      <c r="D388" s="9">
        <v>490000</v>
      </c>
      <c r="E388" s="6">
        <v>0</v>
      </c>
      <c r="F388" s="6">
        <v>0</v>
      </c>
      <c r="G388" s="9">
        <v>0</v>
      </c>
      <c r="H388" s="9">
        <v>0</v>
      </c>
      <c r="I388" s="9">
        <v>0</v>
      </c>
      <c r="J388" s="9">
        <v>0</v>
      </c>
      <c r="K388" s="12">
        <v>1051935.6200000001</v>
      </c>
      <c r="L388" s="13">
        <f t="shared" ref="L388:L451" si="26">IFERROR(H388/$G388,0)</f>
        <v>0</v>
      </c>
      <c r="M388" s="15">
        <f t="shared" ref="M388:M451" si="27">IFERROR(I388/$G388,0)</f>
        <v>0</v>
      </c>
      <c r="N388" s="15" t="str">
        <f t="shared" si="24"/>
        <v>-</v>
      </c>
      <c r="O388" s="16">
        <f t="shared" si="25"/>
        <v>0</v>
      </c>
    </row>
    <row r="389" spans="1:15" x14ac:dyDescent="0.3">
      <c r="A389" s="3">
        <v>45026.939895833333</v>
      </c>
      <c r="B389" s="6" t="s">
        <v>3</v>
      </c>
      <c r="C389" s="9">
        <v>1051935.6200000001</v>
      </c>
      <c r="D389" s="9">
        <v>0</v>
      </c>
      <c r="E389" s="6">
        <v>679.8</v>
      </c>
      <c r="F389" s="6">
        <v>0</v>
      </c>
      <c r="G389" s="9">
        <v>117698.44</v>
      </c>
      <c r="H389" s="9">
        <v>41194.449999999997</v>
      </c>
      <c r="I389" s="9">
        <v>1589</v>
      </c>
      <c r="J389" s="9">
        <v>160481.89000000001</v>
      </c>
      <c r="K389" s="12">
        <v>891453.73</v>
      </c>
      <c r="L389" s="13">
        <f t="shared" si="26"/>
        <v>0.34999996601484262</v>
      </c>
      <c r="M389" s="15">
        <f t="shared" si="27"/>
        <v>1.3500603746319832E-2</v>
      </c>
      <c r="N389" s="15" t="str">
        <f t="shared" si="24"/>
        <v>Beer</v>
      </c>
      <c r="O389" s="16">
        <f t="shared" si="25"/>
        <v>679.8</v>
      </c>
    </row>
    <row r="390" spans="1:15" x14ac:dyDescent="0.3">
      <c r="A390" s="3">
        <v>45026.942465277774</v>
      </c>
      <c r="B390" s="6" t="s">
        <v>3</v>
      </c>
      <c r="C390" s="9">
        <v>891453.73</v>
      </c>
      <c r="D390" s="9">
        <v>0</v>
      </c>
      <c r="E390" s="6">
        <v>0</v>
      </c>
      <c r="F390" s="6">
        <v>319.89999999999998</v>
      </c>
      <c r="G390" s="9">
        <v>316040.53999999998</v>
      </c>
      <c r="H390" s="9">
        <v>110614.19</v>
      </c>
      <c r="I390" s="9">
        <v>4267</v>
      </c>
      <c r="J390" s="9">
        <v>430921.73</v>
      </c>
      <c r="K390" s="12">
        <v>460532</v>
      </c>
      <c r="L390" s="13">
        <f t="shared" si="26"/>
        <v>0.35000000316415109</v>
      </c>
      <c r="M390" s="15">
        <f t="shared" si="27"/>
        <v>1.350143244281256E-2</v>
      </c>
      <c r="N390" s="15" t="str">
        <f t="shared" si="24"/>
        <v>Liquor</v>
      </c>
      <c r="O390" s="16">
        <f t="shared" si="25"/>
        <v>426.5333333333333</v>
      </c>
    </row>
    <row r="391" spans="1:15" x14ac:dyDescent="0.3">
      <c r="A391" s="3">
        <v>45029.816342592596</v>
      </c>
      <c r="B391" s="6" t="s">
        <v>3</v>
      </c>
      <c r="C391" s="9">
        <v>460532</v>
      </c>
      <c r="D391" s="9">
        <v>0</v>
      </c>
      <c r="E391" s="6">
        <v>1334.4</v>
      </c>
      <c r="F391" s="6">
        <v>0</v>
      </c>
      <c r="G391" s="9">
        <v>215079.78</v>
      </c>
      <c r="H391" s="9">
        <v>75278.070000000007</v>
      </c>
      <c r="I391" s="9">
        <v>2904</v>
      </c>
      <c r="J391" s="9">
        <v>293261.84999999998</v>
      </c>
      <c r="K391" s="12">
        <v>167270.15</v>
      </c>
      <c r="L391" s="13">
        <f t="shared" si="26"/>
        <v>0.35000068346731622</v>
      </c>
      <c r="M391" s="15">
        <f t="shared" si="27"/>
        <v>1.3501966572589948E-2</v>
      </c>
      <c r="N391" s="15" t="str">
        <f t="shared" si="24"/>
        <v>Beer</v>
      </c>
      <c r="O391" s="16">
        <f t="shared" si="25"/>
        <v>1334.4</v>
      </c>
    </row>
    <row r="392" spans="1:15" x14ac:dyDescent="0.3">
      <c r="A392" s="3">
        <v>45029.817129629628</v>
      </c>
      <c r="B392" s="6" t="s">
        <v>3</v>
      </c>
      <c r="C392" s="9">
        <v>167270.15</v>
      </c>
      <c r="D392" s="9">
        <v>0</v>
      </c>
      <c r="E392" s="6">
        <v>0</v>
      </c>
      <c r="F392" s="6">
        <v>126.74</v>
      </c>
      <c r="G392" s="9">
        <v>121694.11</v>
      </c>
      <c r="H392" s="9">
        <v>42592.94</v>
      </c>
      <c r="I392" s="9">
        <v>1643</v>
      </c>
      <c r="J392" s="9">
        <v>165930.04999999999</v>
      </c>
      <c r="K392" s="12">
        <v>1340.1</v>
      </c>
      <c r="L392" s="13">
        <f t="shared" si="26"/>
        <v>0.35000001232598688</v>
      </c>
      <c r="M392" s="15">
        <f t="shared" si="27"/>
        <v>1.3501064266791547E-2</v>
      </c>
      <c r="N392" s="15" t="str">
        <f t="shared" si="24"/>
        <v>Liquor</v>
      </c>
      <c r="O392" s="16">
        <f t="shared" si="25"/>
        <v>168.98666666666665</v>
      </c>
    </row>
    <row r="393" spans="1:15" x14ac:dyDescent="0.3">
      <c r="A393" s="3">
        <v>45049.380162037036</v>
      </c>
      <c r="B393" s="6" t="s">
        <v>2</v>
      </c>
      <c r="C393" s="9">
        <v>1340.1</v>
      </c>
      <c r="D393" s="9">
        <v>370000</v>
      </c>
      <c r="E393" s="6">
        <v>0</v>
      </c>
      <c r="F393" s="6">
        <v>0</v>
      </c>
      <c r="G393" s="9">
        <v>0</v>
      </c>
      <c r="H393" s="9">
        <v>0</v>
      </c>
      <c r="I393" s="9">
        <v>0</v>
      </c>
      <c r="J393" s="9">
        <v>0</v>
      </c>
      <c r="K393" s="12">
        <v>371340.1</v>
      </c>
      <c r="L393" s="13">
        <f t="shared" si="26"/>
        <v>0</v>
      </c>
      <c r="M393" s="15">
        <f t="shared" si="27"/>
        <v>0</v>
      </c>
      <c r="N393" s="15" t="str">
        <f t="shared" si="24"/>
        <v>-</v>
      </c>
      <c r="O393" s="16">
        <f t="shared" si="25"/>
        <v>0</v>
      </c>
    </row>
    <row r="394" spans="1:15" x14ac:dyDescent="0.3">
      <c r="A394" s="3">
        <v>45049.700300925928</v>
      </c>
      <c r="B394" s="6" t="s">
        <v>3</v>
      </c>
      <c r="C394" s="9">
        <v>371340.1</v>
      </c>
      <c r="D394" s="9">
        <v>0</v>
      </c>
      <c r="E394" s="6">
        <v>0</v>
      </c>
      <c r="F394" s="6">
        <v>132.16999999999999</v>
      </c>
      <c r="G394" s="9">
        <v>150056.89000000001</v>
      </c>
      <c r="H394" s="9">
        <v>52519.91</v>
      </c>
      <c r="I394" s="9">
        <v>2026</v>
      </c>
      <c r="J394" s="9">
        <v>204602.8</v>
      </c>
      <c r="K394" s="12">
        <v>166737.29999999999</v>
      </c>
      <c r="L394" s="13">
        <f t="shared" si="26"/>
        <v>0.34999999000379123</v>
      </c>
      <c r="M394" s="15">
        <f t="shared" si="27"/>
        <v>1.3501545980327859E-2</v>
      </c>
      <c r="N394" s="15" t="str">
        <f t="shared" si="24"/>
        <v>Liquor</v>
      </c>
      <c r="O394" s="16">
        <f t="shared" si="25"/>
        <v>176.22666666666666</v>
      </c>
    </row>
    <row r="395" spans="1:15" x14ac:dyDescent="0.3">
      <c r="A395" s="3">
        <v>45049.701215277775</v>
      </c>
      <c r="B395" s="6" t="s">
        <v>3</v>
      </c>
      <c r="C395" s="9">
        <v>166737.29999999999</v>
      </c>
      <c r="D395" s="9">
        <v>0</v>
      </c>
      <c r="E395" s="6">
        <v>712.8</v>
      </c>
      <c r="F395" s="6">
        <v>0</v>
      </c>
      <c r="G395" s="9">
        <v>122222.24</v>
      </c>
      <c r="H395" s="9">
        <v>42777.78</v>
      </c>
      <c r="I395" s="9">
        <v>1650</v>
      </c>
      <c r="J395" s="9">
        <v>166650.01999999999</v>
      </c>
      <c r="K395" s="12">
        <v>87.28</v>
      </c>
      <c r="L395" s="13">
        <f t="shared" si="26"/>
        <v>0.34999996727273203</v>
      </c>
      <c r="M395" s="15">
        <f t="shared" si="27"/>
        <v>1.3499998036363921E-2</v>
      </c>
      <c r="N395" s="15" t="str">
        <f t="shared" si="24"/>
        <v>Beer</v>
      </c>
      <c r="O395" s="16">
        <f t="shared" si="25"/>
        <v>712.8</v>
      </c>
    </row>
    <row r="396" spans="1:15" x14ac:dyDescent="0.3">
      <c r="A396" s="3">
        <v>45056.492939814816</v>
      </c>
      <c r="B396" s="6" t="s">
        <v>2</v>
      </c>
      <c r="C396" s="9">
        <v>87.28</v>
      </c>
      <c r="D396" s="9">
        <v>130000</v>
      </c>
      <c r="E396" s="6">
        <v>0</v>
      </c>
      <c r="F396" s="6">
        <v>0</v>
      </c>
      <c r="G396" s="9">
        <v>0</v>
      </c>
      <c r="H396" s="9">
        <v>0</v>
      </c>
      <c r="I396" s="9">
        <v>0</v>
      </c>
      <c r="J396" s="9">
        <v>0</v>
      </c>
      <c r="K396" s="12">
        <v>130087.28</v>
      </c>
      <c r="L396" s="13">
        <f t="shared" si="26"/>
        <v>0</v>
      </c>
      <c r="M396" s="15">
        <f t="shared" si="27"/>
        <v>0</v>
      </c>
      <c r="N396" s="15" t="str">
        <f t="shared" si="24"/>
        <v>-</v>
      </c>
      <c r="O396" s="16">
        <f t="shared" si="25"/>
        <v>0</v>
      </c>
    </row>
    <row r="397" spans="1:15" x14ac:dyDescent="0.3">
      <c r="A397" s="3">
        <v>45056.498101851852</v>
      </c>
      <c r="B397" s="6" t="s">
        <v>2</v>
      </c>
      <c r="C397" s="9">
        <v>130087.28</v>
      </c>
      <c r="D397" s="9">
        <v>38000</v>
      </c>
      <c r="E397" s="6">
        <v>0</v>
      </c>
      <c r="F397" s="6">
        <v>0</v>
      </c>
      <c r="G397" s="9">
        <v>0</v>
      </c>
      <c r="H397" s="9">
        <v>0</v>
      </c>
      <c r="I397" s="9">
        <v>0</v>
      </c>
      <c r="J397" s="9">
        <v>0</v>
      </c>
      <c r="K397" s="12">
        <v>168087.28</v>
      </c>
      <c r="L397" s="13">
        <f t="shared" si="26"/>
        <v>0</v>
      </c>
      <c r="M397" s="15">
        <f t="shared" si="27"/>
        <v>0</v>
      </c>
      <c r="N397" s="15" t="str">
        <f t="shared" si="24"/>
        <v>-</v>
      </c>
      <c r="O397" s="16">
        <f t="shared" si="25"/>
        <v>0</v>
      </c>
    </row>
    <row r="398" spans="1:15" x14ac:dyDescent="0.3">
      <c r="A398" s="3">
        <v>45056.6640625</v>
      </c>
      <c r="B398" s="6" t="s">
        <v>3</v>
      </c>
      <c r="C398" s="9">
        <v>168087.28</v>
      </c>
      <c r="D398" s="9">
        <v>0</v>
      </c>
      <c r="E398" s="6">
        <v>0</v>
      </c>
      <c r="F398" s="6">
        <v>134.97999999999999</v>
      </c>
      <c r="G398" s="9">
        <v>123131.36</v>
      </c>
      <c r="H398" s="9">
        <v>43095.96</v>
      </c>
      <c r="I398" s="9">
        <v>1662</v>
      </c>
      <c r="J398" s="9">
        <v>167889.32</v>
      </c>
      <c r="K398" s="12">
        <v>197.96</v>
      </c>
      <c r="L398" s="13">
        <f t="shared" si="26"/>
        <v>0.34999987005747357</v>
      </c>
      <c r="M398" s="15">
        <f t="shared" si="27"/>
        <v>1.3497779931936104E-2</v>
      </c>
      <c r="N398" s="15" t="str">
        <f t="shared" si="24"/>
        <v>Liquor</v>
      </c>
      <c r="O398" s="16">
        <f t="shared" si="25"/>
        <v>179.97333333333333</v>
      </c>
    </row>
    <row r="399" spans="1:15" x14ac:dyDescent="0.3">
      <c r="A399" s="3">
        <v>45058.479097222225</v>
      </c>
      <c r="B399" s="6" t="s">
        <v>2</v>
      </c>
      <c r="C399" s="9">
        <v>197.96</v>
      </c>
      <c r="D399" s="9">
        <v>155000</v>
      </c>
      <c r="E399" s="6">
        <v>0</v>
      </c>
      <c r="F399" s="6">
        <v>0</v>
      </c>
      <c r="G399" s="9">
        <v>0</v>
      </c>
      <c r="H399" s="9">
        <v>0</v>
      </c>
      <c r="I399" s="9">
        <v>0</v>
      </c>
      <c r="J399" s="9">
        <v>0</v>
      </c>
      <c r="K399" s="12">
        <v>155197.96</v>
      </c>
      <c r="L399" s="13">
        <f t="shared" si="26"/>
        <v>0</v>
      </c>
      <c r="M399" s="15">
        <f t="shared" si="27"/>
        <v>0</v>
      </c>
      <c r="N399" s="15" t="str">
        <f t="shared" si="24"/>
        <v>-</v>
      </c>
      <c r="O399" s="16">
        <f t="shared" si="25"/>
        <v>0</v>
      </c>
    </row>
    <row r="400" spans="1:15" x14ac:dyDescent="0.3">
      <c r="A400" s="3">
        <v>45058.536157407405</v>
      </c>
      <c r="B400" s="6" t="s">
        <v>3</v>
      </c>
      <c r="C400" s="9">
        <v>155197.96</v>
      </c>
      <c r="D400" s="9">
        <v>0</v>
      </c>
      <c r="E400" s="6">
        <v>0</v>
      </c>
      <c r="F400" s="6">
        <v>105.73</v>
      </c>
      <c r="G400" s="9">
        <v>113796.58</v>
      </c>
      <c r="H400" s="9">
        <v>39828.800000000003</v>
      </c>
      <c r="I400" s="9">
        <v>1536</v>
      </c>
      <c r="J400" s="9">
        <v>155161.38</v>
      </c>
      <c r="K400" s="12">
        <v>36.58</v>
      </c>
      <c r="L400" s="13">
        <f t="shared" si="26"/>
        <v>0.34999997363716906</v>
      </c>
      <c r="M400" s="15">
        <f t="shared" si="27"/>
        <v>1.3497769440874233E-2</v>
      </c>
      <c r="N400" s="15" t="str">
        <f t="shared" si="24"/>
        <v>Liquor</v>
      </c>
      <c r="O400" s="16">
        <f t="shared" si="25"/>
        <v>140.97333333333333</v>
      </c>
    </row>
    <row r="401" spans="1:15" x14ac:dyDescent="0.3">
      <c r="A401" s="3">
        <v>45062.743402777778</v>
      </c>
      <c r="B401" s="6" t="s">
        <v>2</v>
      </c>
      <c r="C401" s="9">
        <v>36.58</v>
      </c>
      <c r="D401" s="9">
        <v>160000</v>
      </c>
      <c r="E401" s="6">
        <v>0</v>
      </c>
      <c r="F401" s="6">
        <v>0</v>
      </c>
      <c r="G401" s="9">
        <v>0</v>
      </c>
      <c r="H401" s="9">
        <v>0</v>
      </c>
      <c r="I401" s="9">
        <v>0</v>
      </c>
      <c r="J401" s="9">
        <v>0</v>
      </c>
      <c r="K401" s="12">
        <v>160036.57999999999</v>
      </c>
      <c r="L401" s="13">
        <f t="shared" si="26"/>
        <v>0</v>
      </c>
      <c r="M401" s="15">
        <f t="shared" si="27"/>
        <v>0</v>
      </c>
      <c r="N401" s="15" t="str">
        <f t="shared" si="24"/>
        <v>-</v>
      </c>
      <c r="O401" s="16">
        <f t="shared" si="25"/>
        <v>0</v>
      </c>
    </row>
    <row r="402" spans="1:15" x14ac:dyDescent="0.3">
      <c r="A402" s="3">
        <v>45063.542638888888</v>
      </c>
      <c r="B402" s="6" t="s">
        <v>3</v>
      </c>
      <c r="C402" s="9">
        <v>160036.57999999999</v>
      </c>
      <c r="D402" s="9">
        <v>0</v>
      </c>
      <c r="E402" s="6">
        <v>549</v>
      </c>
      <c r="F402" s="6">
        <v>0</v>
      </c>
      <c r="G402" s="9">
        <v>93888.85</v>
      </c>
      <c r="H402" s="9">
        <v>32861.1</v>
      </c>
      <c r="I402" s="9">
        <v>1268</v>
      </c>
      <c r="J402" s="9">
        <v>128017.95</v>
      </c>
      <c r="K402" s="12">
        <v>32018.63</v>
      </c>
      <c r="L402" s="13">
        <f t="shared" si="26"/>
        <v>0.35000002662722995</v>
      </c>
      <c r="M402" s="15">
        <f t="shared" si="27"/>
        <v>1.350533103771108E-2</v>
      </c>
      <c r="N402" s="15" t="str">
        <f t="shared" si="24"/>
        <v>Beer</v>
      </c>
      <c r="O402" s="16">
        <f t="shared" si="25"/>
        <v>549</v>
      </c>
    </row>
    <row r="403" spans="1:15" x14ac:dyDescent="0.3">
      <c r="A403" s="3">
        <v>45064.498541666668</v>
      </c>
      <c r="B403" s="6" t="s">
        <v>2</v>
      </c>
      <c r="C403" s="9">
        <v>32018.63</v>
      </c>
      <c r="D403" s="9">
        <v>55000</v>
      </c>
      <c r="E403" s="6">
        <v>0</v>
      </c>
      <c r="F403" s="6">
        <v>0</v>
      </c>
      <c r="G403" s="9">
        <v>0</v>
      </c>
      <c r="H403" s="9">
        <v>0</v>
      </c>
      <c r="I403" s="9">
        <v>0</v>
      </c>
      <c r="J403" s="9">
        <v>0</v>
      </c>
      <c r="K403" s="12">
        <v>87018.63</v>
      </c>
      <c r="L403" s="13">
        <f t="shared" si="26"/>
        <v>0</v>
      </c>
      <c r="M403" s="15">
        <f t="shared" si="27"/>
        <v>0</v>
      </c>
      <c r="N403" s="15" t="str">
        <f t="shared" si="24"/>
        <v>-</v>
      </c>
      <c r="O403" s="16">
        <f t="shared" si="25"/>
        <v>0</v>
      </c>
    </row>
    <row r="404" spans="1:15" x14ac:dyDescent="0.3">
      <c r="A404" s="3">
        <v>45066.463773148149</v>
      </c>
      <c r="B404" s="6" t="s">
        <v>2</v>
      </c>
      <c r="C404" s="9">
        <v>87018.63</v>
      </c>
      <c r="D404" s="9">
        <v>80000</v>
      </c>
      <c r="E404" s="6">
        <v>0</v>
      </c>
      <c r="F404" s="6">
        <v>0</v>
      </c>
      <c r="G404" s="9">
        <v>0</v>
      </c>
      <c r="H404" s="9">
        <v>0</v>
      </c>
      <c r="I404" s="9">
        <v>0</v>
      </c>
      <c r="J404" s="9">
        <v>0</v>
      </c>
      <c r="K404" s="12">
        <v>167018.63</v>
      </c>
      <c r="L404" s="13">
        <f t="shared" si="26"/>
        <v>0</v>
      </c>
      <c r="M404" s="15">
        <f t="shared" si="27"/>
        <v>0</v>
      </c>
      <c r="N404" s="15" t="str">
        <f t="shared" si="24"/>
        <v>-</v>
      </c>
      <c r="O404" s="16">
        <f t="shared" si="25"/>
        <v>0</v>
      </c>
    </row>
    <row r="405" spans="1:15" x14ac:dyDescent="0.3">
      <c r="A405" s="3">
        <v>45066.945057870369</v>
      </c>
      <c r="B405" s="6" t="s">
        <v>3</v>
      </c>
      <c r="C405" s="9">
        <v>167018.63</v>
      </c>
      <c r="D405" s="9">
        <v>0</v>
      </c>
      <c r="E405" s="6">
        <v>754.2</v>
      </c>
      <c r="F405" s="6">
        <v>0</v>
      </c>
      <c r="G405" s="9">
        <v>119047.91</v>
      </c>
      <c r="H405" s="9">
        <v>41666.949999999997</v>
      </c>
      <c r="I405" s="9">
        <v>1607</v>
      </c>
      <c r="J405" s="9">
        <v>162321.85999999999</v>
      </c>
      <c r="K405" s="12">
        <v>4696.7700000000004</v>
      </c>
      <c r="L405" s="13">
        <f t="shared" si="26"/>
        <v>0.35000152459627387</v>
      </c>
      <c r="M405" s="15">
        <f t="shared" si="27"/>
        <v>1.3498767009013429E-2</v>
      </c>
      <c r="N405" s="15" t="str">
        <f t="shared" si="24"/>
        <v>Beer</v>
      </c>
      <c r="O405" s="16">
        <f t="shared" si="25"/>
        <v>754.2</v>
      </c>
    </row>
    <row r="406" spans="1:15" x14ac:dyDescent="0.3">
      <c r="A406" s="3">
        <v>45076.422754629632</v>
      </c>
      <c r="B406" s="6" t="s">
        <v>2</v>
      </c>
      <c r="C406" s="9">
        <v>4696.7700000000004</v>
      </c>
      <c r="D406" s="9">
        <v>160000</v>
      </c>
      <c r="E406" s="6">
        <v>0</v>
      </c>
      <c r="F406" s="6">
        <v>0</v>
      </c>
      <c r="G406" s="9">
        <v>0</v>
      </c>
      <c r="H406" s="9">
        <v>0</v>
      </c>
      <c r="I406" s="9">
        <v>0</v>
      </c>
      <c r="J406" s="9">
        <v>0</v>
      </c>
      <c r="K406" s="12">
        <v>164696.76999999999</v>
      </c>
      <c r="L406" s="13">
        <f t="shared" si="26"/>
        <v>0</v>
      </c>
      <c r="M406" s="15">
        <f t="shared" si="27"/>
        <v>0</v>
      </c>
      <c r="N406" s="15" t="str">
        <f t="shared" si="24"/>
        <v>-</v>
      </c>
      <c r="O406" s="16">
        <f t="shared" si="25"/>
        <v>0</v>
      </c>
    </row>
    <row r="407" spans="1:15" x14ac:dyDescent="0.3">
      <c r="A407" s="3">
        <v>45076.703032407408</v>
      </c>
      <c r="B407" s="6" t="s">
        <v>3</v>
      </c>
      <c r="C407" s="9">
        <v>164696.76999999999</v>
      </c>
      <c r="D407" s="9">
        <v>0</v>
      </c>
      <c r="E407" s="6">
        <v>0</v>
      </c>
      <c r="F407" s="6">
        <v>52.38</v>
      </c>
      <c r="G407" s="9">
        <v>53253.99</v>
      </c>
      <c r="H407" s="9">
        <v>18638.900000000001</v>
      </c>
      <c r="I407" s="9">
        <v>719</v>
      </c>
      <c r="J407" s="9">
        <v>72611.89</v>
      </c>
      <c r="K407" s="12">
        <v>92084.88</v>
      </c>
      <c r="L407" s="13">
        <f t="shared" si="26"/>
        <v>0.35000006572277498</v>
      </c>
      <c r="M407" s="15">
        <f t="shared" si="27"/>
        <v>1.3501335768456035E-2</v>
      </c>
      <c r="N407" s="15" t="str">
        <f t="shared" si="24"/>
        <v>Liquor</v>
      </c>
      <c r="O407" s="16">
        <f t="shared" si="25"/>
        <v>69.84</v>
      </c>
    </row>
    <row r="408" spans="1:15" x14ac:dyDescent="0.3">
      <c r="A408" s="3">
        <v>45076.703576388885</v>
      </c>
      <c r="B408" s="6" t="s">
        <v>3</v>
      </c>
      <c r="C408" s="9">
        <v>92084.88</v>
      </c>
      <c r="D408" s="9">
        <v>0</v>
      </c>
      <c r="E408" s="6">
        <v>397.8</v>
      </c>
      <c r="F408" s="6">
        <v>0</v>
      </c>
      <c r="G408" s="9">
        <v>66587.27</v>
      </c>
      <c r="H408" s="9">
        <v>23305.54</v>
      </c>
      <c r="I408" s="9">
        <v>899</v>
      </c>
      <c r="J408" s="9">
        <v>90791.81</v>
      </c>
      <c r="K408" s="12">
        <v>1293.07</v>
      </c>
      <c r="L408" s="13">
        <f t="shared" si="26"/>
        <v>0.34999993241951499</v>
      </c>
      <c r="M408" s="15">
        <f t="shared" si="27"/>
        <v>1.3501079110166252E-2</v>
      </c>
      <c r="N408" s="15" t="str">
        <f t="shared" si="24"/>
        <v>Beer</v>
      </c>
      <c r="O408" s="16">
        <f t="shared" si="25"/>
        <v>397.8</v>
      </c>
    </row>
    <row r="409" spans="1:15" x14ac:dyDescent="0.3">
      <c r="A409" s="3">
        <v>45079.468310185184</v>
      </c>
      <c r="B409" s="6" t="s">
        <v>2</v>
      </c>
      <c r="C409" s="9">
        <v>1293.07</v>
      </c>
      <c r="D409" s="9">
        <v>320000</v>
      </c>
      <c r="E409" s="6">
        <v>0</v>
      </c>
      <c r="F409" s="6">
        <v>0</v>
      </c>
      <c r="G409" s="9">
        <v>0</v>
      </c>
      <c r="H409" s="9">
        <v>0</v>
      </c>
      <c r="I409" s="9">
        <v>0</v>
      </c>
      <c r="J409" s="9">
        <v>0</v>
      </c>
      <c r="K409" s="12">
        <v>321293.07</v>
      </c>
      <c r="L409" s="13">
        <f t="shared" si="26"/>
        <v>0</v>
      </c>
      <c r="M409" s="15">
        <f t="shared" si="27"/>
        <v>0</v>
      </c>
      <c r="N409" s="15" t="str">
        <f t="shared" si="24"/>
        <v>-</v>
      </c>
      <c r="O409" s="16">
        <f t="shared" si="25"/>
        <v>0</v>
      </c>
    </row>
    <row r="410" spans="1:15" x14ac:dyDescent="0.3">
      <c r="A410" s="3">
        <v>45079.530868055554</v>
      </c>
      <c r="B410" s="6" t="s">
        <v>3</v>
      </c>
      <c r="C410" s="9">
        <v>321293.07</v>
      </c>
      <c r="D410" s="9">
        <v>0</v>
      </c>
      <c r="E410" s="6">
        <v>418.8</v>
      </c>
      <c r="F410" s="6">
        <v>0</v>
      </c>
      <c r="G410" s="9">
        <v>71984.12</v>
      </c>
      <c r="H410" s="9">
        <v>25194.44</v>
      </c>
      <c r="I410" s="9">
        <v>972</v>
      </c>
      <c r="J410" s="9">
        <v>98150.56</v>
      </c>
      <c r="K410" s="12">
        <v>223142.51</v>
      </c>
      <c r="L410" s="13">
        <f t="shared" si="26"/>
        <v>0.34999997221609436</v>
      </c>
      <c r="M410" s="15">
        <f t="shared" si="27"/>
        <v>1.350297815684904E-2</v>
      </c>
      <c r="N410" s="15" t="str">
        <f t="shared" si="24"/>
        <v>Beer</v>
      </c>
      <c r="O410" s="16">
        <f t="shared" si="25"/>
        <v>418.8</v>
      </c>
    </row>
    <row r="411" spans="1:15" x14ac:dyDescent="0.3">
      <c r="A411" s="3">
        <v>45079.531608796293</v>
      </c>
      <c r="B411" s="6" t="s">
        <v>3</v>
      </c>
      <c r="C411" s="9">
        <v>223142.51</v>
      </c>
      <c r="D411" s="9">
        <v>0</v>
      </c>
      <c r="E411" s="6">
        <v>0</v>
      </c>
      <c r="F411" s="6">
        <v>102.02</v>
      </c>
      <c r="G411" s="9">
        <v>99411.42</v>
      </c>
      <c r="H411" s="9">
        <v>34794</v>
      </c>
      <c r="I411" s="9">
        <v>1342</v>
      </c>
      <c r="J411" s="9">
        <v>135547.42000000001</v>
      </c>
      <c r="K411" s="12">
        <v>87595.09</v>
      </c>
      <c r="L411" s="13">
        <f t="shared" si="26"/>
        <v>0.35000003017761944</v>
      </c>
      <c r="M411" s="15">
        <f t="shared" si="27"/>
        <v>1.3499455092785115E-2</v>
      </c>
      <c r="N411" s="15" t="str">
        <f t="shared" si="24"/>
        <v>Liquor</v>
      </c>
      <c r="O411" s="16">
        <f t="shared" si="25"/>
        <v>136.02666666666667</v>
      </c>
    </row>
    <row r="412" spans="1:15" x14ac:dyDescent="0.3">
      <c r="A412" s="3">
        <v>45083.819444444445</v>
      </c>
      <c r="B412" s="6" t="s">
        <v>3</v>
      </c>
      <c r="C412" s="9">
        <v>87595.09</v>
      </c>
      <c r="D412" s="9">
        <v>0</v>
      </c>
      <c r="E412" s="6">
        <v>383.4</v>
      </c>
      <c r="F412" s="6">
        <v>0</v>
      </c>
      <c r="G412" s="9">
        <v>63254.080000000002</v>
      </c>
      <c r="H412" s="9">
        <v>22139.02</v>
      </c>
      <c r="I412" s="9">
        <v>854</v>
      </c>
      <c r="J412" s="9">
        <v>86247.1</v>
      </c>
      <c r="K412" s="12">
        <v>1347.99</v>
      </c>
      <c r="L412" s="13">
        <f t="shared" si="26"/>
        <v>0.35000145445163378</v>
      </c>
      <c r="M412" s="15">
        <f t="shared" si="27"/>
        <v>1.3501105383241681E-2</v>
      </c>
      <c r="N412" s="15" t="str">
        <f t="shared" si="24"/>
        <v>Beer</v>
      </c>
      <c r="O412" s="16">
        <f t="shared" si="25"/>
        <v>383.4</v>
      </c>
    </row>
    <row r="413" spans="1:15" x14ac:dyDescent="0.3">
      <c r="A413" s="3">
        <v>45089.46056712963</v>
      </c>
      <c r="B413" s="6" t="s">
        <v>2</v>
      </c>
      <c r="C413" s="9">
        <v>1347.99</v>
      </c>
      <c r="D413" s="9">
        <v>150000</v>
      </c>
      <c r="E413" s="6">
        <v>0</v>
      </c>
      <c r="F413" s="6">
        <v>0</v>
      </c>
      <c r="G413" s="9">
        <v>0</v>
      </c>
      <c r="H413" s="9">
        <v>0</v>
      </c>
      <c r="I413" s="9">
        <v>0</v>
      </c>
      <c r="J413" s="9">
        <v>0</v>
      </c>
      <c r="K413" s="12">
        <v>151347.99</v>
      </c>
      <c r="L413" s="13">
        <f t="shared" si="26"/>
        <v>0</v>
      </c>
      <c r="M413" s="15">
        <f t="shared" si="27"/>
        <v>0</v>
      </c>
      <c r="N413" s="15" t="str">
        <f t="shared" si="24"/>
        <v>-</v>
      </c>
      <c r="O413" s="16">
        <f t="shared" si="25"/>
        <v>0</v>
      </c>
    </row>
    <row r="414" spans="1:15" x14ac:dyDescent="0.3">
      <c r="A414" s="3">
        <v>45089.726180555554</v>
      </c>
      <c r="B414" s="6" t="s">
        <v>3</v>
      </c>
      <c r="C414" s="9">
        <v>151347.99</v>
      </c>
      <c r="D414" s="9">
        <v>0</v>
      </c>
      <c r="E414" s="6">
        <v>583.79999999999995</v>
      </c>
      <c r="F414" s="6">
        <v>0</v>
      </c>
      <c r="G414" s="9">
        <v>94920.71</v>
      </c>
      <c r="H414" s="9">
        <v>33222.26</v>
      </c>
      <c r="I414" s="9">
        <v>1281</v>
      </c>
      <c r="J414" s="9">
        <v>129423.97</v>
      </c>
      <c r="K414" s="12">
        <v>21924.02</v>
      </c>
      <c r="L414" s="13">
        <f t="shared" si="26"/>
        <v>0.35000012115375034</v>
      </c>
      <c r="M414" s="15">
        <f t="shared" si="27"/>
        <v>1.3495474275318841E-2</v>
      </c>
      <c r="N414" s="15" t="str">
        <f t="shared" si="24"/>
        <v>Beer</v>
      </c>
      <c r="O414" s="16">
        <f t="shared" si="25"/>
        <v>583.79999999999995</v>
      </c>
    </row>
    <row r="415" spans="1:15" x14ac:dyDescent="0.3">
      <c r="A415" s="3">
        <v>45094.381724537037</v>
      </c>
      <c r="B415" s="6" t="s">
        <v>2</v>
      </c>
      <c r="C415" s="9">
        <v>21924.02</v>
      </c>
      <c r="D415" s="9">
        <v>340000</v>
      </c>
      <c r="E415" s="6">
        <v>0</v>
      </c>
      <c r="F415" s="6">
        <v>0</v>
      </c>
      <c r="G415" s="9">
        <v>0</v>
      </c>
      <c r="H415" s="9">
        <v>0</v>
      </c>
      <c r="I415" s="9">
        <v>0</v>
      </c>
      <c r="J415" s="9">
        <v>0</v>
      </c>
      <c r="K415" s="12">
        <v>361924.02</v>
      </c>
      <c r="L415" s="13">
        <f t="shared" si="26"/>
        <v>0</v>
      </c>
      <c r="M415" s="15">
        <f t="shared" si="27"/>
        <v>0</v>
      </c>
      <c r="N415" s="15" t="str">
        <f t="shared" si="24"/>
        <v>-</v>
      </c>
      <c r="O415" s="16">
        <f t="shared" si="25"/>
        <v>0</v>
      </c>
    </row>
    <row r="416" spans="1:15" x14ac:dyDescent="0.3">
      <c r="A416" s="3">
        <v>45094.522719907407</v>
      </c>
      <c r="B416" s="6" t="s">
        <v>2</v>
      </c>
      <c r="C416" s="9">
        <v>361924.02</v>
      </c>
      <c r="D416" s="9">
        <v>80000</v>
      </c>
      <c r="E416" s="6">
        <v>0</v>
      </c>
      <c r="F416" s="6">
        <v>0</v>
      </c>
      <c r="G416" s="9">
        <v>0</v>
      </c>
      <c r="H416" s="9">
        <v>0</v>
      </c>
      <c r="I416" s="9">
        <v>0</v>
      </c>
      <c r="J416" s="9">
        <v>0</v>
      </c>
      <c r="K416" s="12">
        <v>441924.02</v>
      </c>
      <c r="L416" s="13">
        <f t="shared" si="26"/>
        <v>0</v>
      </c>
      <c r="M416" s="15">
        <f t="shared" si="27"/>
        <v>0</v>
      </c>
      <c r="N416" s="15" t="str">
        <f t="shared" si="24"/>
        <v>-</v>
      </c>
      <c r="O416" s="16">
        <f t="shared" si="25"/>
        <v>0</v>
      </c>
    </row>
    <row r="417" spans="1:15" x14ac:dyDescent="0.3">
      <c r="A417" s="3">
        <v>45094.952592592592</v>
      </c>
      <c r="B417" s="6" t="s">
        <v>3</v>
      </c>
      <c r="C417" s="9">
        <v>441924.02</v>
      </c>
      <c r="D417" s="9">
        <v>0</v>
      </c>
      <c r="E417" s="6">
        <v>0</v>
      </c>
      <c r="F417" s="6">
        <v>248.4</v>
      </c>
      <c r="G417" s="9">
        <v>215763.31</v>
      </c>
      <c r="H417" s="9">
        <v>75517.16</v>
      </c>
      <c r="I417" s="9">
        <v>2913</v>
      </c>
      <c r="J417" s="9">
        <v>294193.46999999997</v>
      </c>
      <c r="K417" s="12">
        <v>147730.54999999999</v>
      </c>
      <c r="L417" s="13">
        <f t="shared" si="26"/>
        <v>0.35000000695206246</v>
      </c>
      <c r="M417" s="15">
        <f t="shared" si="27"/>
        <v>1.3500905228048272E-2</v>
      </c>
      <c r="N417" s="15" t="str">
        <f t="shared" si="24"/>
        <v>Liquor</v>
      </c>
      <c r="O417" s="16">
        <f t="shared" si="25"/>
        <v>331.2</v>
      </c>
    </row>
    <row r="418" spans="1:15" x14ac:dyDescent="0.3">
      <c r="A418" s="3">
        <v>45094.9528587963</v>
      </c>
      <c r="B418" s="6" t="s">
        <v>3</v>
      </c>
      <c r="C418" s="9">
        <v>147730.54999999999</v>
      </c>
      <c r="D418" s="9">
        <v>0</v>
      </c>
      <c r="E418" s="6">
        <v>336.6</v>
      </c>
      <c r="F418" s="6">
        <v>0</v>
      </c>
      <c r="G418" s="9">
        <v>62063.56</v>
      </c>
      <c r="H418" s="9">
        <v>21722.22</v>
      </c>
      <c r="I418" s="9">
        <v>838</v>
      </c>
      <c r="J418" s="9">
        <v>84623.78</v>
      </c>
      <c r="K418" s="12">
        <v>63106.77</v>
      </c>
      <c r="L418" s="13">
        <f t="shared" si="26"/>
        <v>0.34999958107462742</v>
      </c>
      <c r="M418" s="15">
        <f t="shared" si="27"/>
        <v>1.3502287010284296E-2</v>
      </c>
      <c r="N418" s="15" t="str">
        <f t="shared" si="24"/>
        <v>Beer</v>
      </c>
      <c r="O418" s="16">
        <f t="shared" si="25"/>
        <v>336.6</v>
      </c>
    </row>
    <row r="419" spans="1:15" x14ac:dyDescent="0.3">
      <c r="A419" s="3">
        <v>45096.432719907411</v>
      </c>
      <c r="B419" s="6" t="s">
        <v>2</v>
      </c>
      <c r="C419" s="9">
        <v>63106.77</v>
      </c>
      <c r="D419" s="9">
        <v>120000</v>
      </c>
      <c r="E419" s="6">
        <v>0</v>
      </c>
      <c r="F419" s="6">
        <v>0</v>
      </c>
      <c r="G419" s="9">
        <v>0</v>
      </c>
      <c r="H419" s="9">
        <v>0</v>
      </c>
      <c r="I419" s="9">
        <v>0</v>
      </c>
      <c r="J419" s="9">
        <v>0</v>
      </c>
      <c r="K419" s="12">
        <v>183106.77</v>
      </c>
      <c r="L419" s="13">
        <f t="shared" si="26"/>
        <v>0</v>
      </c>
      <c r="M419" s="15">
        <f t="shared" si="27"/>
        <v>0</v>
      </c>
      <c r="N419" s="15" t="str">
        <f t="shared" si="24"/>
        <v>-</v>
      </c>
      <c r="O419" s="16">
        <f t="shared" si="25"/>
        <v>0</v>
      </c>
    </row>
    <row r="420" spans="1:15" x14ac:dyDescent="0.3">
      <c r="A420" s="3">
        <v>45096.902256944442</v>
      </c>
      <c r="B420" s="6" t="s">
        <v>3</v>
      </c>
      <c r="C420" s="9">
        <v>183106.77</v>
      </c>
      <c r="D420" s="9">
        <v>0</v>
      </c>
      <c r="E420" s="6">
        <v>475.8</v>
      </c>
      <c r="F420" s="6">
        <v>0</v>
      </c>
      <c r="G420" s="9">
        <v>73016</v>
      </c>
      <c r="H420" s="9">
        <v>25555.64</v>
      </c>
      <c r="I420" s="9">
        <v>986</v>
      </c>
      <c r="J420" s="9">
        <v>99557.64</v>
      </c>
      <c r="K420" s="12">
        <v>83549.13</v>
      </c>
      <c r="L420" s="13">
        <f t="shared" si="26"/>
        <v>0.35000054782513423</v>
      </c>
      <c r="M420" s="15">
        <f t="shared" si="27"/>
        <v>1.3503889558452942E-2</v>
      </c>
      <c r="N420" s="15" t="str">
        <f t="shared" si="24"/>
        <v>Beer</v>
      </c>
      <c r="O420" s="16">
        <f t="shared" si="25"/>
        <v>475.8</v>
      </c>
    </row>
    <row r="421" spans="1:15" x14ac:dyDescent="0.3">
      <c r="A421" s="3">
        <v>45099.461192129631</v>
      </c>
      <c r="B421" s="6" t="s">
        <v>2</v>
      </c>
      <c r="C421" s="9">
        <v>83549.13</v>
      </c>
      <c r="D421" s="9">
        <v>100000</v>
      </c>
      <c r="E421" s="6">
        <v>0</v>
      </c>
      <c r="F421" s="6">
        <v>0</v>
      </c>
      <c r="G421" s="9">
        <v>0</v>
      </c>
      <c r="H421" s="9">
        <v>0</v>
      </c>
      <c r="I421" s="9">
        <v>0</v>
      </c>
      <c r="J421" s="9">
        <v>0</v>
      </c>
      <c r="K421" s="12">
        <v>183549.13</v>
      </c>
      <c r="L421" s="13">
        <f t="shared" si="26"/>
        <v>0</v>
      </c>
      <c r="M421" s="15">
        <f t="shared" si="27"/>
        <v>0</v>
      </c>
      <c r="N421" s="15" t="str">
        <f t="shared" si="24"/>
        <v>-</v>
      </c>
      <c r="O421" s="16">
        <f t="shared" si="25"/>
        <v>0</v>
      </c>
    </row>
    <row r="422" spans="1:15" x14ac:dyDescent="0.3">
      <c r="A422" s="3">
        <v>45099.718344907407</v>
      </c>
      <c r="B422" s="6" t="s">
        <v>3</v>
      </c>
      <c r="C422" s="9">
        <v>183549.13</v>
      </c>
      <c r="D422" s="9">
        <v>0</v>
      </c>
      <c r="E422" s="6">
        <v>774</v>
      </c>
      <c r="F422" s="6">
        <v>0</v>
      </c>
      <c r="G422" s="9">
        <v>120952.59</v>
      </c>
      <c r="H422" s="9">
        <v>42333.56</v>
      </c>
      <c r="I422" s="9">
        <v>1633</v>
      </c>
      <c r="J422" s="9">
        <v>164919.15</v>
      </c>
      <c r="K422" s="12">
        <v>18629.98</v>
      </c>
      <c r="L422" s="13">
        <f t="shared" si="26"/>
        <v>0.35000126909229473</v>
      </c>
      <c r="M422" s="15">
        <f t="shared" si="27"/>
        <v>1.3501157767684017E-2</v>
      </c>
      <c r="N422" s="15" t="str">
        <f t="shared" si="24"/>
        <v>Beer</v>
      </c>
      <c r="O422" s="16">
        <f t="shared" si="25"/>
        <v>774</v>
      </c>
    </row>
    <row r="423" spans="1:15" x14ac:dyDescent="0.3">
      <c r="A423" s="3">
        <v>45101.492766203701</v>
      </c>
      <c r="B423" s="6" t="s">
        <v>2</v>
      </c>
      <c r="C423" s="9">
        <v>18629.98</v>
      </c>
      <c r="D423" s="9">
        <v>202000</v>
      </c>
      <c r="E423" s="6">
        <v>0</v>
      </c>
      <c r="F423" s="6">
        <v>0</v>
      </c>
      <c r="G423" s="9">
        <v>0</v>
      </c>
      <c r="H423" s="9">
        <v>0</v>
      </c>
      <c r="I423" s="9">
        <v>0</v>
      </c>
      <c r="J423" s="9">
        <v>0</v>
      </c>
      <c r="K423" s="12">
        <v>220629.98</v>
      </c>
      <c r="L423" s="13">
        <f t="shared" si="26"/>
        <v>0</v>
      </c>
      <c r="M423" s="15">
        <f t="shared" si="27"/>
        <v>0</v>
      </c>
      <c r="N423" s="15" t="str">
        <f t="shared" si="24"/>
        <v>-</v>
      </c>
      <c r="O423" s="16">
        <f t="shared" si="25"/>
        <v>0</v>
      </c>
    </row>
    <row r="424" spans="1:15" x14ac:dyDescent="0.3">
      <c r="A424" s="3">
        <v>45101.78056712963</v>
      </c>
      <c r="B424" s="6" t="s">
        <v>3</v>
      </c>
      <c r="C424" s="9">
        <v>220629.98</v>
      </c>
      <c r="D424" s="9">
        <v>0</v>
      </c>
      <c r="E424" s="6">
        <v>492</v>
      </c>
      <c r="F424" s="6">
        <v>0</v>
      </c>
      <c r="G424" s="9">
        <v>76031.92</v>
      </c>
      <c r="H424" s="9">
        <v>26611.24</v>
      </c>
      <c r="I424" s="9">
        <v>1026</v>
      </c>
      <c r="J424" s="9">
        <v>103669.16</v>
      </c>
      <c r="K424" s="12">
        <v>116960.82</v>
      </c>
      <c r="L424" s="13">
        <f t="shared" si="26"/>
        <v>0.3500008943612104</v>
      </c>
      <c r="M424" s="15">
        <f t="shared" si="27"/>
        <v>1.3494332380400232E-2</v>
      </c>
      <c r="N424" s="15" t="str">
        <f t="shared" si="24"/>
        <v>Beer</v>
      </c>
      <c r="O424" s="16">
        <f t="shared" si="25"/>
        <v>492</v>
      </c>
    </row>
    <row r="425" spans="1:15" x14ac:dyDescent="0.3">
      <c r="A425" s="3">
        <v>45101.781412037039</v>
      </c>
      <c r="B425" s="6" t="s">
        <v>3</v>
      </c>
      <c r="C425" s="9">
        <v>116960.82</v>
      </c>
      <c r="D425" s="9">
        <v>0</v>
      </c>
      <c r="E425" s="6">
        <v>0</v>
      </c>
      <c r="F425" s="6">
        <v>86.64</v>
      </c>
      <c r="G425" s="9">
        <v>85142.9</v>
      </c>
      <c r="H425" s="9">
        <v>29800.01</v>
      </c>
      <c r="I425" s="9">
        <v>1149</v>
      </c>
      <c r="J425" s="9">
        <v>116091.91</v>
      </c>
      <c r="K425" s="12">
        <v>868.91</v>
      </c>
      <c r="L425" s="13">
        <f t="shared" si="26"/>
        <v>0.34999994127519735</v>
      </c>
      <c r="M425" s="15">
        <f t="shared" si="27"/>
        <v>1.3494959650188097E-2</v>
      </c>
      <c r="N425" s="15" t="str">
        <f t="shared" si="24"/>
        <v>Liquor</v>
      </c>
      <c r="O425" s="16">
        <f t="shared" si="25"/>
        <v>115.52</v>
      </c>
    </row>
    <row r="426" spans="1:15" x14ac:dyDescent="0.3">
      <c r="A426" s="3">
        <v>45106.466979166667</v>
      </c>
      <c r="B426" s="6" t="s">
        <v>2</v>
      </c>
      <c r="C426" s="9">
        <v>868.91</v>
      </c>
      <c r="D426" s="9">
        <v>350000</v>
      </c>
      <c r="E426" s="6">
        <v>0</v>
      </c>
      <c r="F426" s="6">
        <v>0</v>
      </c>
      <c r="G426" s="9">
        <v>0</v>
      </c>
      <c r="H426" s="9">
        <v>0</v>
      </c>
      <c r="I426" s="9">
        <v>0</v>
      </c>
      <c r="J426" s="9">
        <v>0</v>
      </c>
      <c r="K426" s="12">
        <v>350868.91</v>
      </c>
      <c r="L426" s="13">
        <f t="shared" si="26"/>
        <v>0</v>
      </c>
      <c r="M426" s="15">
        <f t="shared" si="27"/>
        <v>0</v>
      </c>
      <c r="N426" s="15" t="str">
        <f t="shared" si="24"/>
        <v>-</v>
      </c>
      <c r="O426" s="16">
        <f t="shared" si="25"/>
        <v>0</v>
      </c>
    </row>
    <row r="427" spans="1:15" x14ac:dyDescent="0.3">
      <c r="A427" s="3">
        <v>45106.728449074071</v>
      </c>
      <c r="B427" s="6" t="s">
        <v>3</v>
      </c>
      <c r="C427" s="9">
        <v>350868.91</v>
      </c>
      <c r="D427" s="9">
        <v>0</v>
      </c>
      <c r="E427" s="6">
        <v>0</v>
      </c>
      <c r="F427" s="6">
        <v>256.93</v>
      </c>
      <c r="G427" s="9">
        <v>257010.63</v>
      </c>
      <c r="H427" s="9">
        <v>89953.72</v>
      </c>
      <c r="I427" s="9">
        <v>3470</v>
      </c>
      <c r="J427" s="9">
        <v>350434.35</v>
      </c>
      <c r="K427" s="12">
        <v>434.56</v>
      </c>
      <c r="L427" s="13">
        <f t="shared" si="26"/>
        <v>0.34999999805455517</v>
      </c>
      <c r="M427" s="15">
        <f t="shared" si="27"/>
        <v>1.350138708270549E-2</v>
      </c>
      <c r="N427" s="15" t="str">
        <f t="shared" si="24"/>
        <v>Liquor</v>
      </c>
      <c r="O427" s="16">
        <f t="shared" si="25"/>
        <v>342.57333333333332</v>
      </c>
    </row>
    <row r="428" spans="1:15" x14ac:dyDescent="0.3">
      <c r="A428" s="3">
        <v>45111.491631944446</v>
      </c>
      <c r="B428" s="6" t="s">
        <v>2</v>
      </c>
      <c r="C428" s="9">
        <v>434.56</v>
      </c>
      <c r="D428" s="9">
        <v>320000</v>
      </c>
      <c r="E428" s="6">
        <v>0</v>
      </c>
      <c r="F428" s="6">
        <v>0</v>
      </c>
      <c r="G428" s="9">
        <v>0</v>
      </c>
      <c r="H428" s="9">
        <v>0</v>
      </c>
      <c r="I428" s="9">
        <v>0</v>
      </c>
      <c r="J428" s="9">
        <v>0</v>
      </c>
      <c r="K428" s="12">
        <v>320434.56</v>
      </c>
      <c r="L428" s="13">
        <f t="shared" si="26"/>
        <v>0</v>
      </c>
      <c r="M428" s="15">
        <f t="shared" si="27"/>
        <v>0</v>
      </c>
      <c r="N428" s="15" t="str">
        <f t="shared" si="24"/>
        <v>-</v>
      </c>
      <c r="O428" s="16">
        <f t="shared" si="25"/>
        <v>0</v>
      </c>
    </row>
    <row r="429" spans="1:15" x14ac:dyDescent="0.3">
      <c r="A429" s="3">
        <v>45111.735046296293</v>
      </c>
      <c r="B429" s="6" t="s">
        <v>3</v>
      </c>
      <c r="C429" s="9">
        <v>320434.56</v>
      </c>
      <c r="D429" s="9">
        <v>0</v>
      </c>
      <c r="E429" s="6">
        <v>0</v>
      </c>
      <c r="F429" s="6">
        <v>106.38</v>
      </c>
      <c r="G429" s="9">
        <v>101269.85</v>
      </c>
      <c r="H429" s="9">
        <v>35444.449999999997</v>
      </c>
      <c r="I429" s="9">
        <v>1367</v>
      </c>
      <c r="J429" s="9">
        <v>138081.29999999999</v>
      </c>
      <c r="K429" s="12">
        <v>182353.26</v>
      </c>
      <c r="L429" s="13">
        <f t="shared" si="26"/>
        <v>0.3500000246865182</v>
      </c>
      <c r="M429" s="15">
        <f t="shared" si="27"/>
        <v>1.3498588178021395E-2</v>
      </c>
      <c r="N429" s="15" t="str">
        <f t="shared" si="24"/>
        <v>Liquor</v>
      </c>
      <c r="O429" s="16">
        <f t="shared" si="25"/>
        <v>141.84</v>
      </c>
    </row>
    <row r="430" spans="1:15" x14ac:dyDescent="0.3">
      <c r="A430" s="3">
        <v>45111.736504629633</v>
      </c>
      <c r="B430" s="6" t="s">
        <v>3</v>
      </c>
      <c r="C430" s="9">
        <v>182353.26</v>
      </c>
      <c r="D430" s="9">
        <v>0</v>
      </c>
      <c r="E430" s="6">
        <v>791.4</v>
      </c>
      <c r="F430" s="6">
        <v>0</v>
      </c>
      <c r="G430" s="9">
        <v>133492.13</v>
      </c>
      <c r="H430" s="9">
        <v>46722.18</v>
      </c>
      <c r="I430" s="9">
        <v>1802</v>
      </c>
      <c r="J430" s="9">
        <v>182016.31</v>
      </c>
      <c r="K430" s="12">
        <v>336.95</v>
      </c>
      <c r="L430" s="13">
        <f t="shared" si="26"/>
        <v>0.34999950933437046</v>
      </c>
      <c r="M430" s="15">
        <f t="shared" si="27"/>
        <v>1.3498923120037113E-2</v>
      </c>
      <c r="N430" s="15" t="str">
        <f t="shared" si="24"/>
        <v>Beer</v>
      </c>
      <c r="O430" s="16">
        <f t="shared" si="25"/>
        <v>791.4</v>
      </c>
    </row>
    <row r="431" spans="1:15" x14ac:dyDescent="0.3">
      <c r="A431" s="3">
        <v>45120.497824074075</v>
      </c>
      <c r="B431" s="6" t="s">
        <v>2</v>
      </c>
      <c r="C431" s="9">
        <v>336.95</v>
      </c>
      <c r="D431" s="9">
        <v>275000</v>
      </c>
      <c r="E431" s="6">
        <v>0</v>
      </c>
      <c r="F431" s="6">
        <v>0</v>
      </c>
      <c r="G431" s="9">
        <v>0</v>
      </c>
      <c r="H431" s="9">
        <v>0</v>
      </c>
      <c r="I431" s="9">
        <v>0</v>
      </c>
      <c r="J431" s="9">
        <v>0</v>
      </c>
      <c r="K431" s="12">
        <v>275336.95</v>
      </c>
      <c r="L431" s="13">
        <f t="shared" si="26"/>
        <v>0</v>
      </c>
      <c r="M431" s="15">
        <f t="shared" si="27"/>
        <v>0</v>
      </c>
      <c r="N431" s="15" t="str">
        <f t="shared" si="24"/>
        <v>-</v>
      </c>
      <c r="O431" s="16">
        <f t="shared" si="25"/>
        <v>0</v>
      </c>
    </row>
    <row r="432" spans="1:15" x14ac:dyDescent="0.3">
      <c r="A432" s="3">
        <v>45121.354618055557</v>
      </c>
      <c r="B432" s="6" t="s">
        <v>2</v>
      </c>
      <c r="C432" s="9">
        <v>275336.95</v>
      </c>
      <c r="D432" s="9">
        <v>74000</v>
      </c>
      <c r="E432" s="6">
        <v>0</v>
      </c>
      <c r="F432" s="6">
        <v>0</v>
      </c>
      <c r="G432" s="9">
        <v>0</v>
      </c>
      <c r="H432" s="9">
        <v>0</v>
      </c>
      <c r="I432" s="9">
        <v>0</v>
      </c>
      <c r="J432" s="9">
        <v>0</v>
      </c>
      <c r="K432" s="12">
        <v>349336.95</v>
      </c>
      <c r="L432" s="13">
        <f t="shared" si="26"/>
        <v>0</v>
      </c>
      <c r="M432" s="15">
        <f t="shared" si="27"/>
        <v>0</v>
      </c>
      <c r="N432" s="15" t="str">
        <f t="shared" si="24"/>
        <v>-</v>
      </c>
      <c r="O432" s="16">
        <f t="shared" si="25"/>
        <v>0</v>
      </c>
    </row>
    <row r="433" spans="1:15" x14ac:dyDescent="0.3">
      <c r="A433" s="3">
        <v>45121.500694444447</v>
      </c>
      <c r="B433" s="6" t="s">
        <v>3</v>
      </c>
      <c r="C433" s="9">
        <v>349336.95</v>
      </c>
      <c r="D433" s="9">
        <v>0</v>
      </c>
      <c r="E433" s="6">
        <v>231.6</v>
      </c>
      <c r="F433" s="6">
        <v>0</v>
      </c>
      <c r="G433" s="9">
        <v>40317.480000000003</v>
      </c>
      <c r="H433" s="9">
        <v>14111.1</v>
      </c>
      <c r="I433" s="9">
        <v>544</v>
      </c>
      <c r="J433" s="9">
        <v>54972.58</v>
      </c>
      <c r="K433" s="12">
        <v>294364.37</v>
      </c>
      <c r="L433" s="13">
        <f t="shared" si="26"/>
        <v>0.34999955354352502</v>
      </c>
      <c r="M433" s="15">
        <f t="shared" si="27"/>
        <v>1.3492906798738413E-2</v>
      </c>
      <c r="N433" s="15" t="str">
        <f t="shared" si="24"/>
        <v>Beer</v>
      </c>
      <c r="O433" s="16">
        <f t="shared" si="25"/>
        <v>231.6</v>
      </c>
    </row>
    <row r="434" spans="1:15" x14ac:dyDescent="0.3">
      <c r="A434" s="3">
        <v>45121.501967592594</v>
      </c>
      <c r="B434" s="6" t="s">
        <v>3</v>
      </c>
      <c r="C434" s="9">
        <v>294364.37</v>
      </c>
      <c r="D434" s="9">
        <v>0</v>
      </c>
      <c r="E434" s="6">
        <v>0</v>
      </c>
      <c r="F434" s="6">
        <v>245.74</v>
      </c>
      <c r="G434" s="9">
        <v>215251.77</v>
      </c>
      <c r="H434" s="9">
        <v>75338.12</v>
      </c>
      <c r="I434" s="9">
        <v>2906</v>
      </c>
      <c r="J434" s="9">
        <v>293495.89</v>
      </c>
      <c r="K434" s="12">
        <v>868.48</v>
      </c>
      <c r="L434" s="13">
        <f t="shared" si="26"/>
        <v>0.35000000232286127</v>
      </c>
      <c r="M434" s="15">
        <f t="shared" si="27"/>
        <v>1.3500469705777566E-2</v>
      </c>
      <c r="N434" s="15" t="str">
        <f t="shared" si="24"/>
        <v>Liquor</v>
      </c>
      <c r="O434" s="16">
        <f t="shared" si="25"/>
        <v>327.65333333333336</v>
      </c>
    </row>
    <row r="435" spans="1:15" x14ac:dyDescent="0.3">
      <c r="A435" s="3">
        <v>45134.455370370371</v>
      </c>
      <c r="B435" s="6" t="s">
        <v>2</v>
      </c>
      <c r="C435" s="9">
        <v>868.48</v>
      </c>
      <c r="D435" s="9">
        <v>330000</v>
      </c>
      <c r="E435" s="6">
        <v>0</v>
      </c>
      <c r="F435" s="6">
        <v>0</v>
      </c>
      <c r="G435" s="9">
        <v>0</v>
      </c>
      <c r="H435" s="9">
        <v>0</v>
      </c>
      <c r="I435" s="9">
        <v>0</v>
      </c>
      <c r="J435" s="9">
        <v>0</v>
      </c>
      <c r="K435" s="12">
        <v>330868.47999999998</v>
      </c>
      <c r="L435" s="13">
        <f t="shared" si="26"/>
        <v>0</v>
      </c>
      <c r="M435" s="15">
        <f t="shared" si="27"/>
        <v>0</v>
      </c>
      <c r="N435" s="15" t="str">
        <f t="shared" si="24"/>
        <v>-</v>
      </c>
      <c r="O435" s="16">
        <f t="shared" si="25"/>
        <v>0</v>
      </c>
    </row>
    <row r="436" spans="1:15" x14ac:dyDescent="0.3">
      <c r="A436" s="3">
        <v>45134.735300925924</v>
      </c>
      <c r="B436" s="6" t="s">
        <v>3</v>
      </c>
      <c r="C436" s="9">
        <v>330868.47999999998</v>
      </c>
      <c r="D436" s="9">
        <v>0</v>
      </c>
      <c r="E436" s="6">
        <v>0</v>
      </c>
      <c r="F436" s="6">
        <v>259.25</v>
      </c>
      <c r="G436" s="9">
        <v>242364.07</v>
      </c>
      <c r="H436" s="9">
        <v>84827.43</v>
      </c>
      <c r="I436" s="9">
        <v>3272</v>
      </c>
      <c r="J436" s="9">
        <v>330463.5</v>
      </c>
      <c r="K436" s="12">
        <v>404.98</v>
      </c>
      <c r="L436" s="13">
        <f t="shared" si="26"/>
        <v>0.35000002269313263</v>
      </c>
      <c r="M436" s="15">
        <f t="shared" si="27"/>
        <v>1.3500350938982003E-2</v>
      </c>
      <c r="N436" s="15" t="str">
        <f t="shared" si="24"/>
        <v>Liquor</v>
      </c>
      <c r="O436" s="16">
        <f t="shared" si="25"/>
        <v>345.66666666666669</v>
      </c>
    </row>
    <row r="437" spans="1:15" x14ac:dyDescent="0.3">
      <c r="A437" s="3">
        <v>45145.460868055554</v>
      </c>
      <c r="B437" s="6" t="s">
        <v>2</v>
      </c>
      <c r="C437" s="9">
        <v>404.98</v>
      </c>
      <c r="D437" s="9">
        <v>230000</v>
      </c>
      <c r="E437" s="6">
        <v>0</v>
      </c>
      <c r="F437" s="6">
        <v>0</v>
      </c>
      <c r="G437" s="9">
        <v>0</v>
      </c>
      <c r="H437" s="9">
        <v>0</v>
      </c>
      <c r="I437" s="9">
        <v>0</v>
      </c>
      <c r="J437" s="9">
        <v>0</v>
      </c>
      <c r="K437" s="12">
        <v>230404.98</v>
      </c>
      <c r="L437" s="13">
        <f t="shared" si="26"/>
        <v>0</v>
      </c>
      <c r="M437" s="15">
        <f t="shared" si="27"/>
        <v>0</v>
      </c>
      <c r="N437" s="15" t="str">
        <f t="shared" si="24"/>
        <v>-</v>
      </c>
      <c r="O437" s="16">
        <f t="shared" si="25"/>
        <v>0</v>
      </c>
    </row>
    <row r="438" spans="1:15" x14ac:dyDescent="0.3">
      <c r="A438" s="3">
        <v>45145.687939814816</v>
      </c>
      <c r="B438" s="6" t="s">
        <v>3</v>
      </c>
      <c r="C438" s="9">
        <v>230404.98</v>
      </c>
      <c r="D438" s="9">
        <v>0</v>
      </c>
      <c r="E438" s="6">
        <v>0</v>
      </c>
      <c r="F438" s="6">
        <v>108.13</v>
      </c>
      <c r="G438" s="9">
        <v>104284.44</v>
      </c>
      <c r="H438" s="9">
        <v>36499.550000000003</v>
      </c>
      <c r="I438" s="9">
        <v>1408</v>
      </c>
      <c r="J438" s="9">
        <v>142191.99</v>
      </c>
      <c r="K438" s="12">
        <v>88212.99</v>
      </c>
      <c r="L438" s="13">
        <f t="shared" si="26"/>
        <v>0.34999996164336694</v>
      </c>
      <c r="M438" s="15">
        <f t="shared" si="27"/>
        <v>1.35015348406723E-2</v>
      </c>
      <c r="N438" s="15" t="str">
        <f t="shared" si="24"/>
        <v>Liquor</v>
      </c>
      <c r="O438" s="16">
        <f t="shared" si="25"/>
        <v>144.17333333333332</v>
      </c>
    </row>
    <row r="439" spans="1:15" x14ac:dyDescent="0.3">
      <c r="A439" s="3">
        <v>45145.688622685186</v>
      </c>
      <c r="B439" s="6" t="s">
        <v>3</v>
      </c>
      <c r="C439" s="9">
        <v>88212.99</v>
      </c>
      <c r="D439" s="9">
        <v>0</v>
      </c>
      <c r="E439" s="6">
        <v>417</v>
      </c>
      <c r="F439" s="6">
        <v>0</v>
      </c>
      <c r="G439" s="9">
        <v>64603.29</v>
      </c>
      <c r="H439" s="9">
        <v>22611.15</v>
      </c>
      <c r="I439" s="9">
        <v>872</v>
      </c>
      <c r="J439" s="9">
        <v>88086.44</v>
      </c>
      <c r="K439" s="12">
        <v>126.55</v>
      </c>
      <c r="L439" s="13">
        <f t="shared" si="26"/>
        <v>0.34999997678136829</v>
      </c>
      <c r="M439" s="15">
        <f t="shared" si="27"/>
        <v>1.3497764587531068E-2</v>
      </c>
      <c r="N439" s="15" t="str">
        <f t="shared" si="24"/>
        <v>Beer</v>
      </c>
      <c r="O439" s="16">
        <f t="shared" si="25"/>
        <v>417</v>
      </c>
    </row>
    <row r="440" spans="1:15" x14ac:dyDescent="0.3">
      <c r="A440" s="3">
        <v>45155.457777777781</v>
      </c>
      <c r="B440" s="6" t="s">
        <v>2</v>
      </c>
      <c r="C440" s="9">
        <v>126.55</v>
      </c>
      <c r="D440" s="9">
        <v>345000</v>
      </c>
      <c r="E440" s="6">
        <v>0</v>
      </c>
      <c r="F440" s="6">
        <v>0</v>
      </c>
      <c r="G440" s="9">
        <v>0</v>
      </c>
      <c r="H440" s="9">
        <v>0</v>
      </c>
      <c r="I440" s="9">
        <v>0</v>
      </c>
      <c r="J440" s="9">
        <v>0</v>
      </c>
      <c r="K440" s="12">
        <v>345126.55</v>
      </c>
      <c r="L440" s="13">
        <f t="shared" si="26"/>
        <v>0</v>
      </c>
      <c r="M440" s="15">
        <f t="shared" si="27"/>
        <v>0</v>
      </c>
      <c r="N440" s="15" t="str">
        <f t="shared" si="24"/>
        <v>-</v>
      </c>
      <c r="O440" s="16">
        <f t="shared" si="25"/>
        <v>0</v>
      </c>
    </row>
    <row r="441" spans="1:15" x14ac:dyDescent="0.3">
      <c r="A441" s="3">
        <v>45155.733483796299</v>
      </c>
      <c r="B441" s="6" t="s">
        <v>3</v>
      </c>
      <c r="C441" s="9">
        <v>345126.55</v>
      </c>
      <c r="D441" s="9">
        <v>0</v>
      </c>
      <c r="E441" s="6">
        <v>0</v>
      </c>
      <c r="F441" s="6">
        <v>268.10000000000002</v>
      </c>
      <c r="G441" s="9">
        <v>228424.1</v>
      </c>
      <c r="H441" s="9">
        <v>79948.350000000006</v>
      </c>
      <c r="I441" s="9">
        <v>3084</v>
      </c>
      <c r="J441" s="9">
        <v>311456.45</v>
      </c>
      <c r="K441" s="12">
        <v>33670.1</v>
      </c>
      <c r="L441" s="13">
        <f t="shared" si="26"/>
        <v>0.34999962788514871</v>
      </c>
      <c r="M441" s="15">
        <f t="shared" si="27"/>
        <v>1.3501202368751809E-2</v>
      </c>
      <c r="N441" s="15" t="str">
        <f t="shared" si="24"/>
        <v>Liquor</v>
      </c>
      <c r="O441" s="16">
        <f t="shared" si="25"/>
        <v>357.4666666666667</v>
      </c>
    </row>
    <row r="442" spans="1:15" x14ac:dyDescent="0.3">
      <c r="A442" s="3">
        <v>45162.377881944441</v>
      </c>
      <c r="B442" s="6" t="s">
        <v>2</v>
      </c>
      <c r="C442" s="9">
        <v>33670.1</v>
      </c>
      <c r="D442" s="9">
        <v>255000</v>
      </c>
      <c r="E442" s="6">
        <v>0</v>
      </c>
      <c r="F442" s="6">
        <v>0</v>
      </c>
      <c r="G442" s="9">
        <v>0</v>
      </c>
      <c r="H442" s="9">
        <v>0</v>
      </c>
      <c r="I442" s="9">
        <v>0</v>
      </c>
      <c r="J442" s="9">
        <v>0</v>
      </c>
      <c r="K442" s="12">
        <v>288670.09999999998</v>
      </c>
      <c r="L442" s="13">
        <f t="shared" si="26"/>
        <v>0</v>
      </c>
      <c r="M442" s="15">
        <f t="shared" si="27"/>
        <v>0</v>
      </c>
      <c r="N442" s="15" t="str">
        <f t="shared" si="24"/>
        <v>-</v>
      </c>
      <c r="O442" s="16">
        <f t="shared" si="25"/>
        <v>0</v>
      </c>
    </row>
    <row r="443" spans="1:15" x14ac:dyDescent="0.3">
      <c r="A443" s="3">
        <v>45162.545231481483</v>
      </c>
      <c r="B443" s="6" t="s">
        <v>3</v>
      </c>
      <c r="C443" s="9">
        <v>288670.09999999998</v>
      </c>
      <c r="D443" s="9">
        <v>0</v>
      </c>
      <c r="E443" s="6">
        <v>401.4</v>
      </c>
      <c r="F443" s="6">
        <v>0</v>
      </c>
      <c r="G443" s="9">
        <v>64841.279999999999</v>
      </c>
      <c r="H443" s="9">
        <v>22694.45</v>
      </c>
      <c r="I443" s="9">
        <v>875</v>
      </c>
      <c r="J443" s="9">
        <v>88410.73</v>
      </c>
      <c r="K443" s="12">
        <v>200259.37</v>
      </c>
      <c r="L443" s="13">
        <f t="shared" si="26"/>
        <v>0.35000003084454845</v>
      </c>
      <c r="M443" s="15">
        <f t="shared" si="27"/>
        <v>1.3494489929871834E-2</v>
      </c>
      <c r="N443" s="15" t="str">
        <f t="shared" si="24"/>
        <v>Beer</v>
      </c>
      <c r="O443" s="16">
        <f t="shared" si="25"/>
        <v>401.4</v>
      </c>
    </row>
    <row r="444" spans="1:15" x14ac:dyDescent="0.3">
      <c r="A444" s="3">
        <v>45162.546180555553</v>
      </c>
      <c r="B444" s="6" t="s">
        <v>3</v>
      </c>
      <c r="C444" s="9">
        <v>200259.37</v>
      </c>
      <c r="D444" s="9">
        <v>0</v>
      </c>
      <c r="E444" s="6">
        <v>0</v>
      </c>
      <c r="F444" s="6">
        <v>139.87</v>
      </c>
      <c r="G444" s="9">
        <v>145830.37</v>
      </c>
      <c r="H444" s="9">
        <v>51040.63</v>
      </c>
      <c r="I444" s="9">
        <v>1969</v>
      </c>
      <c r="J444" s="9">
        <v>198840</v>
      </c>
      <c r="K444" s="12">
        <v>1419.37</v>
      </c>
      <c r="L444" s="13">
        <f t="shared" si="26"/>
        <v>0.35000000342864107</v>
      </c>
      <c r="M444" s="15">
        <f t="shared" si="27"/>
        <v>1.3501988646123576E-2</v>
      </c>
      <c r="N444" s="15" t="str">
        <f t="shared" si="24"/>
        <v>Liquor</v>
      </c>
      <c r="O444" s="16">
        <f t="shared" si="25"/>
        <v>186.49333333333334</v>
      </c>
    </row>
    <row r="445" spans="1:15" x14ac:dyDescent="0.3">
      <c r="A445" s="3">
        <v>45170.374884259261</v>
      </c>
      <c r="B445" s="6" t="s">
        <v>2</v>
      </c>
      <c r="C445" s="9">
        <v>1419.37</v>
      </c>
      <c r="D445" s="9">
        <v>300000</v>
      </c>
      <c r="E445" s="6">
        <v>0</v>
      </c>
      <c r="F445" s="6">
        <v>0</v>
      </c>
      <c r="G445" s="9">
        <v>0</v>
      </c>
      <c r="H445" s="9">
        <v>0</v>
      </c>
      <c r="I445" s="9">
        <v>0</v>
      </c>
      <c r="J445" s="9">
        <v>0</v>
      </c>
      <c r="K445" s="12">
        <v>301419.37</v>
      </c>
      <c r="L445" s="13">
        <f t="shared" si="26"/>
        <v>0</v>
      </c>
      <c r="M445" s="15">
        <f t="shared" si="27"/>
        <v>0</v>
      </c>
      <c r="N445" s="15" t="str">
        <f t="shared" si="24"/>
        <v>-</v>
      </c>
      <c r="O445" s="16">
        <f t="shared" si="25"/>
        <v>0</v>
      </c>
    </row>
    <row r="446" spans="1:15" x14ac:dyDescent="0.3">
      <c r="A446" s="3">
        <v>45170.682847222219</v>
      </c>
      <c r="B446" s="6" t="s">
        <v>3</v>
      </c>
      <c r="C446" s="9">
        <v>301419.37</v>
      </c>
      <c r="D446" s="9">
        <v>0</v>
      </c>
      <c r="E446" s="6">
        <v>0</v>
      </c>
      <c r="F446" s="6">
        <v>214.4</v>
      </c>
      <c r="G446" s="9">
        <v>205162.19</v>
      </c>
      <c r="H446" s="9">
        <v>71806.77</v>
      </c>
      <c r="I446" s="9">
        <v>2770</v>
      </c>
      <c r="J446" s="9">
        <v>279738.96000000002</v>
      </c>
      <c r="K446" s="12">
        <v>21680.41</v>
      </c>
      <c r="L446" s="13">
        <f t="shared" si="26"/>
        <v>0.35000001705967365</v>
      </c>
      <c r="M446" s="15">
        <f t="shared" si="27"/>
        <v>1.3501513119936963E-2</v>
      </c>
      <c r="N446" s="15" t="str">
        <f t="shared" si="24"/>
        <v>Liquor</v>
      </c>
      <c r="O446" s="16">
        <f t="shared" si="25"/>
        <v>285.86666666666667</v>
      </c>
    </row>
    <row r="447" spans="1:15" x14ac:dyDescent="0.3">
      <c r="A447" s="3">
        <v>45180.295497685183</v>
      </c>
      <c r="B447" s="6" t="s">
        <v>2</v>
      </c>
      <c r="C447" s="9">
        <v>21680.41</v>
      </c>
      <c r="D447" s="9">
        <v>310000</v>
      </c>
      <c r="E447" s="6">
        <v>0</v>
      </c>
      <c r="F447" s="6">
        <v>0</v>
      </c>
      <c r="G447" s="9">
        <v>0</v>
      </c>
      <c r="H447" s="9">
        <v>0</v>
      </c>
      <c r="I447" s="9">
        <v>0</v>
      </c>
      <c r="J447" s="9">
        <v>0</v>
      </c>
      <c r="K447" s="12">
        <v>331680.40999999997</v>
      </c>
      <c r="L447" s="13">
        <f t="shared" si="26"/>
        <v>0</v>
      </c>
      <c r="M447" s="15">
        <f t="shared" si="27"/>
        <v>0</v>
      </c>
      <c r="N447" s="15" t="str">
        <f t="shared" si="24"/>
        <v>-</v>
      </c>
      <c r="O447" s="16">
        <f t="shared" si="25"/>
        <v>0</v>
      </c>
    </row>
    <row r="448" spans="1:15" x14ac:dyDescent="0.3">
      <c r="A448" s="3">
        <v>45180.637673611112</v>
      </c>
      <c r="B448" s="6" t="s">
        <v>3</v>
      </c>
      <c r="C448" s="9">
        <v>331680.40999999997</v>
      </c>
      <c r="D448" s="9">
        <v>0</v>
      </c>
      <c r="E448" s="6">
        <v>435.6</v>
      </c>
      <c r="F448" s="6">
        <v>0</v>
      </c>
      <c r="G448" s="9">
        <v>76031.73</v>
      </c>
      <c r="H448" s="9">
        <v>26611.11</v>
      </c>
      <c r="I448" s="9">
        <v>1026</v>
      </c>
      <c r="J448" s="9">
        <v>103668.84</v>
      </c>
      <c r="K448" s="12">
        <v>228011.57</v>
      </c>
      <c r="L448" s="13">
        <f t="shared" si="26"/>
        <v>0.35000005918581628</v>
      </c>
      <c r="M448" s="15">
        <f t="shared" si="27"/>
        <v>1.3494366102152352E-2</v>
      </c>
      <c r="N448" s="15" t="str">
        <f t="shared" si="24"/>
        <v>Beer</v>
      </c>
      <c r="O448" s="16">
        <f t="shared" si="25"/>
        <v>435.6</v>
      </c>
    </row>
    <row r="449" spans="1:15" x14ac:dyDescent="0.3">
      <c r="A449" s="3">
        <v>45180.638680555552</v>
      </c>
      <c r="B449" s="6" t="s">
        <v>3</v>
      </c>
      <c r="C449" s="9">
        <v>228011.57</v>
      </c>
      <c r="D449" s="9">
        <v>0</v>
      </c>
      <c r="E449" s="6">
        <v>0</v>
      </c>
      <c r="F449" s="6">
        <v>112.55</v>
      </c>
      <c r="G449" s="9">
        <v>115925.6</v>
      </c>
      <c r="H449" s="9">
        <v>40573.96</v>
      </c>
      <c r="I449" s="9">
        <v>1565</v>
      </c>
      <c r="J449" s="9">
        <v>158064.56</v>
      </c>
      <c r="K449" s="12">
        <v>69947.009999999995</v>
      </c>
      <c r="L449" s="13">
        <f t="shared" si="26"/>
        <v>0.35</v>
      </c>
      <c r="M449" s="15">
        <f t="shared" si="27"/>
        <v>1.3500037955378276E-2</v>
      </c>
      <c r="N449" s="15" t="str">
        <f t="shared" si="24"/>
        <v>Liquor</v>
      </c>
      <c r="O449" s="16">
        <f t="shared" si="25"/>
        <v>150.06666666666666</v>
      </c>
    </row>
    <row r="450" spans="1:15" x14ac:dyDescent="0.3">
      <c r="A450" s="3">
        <v>45185.491944444446</v>
      </c>
      <c r="B450" s="6" t="s">
        <v>3</v>
      </c>
      <c r="C450" s="9">
        <v>69947.009999999995</v>
      </c>
      <c r="D450" s="9">
        <v>0</v>
      </c>
      <c r="E450" s="6">
        <v>0</v>
      </c>
      <c r="F450" s="6">
        <v>75.25</v>
      </c>
      <c r="G450" s="9">
        <v>50276.24</v>
      </c>
      <c r="H450" s="9">
        <v>17596.68</v>
      </c>
      <c r="I450" s="9">
        <v>679</v>
      </c>
      <c r="J450" s="9">
        <v>68551.92</v>
      </c>
      <c r="K450" s="12">
        <v>1395.09</v>
      </c>
      <c r="L450" s="13">
        <f t="shared" si="26"/>
        <v>0.34999992043955558</v>
      </c>
      <c r="M450" s="15">
        <f t="shared" si="27"/>
        <v>1.3505385446485258E-2</v>
      </c>
      <c r="N450" s="15" t="str">
        <f t="shared" si="24"/>
        <v>Liquor</v>
      </c>
      <c r="O450" s="16">
        <f t="shared" si="25"/>
        <v>100.33333333333333</v>
      </c>
    </row>
    <row r="451" spans="1:15" x14ac:dyDescent="0.3">
      <c r="A451" s="3">
        <v>45186.927453703705</v>
      </c>
      <c r="B451" s="6" t="s">
        <v>2</v>
      </c>
      <c r="C451" s="9">
        <v>1395.09</v>
      </c>
      <c r="D451" s="9">
        <v>150000</v>
      </c>
      <c r="E451" s="6">
        <v>0</v>
      </c>
      <c r="F451" s="6">
        <v>0</v>
      </c>
      <c r="G451" s="9">
        <v>0</v>
      </c>
      <c r="H451" s="9">
        <v>0</v>
      </c>
      <c r="I451" s="9">
        <v>0</v>
      </c>
      <c r="J451" s="9">
        <v>0</v>
      </c>
      <c r="K451" s="12">
        <v>151395.09</v>
      </c>
      <c r="L451" s="13">
        <f t="shared" si="26"/>
        <v>0</v>
      </c>
      <c r="M451" s="15">
        <f t="shared" si="27"/>
        <v>0</v>
      </c>
      <c r="N451" s="15" t="str">
        <f t="shared" ref="N451:N514" si="28">IF($E451&lt;&gt;0,"Beer",IF($F451&lt;&gt;0,"Liquor","-"))</f>
        <v>-</v>
      </c>
      <c r="O451" s="16">
        <f t="shared" ref="O451:O514" si="29">IF($E451&lt;&gt;0,$E451,IF($F451&lt;&gt;0,$F451/0.75,0))</f>
        <v>0</v>
      </c>
    </row>
    <row r="452" spans="1:15" x14ac:dyDescent="0.3">
      <c r="A452" s="3">
        <v>45187.451168981483</v>
      </c>
      <c r="B452" s="6" t="s">
        <v>3</v>
      </c>
      <c r="C452" s="9">
        <v>151395.09</v>
      </c>
      <c r="D452" s="9">
        <v>0</v>
      </c>
      <c r="E452" s="6">
        <v>0</v>
      </c>
      <c r="F452" s="6">
        <v>107.62</v>
      </c>
      <c r="G452" s="9">
        <v>110288.39</v>
      </c>
      <c r="H452" s="9">
        <v>38600.93</v>
      </c>
      <c r="I452" s="9">
        <v>1489</v>
      </c>
      <c r="J452" s="9">
        <v>150378.32</v>
      </c>
      <c r="K452" s="12">
        <v>1016.77</v>
      </c>
      <c r="L452" s="13">
        <f t="shared" ref="L452:L515" si="30">IFERROR(H452/$G452,0)</f>
        <v>0.34999994106360605</v>
      </c>
      <c r="M452" s="15">
        <f t="shared" ref="M452:M515" si="31">IFERROR(I452/$G452,0)</f>
        <v>1.3500967780924175E-2</v>
      </c>
      <c r="N452" s="15" t="str">
        <f t="shared" si="28"/>
        <v>Liquor</v>
      </c>
      <c r="O452" s="16">
        <f t="shared" si="29"/>
        <v>143.49333333333334</v>
      </c>
    </row>
    <row r="453" spans="1:15" x14ac:dyDescent="0.3">
      <c r="A453" s="3">
        <v>45197.289826388886</v>
      </c>
      <c r="B453" s="6" t="s">
        <v>2</v>
      </c>
      <c r="C453" s="9">
        <v>1016.77</v>
      </c>
      <c r="D453" s="9">
        <v>270000</v>
      </c>
      <c r="E453" s="6">
        <v>0</v>
      </c>
      <c r="F453" s="6">
        <v>0</v>
      </c>
      <c r="G453" s="9">
        <v>0</v>
      </c>
      <c r="H453" s="9">
        <v>0</v>
      </c>
      <c r="I453" s="9">
        <v>0</v>
      </c>
      <c r="J453" s="9">
        <v>0</v>
      </c>
      <c r="K453" s="12">
        <v>271016.77</v>
      </c>
      <c r="L453" s="13">
        <f t="shared" si="30"/>
        <v>0</v>
      </c>
      <c r="M453" s="15">
        <f t="shared" si="31"/>
        <v>0</v>
      </c>
      <c r="N453" s="15" t="str">
        <f t="shared" si="28"/>
        <v>-</v>
      </c>
      <c r="O453" s="16">
        <f t="shared" si="29"/>
        <v>0</v>
      </c>
    </row>
    <row r="454" spans="1:15" x14ac:dyDescent="0.3">
      <c r="A454" s="3">
        <v>45197.384768518517</v>
      </c>
      <c r="B454" s="6" t="s">
        <v>2</v>
      </c>
      <c r="C454" s="9">
        <v>271016.77</v>
      </c>
      <c r="D454" s="9">
        <v>25000</v>
      </c>
      <c r="E454" s="6">
        <v>0</v>
      </c>
      <c r="F454" s="6">
        <v>0</v>
      </c>
      <c r="G454" s="9">
        <v>0</v>
      </c>
      <c r="H454" s="9">
        <v>0</v>
      </c>
      <c r="I454" s="9">
        <v>0</v>
      </c>
      <c r="J454" s="9">
        <v>0</v>
      </c>
      <c r="K454" s="12">
        <v>296016.77</v>
      </c>
      <c r="L454" s="13">
        <f t="shared" si="30"/>
        <v>0</v>
      </c>
      <c r="M454" s="15">
        <f t="shared" si="31"/>
        <v>0</v>
      </c>
      <c r="N454" s="15" t="str">
        <f t="shared" si="28"/>
        <v>-</v>
      </c>
      <c r="O454" s="16">
        <f t="shared" si="29"/>
        <v>0</v>
      </c>
    </row>
    <row r="455" spans="1:15" x14ac:dyDescent="0.3">
      <c r="A455" s="3">
        <v>45197.550787037035</v>
      </c>
      <c r="B455" s="6" t="s">
        <v>3</v>
      </c>
      <c r="C455" s="9">
        <v>296016.77</v>
      </c>
      <c r="D455" s="9">
        <v>0</v>
      </c>
      <c r="E455" s="6">
        <v>0</v>
      </c>
      <c r="F455" s="6">
        <v>145.04</v>
      </c>
      <c r="G455" s="9">
        <v>131025.17</v>
      </c>
      <c r="H455" s="9">
        <v>45858.81</v>
      </c>
      <c r="I455" s="9">
        <v>1769</v>
      </c>
      <c r="J455" s="9">
        <v>178652.98</v>
      </c>
      <c r="K455" s="12">
        <v>117363.79</v>
      </c>
      <c r="L455" s="13">
        <f t="shared" si="30"/>
        <v>0.35000000381606067</v>
      </c>
      <c r="M455" s="15">
        <f t="shared" si="31"/>
        <v>1.3501222704004124E-2</v>
      </c>
      <c r="N455" s="15" t="str">
        <f t="shared" si="28"/>
        <v>Liquor</v>
      </c>
      <c r="O455" s="16">
        <f t="shared" si="29"/>
        <v>193.38666666666666</v>
      </c>
    </row>
    <row r="456" spans="1:15" x14ac:dyDescent="0.3">
      <c r="A456" s="3">
        <v>45197.551134259258</v>
      </c>
      <c r="B456" s="6" t="s">
        <v>3</v>
      </c>
      <c r="C456" s="9">
        <v>117363.79</v>
      </c>
      <c r="D456" s="9">
        <v>0</v>
      </c>
      <c r="E456" s="6">
        <v>487.2</v>
      </c>
      <c r="F456" s="6">
        <v>0</v>
      </c>
      <c r="G456" s="9">
        <v>85476.18</v>
      </c>
      <c r="H456" s="9">
        <v>29916.66</v>
      </c>
      <c r="I456" s="9">
        <v>1154</v>
      </c>
      <c r="J456" s="9">
        <v>116546.84</v>
      </c>
      <c r="K456" s="12">
        <v>816.95</v>
      </c>
      <c r="L456" s="13">
        <f t="shared" si="30"/>
        <v>0.34999996490250268</v>
      </c>
      <c r="M456" s="15">
        <f t="shared" si="31"/>
        <v>1.3500837309294824E-2</v>
      </c>
      <c r="N456" s="15" t="str">
        <f t="shared" si="28"/>
        <v>Beer</v>
      </c>
      <c r="O456" s="16">
        <f t="shared" si="29"/>
        <v>487.2</v>
      </c>
    </row>
    <row r="457" spans="1:15" x14ac:dyDescent="0.3">
      <c r="A457" s="3">
        <v>45208.375578703701</v>
      </c>
      <c r="B457" s="6" t="s">
        <v>2</v>
      </c>
      <c r="C457" s="9">
        <v>816.95</v>
      </c>
      <c r="D457" s="9">
        <v>250000</v>
      </c>
      <c r="E457" s="6">
        <v>0</v>
      </c>
      <c r="F457" s="6">
        <v>0</v>
      </c>
      <c r="G457" s="9">
        <v>0</v>
      </c>
      <c r="H457" s="9">
        <v>0</v>
      </c>
      <c r="I457" s="9">
        <v>0</v>
      </c>
      <c r="J457" s="9">
        <v>0</v>
      </c>
      <c r="K457" s="12">
        <v>250816.95</v>
      </c>
      <c r="L457" s="13">
        <f t="shared" si="30"/>
        <v>0</v>
      </c>
      <c r="M457" s="15">
        <f t="shared" si="31"/>
        <v>0</v>
      </c>
      <c r="N457" s="15" t="str">
        <f t="shared" si="28"/>
        <v>-</v>
      </c>
      <c r="O457" s="16">
        <f t="shared" si="29"/>
        <v>0</v>
      </c>
    </row>
    <row r="458" spans="1:15" x14ac:dyDescent="0.3">
      <c r="A458" s="3">
        <v>45208.545995370368</v>
      </c>
      <c r="B458" s="6" t="s">
        <v>3</v>
      </c>
      <c r="C458" s="9">
        <v>250816.95</v>
      </c>
      <c r="D458" s="9">
        <v>0</v>
      </c>
      <c r="E458" s="6">
        <v>0</v>
      </c>
      <c r="F458" s="6">
        <v>205.07</v>
      </c>
      <c r="G458" s="9">
        <v>182440.58</v>
      </c>
      <c r="H458" s="9">
        <v>63854.2</v>
      </c>
      <c r="I458" s="9">
        <v>2463</v>
      </c>
      <c r="J458" s="9">
        <v>248757.78</v>
      </c>
      <c r="K458" s="12">
        <v>2059.17</v>
      </c>
      <c r="L458" s="13">
        <f t="shared" si="30"/>
        <v>0.34999998355628997</v>
      </c>
      <c r="M458" s="15">
        <f t="shared" si="31"/>
        <v>1.3500285956117878E-2</v>
      </c>
      <c r="N458" s="15" t="str">
        <f t="shared" si="28"/>
        <v>Liquor</v>
      </c>
      <c r="O458" s="16">
        <f t="shared" si="29"/>
        <v>273.42666666666668</v>
      </c>
    </row>
    <row r="459" spans="1:15" x14ac:dyDescent="0.3">
      <c r="A459" s="3">
        <v>45216.36341435185</v>
      </c>
      <c r="B459" s="6" t="s">
        <v>2</v>
      </c>
      <c r="C459" s="9">
        <v>2059.17</v>
      </c>
      <c r="D459" s="9">
        <v>195000</v>
      </c>
      <c r="E459" s="6">
        <v>0</v>
      </c>
      <c r="F459" s="6">
        <v>0</v>
      </c>
      <c r="G459" s="9">
        <v>0</v>
      </c>
      <c r="H459" s="9">
        <v>0</v>
      </c>
      <c r="I459" s="9">
        <v>0</v>
      </c>
      <c r="J459" s="9">
        <v>0</v>
      </c>
      <c r="K459" s="12">
        <v>197059.17</v>
      </c>
      <c r="L459" s="13">
        <f t="shared" si="30"/>
        <v>0</v>
      </c>
      <c r="M459" s="15">
        <f t="shared" si="31"/>
        <v>0</v>
      </c>
      <c r="N459" s="15" t="str">
        <f t="shared" si="28"/>
        <v>-</v>
      </c>
      <c r="O459" s="16">
        <f t="shared" si="29"/>
        <v>0</v>
      </c>
    </row>
    <row r="460" spans="1:15" x14ac:dyDescent="0.3">
      <c r="A460" s="3">
        <v>45216.559386574074</v>
      </c>
      <c r="B460" s="6" t="s">
        <v>3</v>
      </c>
      <c r="C460" s="9">
        <v>197059.17</v>
      </c>
      <c r="D460" s="9">
        <v>0</v>
      </c>
      <c r="E460" s="6">
        <v>0</v>
      </c>
      <c r="F460" s="6">
        <v>83.67</v>
      </c>
      <c r="G460" s="9">
        <v>69850.649999999994</v>
      </c>
      <c r="H460" s="9">
        <v>24447.74</v>
      </c>
      <c r="I460" s="9">
        <v>943</v>
      </c>
      <c r="J460" s="9">
        <v>95241.39</v>
      </c>
      <c r="K460" s="12">
        <v>101817.78</v>
      </c>
      <c r="L460" s="13">
        <f t="shared" si="30"/>
        <v>0.35000017895323815</v>
      </c>
      <c r="M460" s="15">
        <f t="shared" si="31"/>
        <v>1.3500232281303039E-2</v>
      </c>
      <c r="N460" s="15" t="str">
        <f t="shared" si="28"/>
        <v>Liquor</v>
      </c>
      <c r="O460" s="16">
        <f t="shared" si="29"/>
        <v>111.56</v>
      </c>
    </row>
    <row r="461" spans="1:15" x14ac:dyDescent="0.3">
      <c r="A461" s="3">
        <v>45216.602708333332</v>
      </c>
      <c r="B461" s="6" t="s">
        <v>3</v>
      </c>
      <c r="C461" s="9">
        <v>101817.78</v>
      </c>
      <c r="D461" s="9">
        <v>0</v>
      </c>
      <c r="E461" s="6">
        <v>411</v>
      </c>
      <c r="F461" s="6">
        <v>0</v>
      </c>
      <c r="G461" s="9">
        <v>74285.740000000005</v>
      </c>
      <c r="H461" s="9">
        <v>26000.01</v>
      </c>
      <c r="I461" s="9">
        <v>1003</v>
      </c>
      <c r="J461" s="9">
        <v>101288.75</v>
      </c>
      <c r="K461" s="12">
        <v>529.03</v>
      </c>
      <c r="L461" s="13">
        <f t="shared" si="30"/>
        <v>0.35000001346153375</v>
      </c>
      <c r="M461" s="15">
        <f t="shared" si="31"/>
        <v>1.350191840318209E-2</v>
      </c>
      <c r="N461" s="15" t="str">
        <f t="shared" si="28"/>
        <v>Beer</v>
      </c>
      <c r="O461" s="16">
        <f t="shared" si="29"/>
        <v>411</v>
      </c>
    </row>
    <row r="462" spans="1:15" x14ac:dyDescent="0.3">
      <c r="A462" s="3">
        <v>45225.376273148147</v>
      </c>
      <c r="B462" s="6" t="s">
        <v>2</v>
      </c>
      <c r="C462" s="9">
        <v>529.03</v>
      </c>
      <c r="D462" s="9">
        <v>280000</v>
      </c>
      <c r="E462" s="6">
        <v>0</v>
      </c>
      <c r="F462" s="6">
        <v>0</v>
      </c>
      <c r="G462" s="9">
        <v>0</v>
      </c>
      <c r="H462" s="9">
        <v>0</v>
      </c>
      <c r="I462" s="9">
        <v>0</v>
      </c>
      <c r="J462" s="9">
        <v>0</v>
      </c>
      <c r="K462" s="12">
        <v>280529.03000000003</v>
      </c>
      <c r="L462" s="13">
        <f t="shared" si="30"/>
        <v>0</v>
      </c>
      <c r="M462" s="15">
        <f t="shared" si="31"/>
        <v>0</v>
      </c>
      <c r="N462" s="15" t="str">
        <f t="shared" si="28"/>
        <v>-</v>
      </c>
      <c r="O462" s="16">
        <f t="shared" si="29"/>
        <v>0</v>
      </c>
    </row>
    <row r="463" spans="1:15" x14ac:dyDescent="0.3">
      <c r="A463" s="3">
        <v>45225.635567129626</v>
      </c>
      <c r="B463" s="6" t="s">
        <v>3</v>
      </c>
      <c r="C463" s="9">
        <v>280529.03000000003</v>
      </c>
      <c r="D463" s="9">
        <v>0</v>
      </c>
      <c r="E463" s="6">
        <v>0</v>
      </c>
      <c r="F463" s="6">
        <v>128.86000000000001</v>
      </c>
      <c r="G463" s="9">
        <v>124955.78</v>
      </c>
      <c r="H463" s="9">
        <v>43734.52</v>
      </c>
      <c r="I463" s="9">
        <v>1687</v>
      </c>
      <c r="J463" s="9">
        <v>170377.3</v>
      </c>
      <c r="K463" s="12">
        <v>110151.73</v>
      </c>
      <c r="L463" s="13">
        <f t="shared" si="30"/>
        <v>0.34999997599150673</v>
      </c>
      <c r="M463" s="15">
        <f t="shared" si="31"/>
        <v>1.3500776034529975E-2</v>
      </c>
      <c r="N463" s="15" t="str">
        <f t="shared" si="28"/>
        <v>Liquor</v>
      </c>
      <c r="O463" s="16">
        <f t="shared" si="29"/>
        <v>171.81333333333336</v>
      </c>
    </row>
    <row r="464" spans="1:15" x14ac:dyDescent="0.3">
      <c r="A464" s="3">
        <v>45225.636180555557</v>
      </c>
      <c r="B464" s="6" t="s">
        <v>3</v>
      </c>
      <c r="C464" s="9">
        <v>110151.73</v>
      </c>
      <c r="D464" s="9">
        <v>0</v>
      </c>
      <c r="E464" s="6">
        <v>439.2</v>
      </c>
      <c r="F464" s="6">
        <v>0</v>
      </c>
      <c r="G464" s="9">
        <v>77619.08</v>
      </c>
      <c r="H464" s="9">
        <v>27166.68</v>
      </c>
      <c r="I464" s="9">
        <v>1048</v>
      </c>
      <c r="J464" s="9">
        <v>105833.76</v>
      </c>
      <c r="K464" s="12">
        <v>4317.97</v>
      </c>
      <c r="L464" s="13">
        <f t="shared" si="30"/>
        <v>0.3500000257668604</v>
      </c>
      <c r="M464" s="15">
        <f t="shared" si="31"/>
        <v>1.3501834858130243E-2</v>
      </c>
      <c r="N464" s="15" t="str">
        <f t="shared" si="28"/>
        <v>Beer</v>
      </c>
      <c r="O464" s="16">
        <f t="shared" si="29"/>
        <v>439.2</v>
      </c>
    </row>
    <row r="465" spans="1:15" x14ac:dyDescent="0.3">
      <c r="A465" s="3">
        <v>45239.447534722225</v>
      </c>
      <c r="B465" s="6" t="s">
        <v>2</v>
      </c>
      <c r="C465" s="9">
        <v>4317.97</v>
      </c>
      <c r="D465" s="9">
        <v>330000</v>
      </c>
      <c r="E465" s="6">
        <v>0</v>
      </c>
      <c r="F465" s="6">
        <v>0</v>
      </c>
      <c r="G465" s="9">
        <v>0</v>
      </c>
      <c r="H465" s="9">
        <v>0</v>
      </c>
      <c r="I465" s="9">
        <v>0</v>
      </c>
      <c r="J465" s="9">
        <v>0</v>
      </c>
      <c r="K465" s="12">
        <v>334317.96999999997</v>
      </c>
      <c r="L465" s="13">
        <f t="shared" si="30"/>
        <v>0</v>
      </c>
      <c r="M465" s="15">
        <f t="shared" si="31"/>
        <v>0</v>
      </c>
      <c r="N465" s="15" t="str">
        <f t="shared" si="28"/>
        <v>-</v>
      </c>
      <c r="O465" s="16">
        <f t="shared" si="29"/>
        <v>0</v>
      </c>
    </row>
    <row r="466" spans="1:15" x14ac:dyDescent="0.3">
      <c r="A466" s="3">
        <v>45239.498495370368</v>
      </c>
      <c r="B466" s="6" t="s">
        <v>3</v>
      </c>
      <c r="C466" s="9">
        <v>334317.96999999997</v>
      </c>
      <c r="D466" s="9">
        <v>0</v>
      </c>
      <c r="E466" s="6">
        <v>0</v>
      </c>
      <c r="F466" s="6">
        <v>222.5</v>
      </c>
      <c r="G466" s="9">
        <v>209658.42</v>
      </c>
      <c r="H466" s="9">
        <v>73380.44</v>
      </c>
      <c r="I466" s="9">
        <v>2830</v>
      </c>
      <c r="J466" s="9">
        <v>285868.86</v>
      </c>
      <c r="K466" s="12">
        <v>48449.11</v>
      </c>
      <c r="L466" s="13">
        <f t="shared" si="30"/>
        <v>0.34999996661235927</v>
      </c>
      <c r="M466" s="15">
        <f t="shared" si="31"/>
        <v>1.3498146175097569E-2</v>
      </c>
      <c r="N466" s="15" t="str">
        <f t="shared" si="28"/>
        <v>Liquor</v>
      </c>
      <c r="O466" s="16">
        <f t="shared" si="29"/>
        <v>296.66666666666669</v>
      </c>
    </row>
    <row r="467" spans="1:15" x14ac:dyDescent="0.3">
      <c r="A467" s="3">
        <v>45244.335034722222</v>
      </c>
      <c r="B467" s="6" t="s">
        <v>2</v>
      </c>
      <c r="C467" s="9">
        <v>48449.11</v>
      </c>
      <c r="D467" s="9">
        <v>150000</v>
      </c>
      <c r="E467" s="6">
        <v>0</v>
      </c>
      <c r="F467" s="6">
        <v>0</v>
      </c>
      <c r="G467" s="9">
        <v>0</v>
      </c>
      <c r="H467" s="9">
        <v>0</v>
      </c>
      <c r="I467" s="9">
        <v>0</v>
      </c>
      <c r="J467" s="9">
        <v>0</v>
      </c>
      <c r="K467" s="12">
        <v>198449.11</v>
      </c>
      <c r="L467" s="13">
        <f t="shared" si="30"/>
        <v>0</v>
      </c>
      <c r="M467" s="15">
        <f t="shared" si="31"/>
        <v>0</v>
      </c>
      <c r="N467" s="15" t="str">
        <f t="shared" si="28"/>
        <v>-</v>
      </c>
      <c r="O467" s="16">
        <f t="shared" si="29"/>
        <v>0</v>
      </c>
    </row>
    <row r="468" spans="1:15" x14ac:dyDescent="0.3">
      <c r="A468" s="3">
        <v>45244.343993055554</v>
      </c>
      <c r="B468" s="6" t="s">
        <v>2</v>
      </c>
      <c r="C468" s="9">
        <v>198449.11</v>
      </c>
      <c r="D468" s="9">
        <v>10000</v>
      </c>
      <c r="E468" s="6">
        <v>0</v>
      </c>
      <c r="F468" s="6">
        <v>0</v>
      </c>
      <c r="G468" s="9">
        <v>0</v>
      </c>
      <c r="H468" s="9">
        <v>0</v>
      </c>
      <c r="I468" s="9">
        <v>0</v>
      </c>
      <c r="J468" s="9">
        <v>0</v>
      </c>
      <c r="K468" s="12">
        <v>208449.11</v>
      </c>
      <c r="L468" s="13">
        <f t="shared" si="30"/>
        <v>0</v>
      </c>
      <c r="M468" s="15">
        <f t="shared" si="31"/>
        <v>0</v>
      </c>
      <c r="N468" s="15" t="str">
        <f t="shared" si="28"/>
        <v>-</v>
      </c>
      <c r="O468" s="16">
        <f t="shared" si="29"/>
        <v>0</v>
      </c>
    </row>
    <row r="469" spans="1:15" x14ac:dyDescent="0.3">
      <c r="A469" s="3">
        <v>45244.631099537037</v>
      </c>
      <c r="B469" s="6" t="s">
        <v>3</v>
      </c>
      <c r="C469" s="9">
        <v>208449.11</v>
      </c>
      <c r="D469" s="9">
        <v>0</v>
      </c>
      <c r="E469" s="6">
        <v>0</v>
      </c>
      <c r="F469" s="6">
        <v>95.41</v>
      </c>
      <c r="G469" s="9">
        <v>98911.52</v>
      </c>
      <c r="H469" s="9">
        <v>34619.03</v>
      </c>
      <c r="I469" s="9">
        <v>1335</v>
      </c>
      <c r="J469" s="9">
        <v>134865.54999999999</v>
      </c>
      <c r="K469" s="12">
        <v>73583.56</v>
      </c>
      <c r="L469" s="13">
        <f t="shared" si="30"/>
        <v>0.34999997977990832</v>
      </c>
      <c r="M469" s="15">
        <f t="shared" si="31"/>
        <v>1.3496911178798992E-2</v>
      </c>
      <c r="N469" s="15" t="str">
        <f t="shared" si="28"/>
        <v>Liquor</v>
      </c>
      <c r="O469" s="16">
        <f t="shared" si="29"/>
        <v>127.21333333333332</v>
      </c>
    </row>
    <row r="470" spans="1:15" x14ac:dyDescent="0.3">
      <c r="A470" s="3">
        <v>45244.631620370368</v>
      </c>
      <c r="B470" s="6" t="s">
        <v>3</v>
      </c>
      <c r="C470" s="9">
        <v>73583.56</v>
      </c>
      <c r="D470" s="9">
        <v>0</v>
      </c>
      <c r="E470" s="6">
        <v>301.2</v>
      </c>
      <c r="F470" s="6">
        <v>0</v>
      </c>
      <c r="G470" s="9">
        <v>53650.79</v>
      </c>
      <c r="H470" s="9">
        <v>18777.78</v>
      </c>
      <c r="I470" s="9">
        <v>724</v>
      </c>
      <c r="J470" s="9">
        <v>73152.570000000007</v>
      </c>
      <c r="K470" s="12">
        <v>430.99</v>
      </c>
      <c r="L470" s="13">
        <f t="shared" si="30"/>
        <v>0.3500000652366908</v>
      </c>
      <c r="M470" s="15">
        <f t="shared" si="31"/>
        <v>1.3494675474489751E-2</v>
      </c>
      <c r="N470" s="15" t="str">
        <f t="shared" si="28"/>
        <v>Beer</v>
      </c>
      <c r="O470" s="16">
        <f t="shared" si="29"/>
        <v>301.2</v>
      </c>
    </row>
    <row r="471" spans="1:15" x14ac:dyDescent="0.3">
      <c r="A471" s="3">
        <v>45250.373124999998</v>
      </c>
      <c r="B471" s="6" t="s">
        <v>2</v>
      </c>
      <c r="C471" s="9">
        <v>430.99</v>
      </c>
      <c r="D471" s="9">
        <v>195000</v>
      </c>
      <c r="E471" s="6">
        <v>0</v>
      </c>
      <c r="F471" s="6">
        <v>0</v>
      </c>
      <c r="G471" s="9">
        <v>0</v>
      </c>
      <c r="H471" s="9">
        <v>0</v>
      </c>
      <c r="I471" s="9">
        <v>0</v>
      </c>
      <c r="J471" s="9">
        <v>0</v>
      </c>
      <c r="K471" s="12">
        <v>195430.99</v>
      </c>
      <c r="L471" s="13">
        <f t="shared" si="30"/>
        <v>0</v>
      </c>
      <c r="M471" s="15">
        <f t="shared" si="31"/>
        <v>0</v>
      </c>
      <c r="N471" s="15" t="str">
        <f t="shared" si="28"/>
        <v>-</v>
      </c>
      <c r="O471" s="16">
        <f t="shared" si="29"/>
        <v>0</v>
      </c>
    </row>
    <row r="472" spans="1:15" x14ac:dyDescent="0.3">
      <c r="A472" s="3">
        <v>45250.480995370373</v>
      </c>
      <c r="B472" s="6" t="s">
        <v>3</v>
      </c>
      <c r="C472" s="9">
        <v>195430.99</v>
      </c>
      <c r="D472" s="9">
        <v>0</v>
      </c>
      <c r="E472" s="6">
        <v>0</v>
      </c>
      <c r="F472" s="6">
        <v>74.78</v>
      </c>
      <c r="G472" s="9">
        <v>76009.279999999999</v>
      </c>
      <c r="H472" s="9">
        <v>26603.25</v>
      </c>
      <c r="I472" s="9">
        <v>1026</v>
      </c>
      <c r="J472" s="9">
        <v>103638.53</v>
      </c>
      <c r="K472" s="12">
        <v>91792.46</v>
      </c>
      <c r="L472" s="13">
        <f t="shared" si="30"/>
        <v>0.3500000263125766</v>
      </c>
      <c r="M472" s="15">
        <f t="shared" si="31"/>
        <v>1.349835178020368E-2</v>
      </c>
      <c r="N472" s="15" t="str">
        <f t="shared" si="28"/>
        <v>Liquor</v>
      </c>
      <c r="O472" s="16">
        <f t="shared" si="29"/>
        <v>99.706666666666663</v>
      </c>
    </row>
    <row r="473" spans="1:15" x14ac:dyDescent="0.3">
      <c r="A473" s="3">
        <v>45250.481539351851</v>
      </c>
      <c r="B473" s="6" t="s">
        <v>3</v>
      </c>
      <c r="C473" s="9">
        <v>91792.46</v>
      </c>
      <c r="D473" s="9">
        <v>0</v>
      </c>
      <c r="E473" s="6">
        <v>189</v>
      </c>
      <c r="F473" s="6">
        <v>0</v>
      </c>
      <c r="G473" s="9">
        <v>31746.05</v>
      </c>
      <c r="H473" s="9">
        <v>11111.12</v>
      </c>
      <c r="I473" s="9">
        <v>429</v>
      </c>
      <c r="J473" s="9">
        <v>43286.17</v>
      </c>
      <c r="K473" s="12">
        <v>48506.29</v>
      </c>
      <c r="L473" s="13">
        <f t="shared" si="30"/>
        <v>0.35000007874995476</v>
      </c>
      <c r="M473" s="15">
        <f t="shared" si="31"/>
        <v>1.3513492229741969E-2</v>
      </c>
      <c r="N473" s="15" t="str">
        <f t="shared" si="28"/>
        <v>Beer</v>
      </c>
      <c r="O473" s="16">
        <f t="shared" si="29"/>
        <v>189</v>
      </c>
    </row>
    <row r="474" spans="1:15" x14ac:dyDescent="0.3">
      <c r="A474" s="3">
        <v>45258.411354166667</v>
      </c>
      <c r="B474" s="6" t="s">
        <v>2</v>
      </c>
      <c r="C474" s="9">
        <v>48506.29</v>
      </c>
      <c r="D474" s="9">
        <v>255000</v>
      </c>
      <c r="E474" s="6">
        <v>0</v>
      </c>
      <c r="F474" s="6">
        <v>0</v>
      </c>
      <c r="G474" s="9">
        <v>0</v>
      </c>
      <c r="H474" s="9">
        <v>0</v>
      </c>
      <c r="I474" s="9">
        <v>0</v>
      </c>
      <c r="J474" s="9">
        <v>0</v>
      </c>
      <c r="K474" s="12">
        <v>303506.28999999998</v>
      </c>
      <c r="L474" s="13">
        <f t="shared" si="30"/>
        <v>0</v>
      </c>
      <c r="M474" s="15">
        <f t="shared" si="31"/>
        <v>0</v>
      </c>
      <c r="N474" s="15" t="str">
        <f t="shared" si="28"/>
        <v>-</v>
      </c>
      <c r="O474" s="16">
        <f t="shared" si="29"/>
        <v>0</v>
      </c>
    </row>
    <row r="475" spans="1:15" x14ac:dyDescent="0.3">
      <c r="A475" s="3">
        <v>45258.659780092596</v>
      </c>
      <c r="B475" s="6" t="s">
        <v>3</v>
      </c>
      <c r="C475" s="9">
        <v>303506.28999999998</v>
      </c>
      <c r="D475" s="9">
        <v>0</v>
      </c>
      <c r="E475" s="6">
        <v>207.6</v>
      </c>
      <c r="F475" s="6">
        <v>0</v>
      </c>
      <c r="G475" s="9">
        <v>36984.129999999997</v>
      </c>
      <c r="H475" s="9">
        <v>12944.45</v>
      </c>
      <c r="I475" s="9">
        <v>499</v>
      </c>
      <c r="J475" s="9">
        <v>50427.58</v>
      </c>
      <c r="K475" s="12">
        <v>253078.71</v>
      </c>
      <c r="L475" s="13">
        <f t="shared" si="30"/>
        <v>0.35000012167380984</v>
      </c>
      <c r="M475" s="15">
        <f t="shared" si="31"/>
        <v>1.3492273577883272E-2</v>
      </c>
      <c r="N475" s="15" t="str">
        <f t="shared" si="28"/>
        <v>Beer</v>
      </c>
      <c r="O475" s="16">
        <f t="shared" si="29"/>
        <v>207.6</v>
      </c>
    </row>
    <row r="476" spans="1:15" x14ac:dyDescent="0.3">
      <c r="A476" s="3">
        <v>45258.660578703704</v>
      </c>
      <c r="B476" s="6" t="s">
        <v>3</v>
      </c>
      <c r="C476" s="9">
        <v>253078.71</v>
      </c>
      <c r="D476" s="9">
        <v>0</v>
      </c>
      <c r="E476" s="6">
        <v>0</v>
      </c>
      <c r="F476" s="6">
        <v>166.61</v>
      </c>
      <c r="G476" s="9">
        <v>153784.09</v>
      </c>
      <c r="H476" s="9">
        <v>53824.43</v>
      </c>
      <c r="I476" s="9">
        <v>2076</v>
      </c>
      <c r="J476" s="9">
        <v>209684.52</v>
      </c>
      <c r="K476" s="12">
        <v>43394.19</v>
      </c>
      <c r="L476" s="13">
        <f t="shared" si="30"/>
        <v>0.34999999024606515</v>
      </c>
      <c r="M476" s="15">
        <f t="shared" si="31"/>
        <v>1.349944587895926E-2</v>
      </c>
      <c r="N476" s="15" t="str">
        <f t="shared" si="28"/>
        <v>Liquor</v>
      </c>
      <c r="O476" s="16">
        <f t="shared" si="29"/>
        <v>222.14666666666668</v>
      </c>
    </row>
    <row r="477" spans="1:15" x14ac:dyDescent="0.3">
      <c r="A477" s="3">
        <v>45268.470856481479</v>
      </c>
      <c r="B477" s="6" t="s">
        <v>2</v>
      </c>
      <c r="C477" s="9">
        <v>43394.19</v>
      </c>
      <c r="D477" s="9">
        <v>200000</v>
      </c>
      <c r="E477" s="6">
        <v>0</v>
      </c>
      <c r="F477" s="6">
        <v>0</v>
      </c>
      <c r="G477" s="9">
        <v>0</v>
      </c>
      <c r="H477" s="9">
        <v>0</v>
      </c>
      <c r="I477" s="9">
        <v>0</v>
      </c>
      <c r="J477" s="9">
        <v>0</v>
      </c>
      <c r="K477" s="12">
        <v>243394.19</v>
      </c>
      <c r="L477" s="13">
        <f t="shared" si="30"/>
        <v>0</v>
      </c>
      <c r="M477" s="15">
        <f t="shared" si="31"/>
        <v>0</v>
      </c>
      <c r="N477" s="15" t="str">
        <f t="shared" si="28"/>
        <v>-</v>
      </c>
      <c r="O477" s="16">
        <f t="shared" si="29"/>
        <v>0</v>
      </c>
    </row>
    <row r="478" spans="1:15" x14ac:dyDescent="0.3">
      <c r="A478" s="3">
        <v>45268.635810185187</v>
      </c>
      <c r="B478" s="6" t="s">
        <v>3</v>
      </c>
      <c r="C478" s="9">
        <v>243394.19</v>
      </c>
      <c r="D478" s="9">
        <v>0</v>
      </c>
      <c r="E478" s="6">
        <v>0</v>
      </c>
      <c r="F478" s="6">
        <v>151.74</v>
      </c>
      <c r="G478" s="9">
        <v>141428.63</v>
      </c>
      <c r="H478" s="9">
        <v>49500.02</v>
      </c>
      <c r="I478" s="9">
        <v>1909</v>
      </c>
      <c r="J478" s="9">
        <v>192837.65</v>
      </c>
      <c r="K478" s="12">
        <v>50556.54</v>
      </c>
      <c r="L478" s="13">
        <f t="shared" si="30"/>
        <v>0.34999999646464791</v>
      </c>
      <c r="M478" s="15">
        <f t="shared" si="31"/>
        <v>1.3497974207909672E-2</v>
      </c>
      <c r="N478" s="15" t="str">
        <f t="shared" si="28"/>
        <v>Liquor</v>
      </c>
      <c r="O478" s="16">
        <f t="shared" si="29"/>
        <v>202.32000000000002</v>
      </c>
    </row>
    <row r="479" spans="1:15" x14ac:dyDescent="0.3">
      <c r="A479" s="3">
        <v>45271.392430555556</v>
      </c>
      <c r="B479" s="6" t="s">
        <v>2</v>
      </c>
      <c r="C479" s="9">
        <v>50556.54</v>
      </c>
      <c r="D479" s="9">
        <v>140000</v>
      </c>
      <c r="E479" s="6">
        <v>0</v>
      </c>
      <c r="F479" s="6">
        <v>0</v>
      </c>
      <c r="G479" s="9">
        <v>0</v>
      </c>
      <c r="H479" s="9">
        <v>0</v>
      </c>
      <c r="I479" s="9">
        <v>0</v>
      </c>
      <c r="J479" s="9">
        <v>0</v>
      </c>
      <c r="K479" s="12">
        <v>190556.54</v>
      </c>
      <c r="L479" s="13">
        <f t="shared" si="30"/>
        <v>0</v>
      </c>
      <c r="M479" s="15">
        <f t="shared" si="31"/>
        <v>0</v>
      </c>
      <c r="N479" s="15" t="str">
        <f t="shared" si="28"/>
        <v>-</v>
      </c>
      <c r="O479" s="16">
        <f t="shared" si="29"/>
        <v>0</v>
      </c>
    </row>
    <row r="480" spans="1:15" x14ac:dyDescent="0.3">
      <c r="A480" s="3">
        <v>45271.606400462966</v>
      </c>
      <c r="B480" s="6" t="s">
        <v>3</v>
      </c>
      <c r="C480" s="9">
        <v>190556.54</v>
      </c>
      <c r="D480" s="9">
        <v>0</v>
      </c>
      <c r="E480" s="6">
        <v>187.8</v>
      </c>
      <c r="F480" s="6">
        <v>0</v>
      </c>
      <c r="G480" s="9">
        <v>38174.629999999997</v>
      </c>
      <c r="H480" s="9">
        <v>13361.12</v>
      </c>
      <c r="I480" s="9">
        <v>515</v>
      </c>
      <c r="J480" s="9">
        <v>52050.75</v>
      </c>
      <c r="K480" s="12">
        <v>138505.79</v>
      </c>
      <c r="L480" s="13">
        <f t="shared" si="30"/>
        <v>0.34999998690229617</v>
      </c>
      <c r="M480" s="15">
        <f t="shared" si="31"/>
        <v>1.3490635010738808E-2</v>
      </c>
      <c r="N480" s="15" t="str">
        <f t="shared" si="28"/>
        <v>Beer</v>
      </c>
      <c r="O480" s="16">
        <f t="shared" si="29"/>
        <v>187.8</v>
      </c>
    </row>
    <row r="481" spans="1:15" x14ac:dyDescent="0.3">
      <c r="A481" s="3">
        <v>45271.60696759259</v>
      </c>
      <c r="B481" s="6" t="s">
        <v>3</v>
      </c>
      <c r="C481" s="9">
        <v>138505.79</v>
      </c>
      <c r="D481" s="9">
        <v>0</v>
      </c>
      <c r="E481" s="6">
        <v>0</v>
      </c>
      <c r="F481" s="6">
        <v>96.26</v>
      </c>
      <c r="G481" s="9">
        <v>96527.83</v>
      </c>
      <c r="H481" s="9">
        <v>33784.720000000001</v>
      </c>
      <c r="I481" s="9">
        <v>1303</v>
      </c>
      <c r="J481" s="9">
        <v>131615.54999999999</v>
      </c>
      <c r="K481" s="12">
        <v>6890.24</v>
      </c>
      <c r="L481" s="13">
        <f t="shared" si="30"/>
        <v>0.34999978762601419</v>
      </c>
      <c r="M481" s="15">
        <f t="shared" si="31"/>
        <v>1.3498697733078636E-2</v>
      </c>
      <c r="N481" s="15" t="str">
        <f t="shared" si="28"/>
        <v>Liquor</v>
      </c>
      <c r="O481" s="16">
        <f t="shared" si="29"/>
        <v>128.34666666666666</v>
      </c>
    </row>
    <row r="482" spans="1:15" x14ac:dyDescent="0.3">
      <c r="A482" s="3">
        <v>45275.492731481485</v>
      </c>
      <c r="B482" s="6" t="s">
        <v>2</v>
      </c>
      <c r="C482" s="9">
        <v>6890.24</v>
      </c>
      <c r="D482" s="9">
        <v>170000</v>
      </c>
      <c r="E482" s="6">
        <v>0</v>
      </c>
      <c r="F482" s="6">
        <v>0</v>
      </c>
      <c r="G482" s="9">
        <v>0</v>
      </c>
      <c r="H482" s="9">
        <v>0</v>
      </c>
      <c r="I482" s="9">
        <v>0</v>
      </c>
      <c r="J482" s="9">
        <v>0</v>
      </c>
      <c r="K482" s="12">
        <v>176890.23999999999</v>
      </c>
      <c r="L482" s="13">
        <f t="shared" si="30"/>
        <v>0</v>
      </c>
      <c r="M482" s="15">
        <f t="shared" si="31"/>
        <v>0</v>
      </c>
      <c r="N482" s="15" t="str">
        <f t="shared" si="28"/>
        <v>-</v>
      </c>
      <c r="O482" s="16">
        <f t="shared" si="29"/>
        <v>0</v>
      </c>
    </row>
    <row r="483" spans="1:15" x14ac:dyDescent="0.3">
      <c r="A483" s="3">
        <v>45275.629560185182</v>
      </c>
      <c r="B483" s="6" t="s">
        <v>3</v>
      </c>
      <c r="C483" s="9">
        <v>176890.23999999999</v>
      </c>
      <c r="D483" s="9">
        <v>0</v>
      </c>
      <c r="E483" s="6">
        <v>0</v>
      </c>
      <c r="F483" s="6">
        <v>122.6</v>
      </c>
      <c r="G483" s="9">
        <v>128829.54</v>
      </c>
      <c r="H483" s="9">
        <v>45090.33</v>
      </c>
      <c r="I483" s="9">
        <v>1739</v>
      </c>
      <c r="J483" s="9">
        <v>175658.87</v>
      </c>
      <c r="K483" s="12">
        <v>1231.3699999999999</v>
      </c>
      <c r="L483" s="13">
        <f t="shared" si="30"/>
        <v>0.34999993014024583</v>
      </c>
      <c r="M483" s="15">
        <f t="shared" si="31"/>
        <v>1.3498456953273294E-2</v>
      </c>
      <c r="N483" s="15" t="str">
        <f t="shared" si="28"/>
        <v>Liquor</v>
      </c>
      <c r="O483" s="16">
        <f t="shared" si="29"/>
        <v>163.46666666666667</v>
      </c>
    </row>
    <row r="484" spans="1:15" x14ac:dyDescent="0.3">
      <c r="A484" s="3">
        <v>45289.49523148148</v>
      </c>
      <c r="B484" s="6" t="s">
        <v>2</v>
      </c>
      <c r="C484" s="9">
        <v>1231.3699999999999</v>
      </c>
      <c r="D484" s="9">
        <v>100000</v>
      </c>
      <c r="E484" s="6">
        <v>0</v>
      </c>
      <c r="F484" s="6">
        <v>0</v>
      </c>
      <c r="G484" s="9">
        <v>0</v>
      </c>
      <c r="H484" s="9">
        <v>0</v>
      </c>
      <c r="I484" s="9">
        <v>0</v>
      </c>
      <c r="J484" s="9">
        <v>0</v>
      </c>
      <c r="K484" s="12">
        <v>101231.37</v>
      </c>
      <c r="L484" s="13">
        <f t="shared" si="30"/>
        <v>0</v>
      </c>
      <c r="M484" s="15">
        <f t="shared" si="31"/>
        <v>0</v>
      </c>
      <c r="N484" s="15" t="str">
        <f t="shared" si="28"/>
        <v>-</v>
      </c>
      <c r="O484" s="16">
        <f t="shared" si="29"/>
        <v>0</v>
      </c>
    </row>
    <row r="485" spans="1:15" x14ac:dyDescent="0.3">
      <c r="A485" s="3">
        <v>45289.587372685186</v>
      </c>
      <c r="B485" s="6" t="s">
        <v>2</v>
      </c>
      <c r="C485" s="9">
        <v>101231.37</v>
      </c>
      <c r="D485" s="9">
        <v>100000</v>
      </c>
      <c r="E485" s="6">
        <v>0</v>
      </c>
      <c r="F485" s="6">
        <v>0</v>
      </c>
      <c r="G485" s="9">
        <v>0</v>
      </c>
      <c r="H485" s="9">
        <v>0</v>
      </c>
      <c r="I485" s="9">
        <v>0</v>
      </c>
      <c r="J485" s="9">
        <v>0</v>
      </c>
      <c r="K485" s="12">
        <v>201231.37</v>
      </c>
      <c r="L485" s="13">
        <f t="shared" si="30"/>
        <v>0</v>
      </c>
      <c r="M485" s="15">
        <f t="shared" si="31"/>
        <v>0</v>
      </c>
      <c r="N485" s="15" t="str">
        <f t="shared" si="28"/>
        <v>-</v>
      </c>
      <c r="O485" s="16">
        <f t="shared" si="29"/>
        <v>0</v>
      </c>
    </row>
    <row r="486" spans="1:15" x14ac:dyDescent="0.3">
      <c r="A486" s="3">
        <v>45289.589050925926</v>
      </c>
      <c r="B486" s="6" t="s">
        <v>2</v>
      </c>
      <c r="C486" s="9">
        <v>201231.37</v>
      </c>
      <c r="D486" s="9">
        <v>80000</v>
      </c>
      <c r="E486" s="6">
        <v>0</v>
      </c>
      <c r="F486" s="6">
        <v>0</v>
      </c>
      <c r="G486" s="9">
        <v>0</v>
      </c>
      <c r="H486" s="9">
        <v>0</v>
      </c>
      <c r="I486" s="9">
        <v>0</v>
      </c>
      <c r="J486" s="9">
        <v>0</v>
      </c>
      <c r="K486" s="12">
        <v>281231.37</v>
      </c>
      <c r="L486" s="13">
        <f t="shared" si="30"/>
        <v>0</v>
      </c>
      <c r="M486" s="15">
        <f t="shared" si="31"/>
        <v>0</v>
      </c>
      <c r="N486" s="15" t="str">
        <f t="shared" si="28"/>
        <v>-</v>
      </c>
      <c r="O486" s="16">
        <f t="shared" si="29"/>
        <v>0</v>
      </c>
    </row>
    <row r="487" spans="1:15" x14ac:dyDescent="0.3">
      <c r="A487" s="3">
        <v>45289.706979166665</v>
      </c>
      <c r="B487" s="6" t="s">
        <v>3</v>
      </c>
      <c r="C487" s="9">
        <v>281231.37</v>
      </c>
      <c r="D487" s="9">
        <v>0</v>
      </c>
      <c r="E487" s="6">
        <v>394.2</v>
      </c>
      <c r="F487" s="6">
        <v>0</v>
      </c>
      <c r="G487" s="9">
        <v>65873.05</v>
      </c>
      <c r="H487" s="9">
        <v>23055.55</v>
      </c>
      <c r="I487" s="9">
        <v>889</v>
      </c>
      <c r="J487" s="9">
        <v>89817.600000000006</v>
      </c>
      <c r="K487" s="12">
        <v>191413.77</v>
      </c>
      <c r="L487" s="13">
        <f t="shared" si="30"/>
        <v>0.34999973433748699</v>
      </c>
      <c r="M487" s="15">
        <f t="shared" si="31"/>
        <v>1.3495655658877188E-2</v>
      </c>
      <c r="N487" s="15" t="str">
        <f t="shared" si="28"/>
        <v>Beer</v>
      </c>
      <c r="O487" s="16">
        <f t="shared" si="29"/>
        <v>394.2</v>
      </c>
    </row>
    <row r="488" spans="1:15" x14ac:dyDescent="0.3">
      <c r="A488" s="3">
        <v>45289.708275462966</v>
      </c>
      <c r="B488" s="6" t="s">
        <v>3</v>
      </c>
      <c r="C488" s="9">
        <v>191413.77</v>
      </c>
      <c r="D488" s="9">
        <v>0</v>
      </c>
      <c r="E488" s="6">
        <v>0</v>
      </c>
      <c r="F488" s="6">
        <v>143.27000000000001</v>
      </c>
      <c r="G488" s="9">
        <v>140070.63</v>
      </c>
      <c r="H488" s="9">
        <v>49024.69</v>
      </c>
      <c r="I488" s="9">
        <v>1891</v>
      </c>
      <c r="J488" s="9">
        <v>190986.32</v>
      </c>
      <c r="K488" s="12">
        <v>427.45</v>
      </c>
      <c r="L488" s="13">
        <f t="shared" si="30"/>
        <v>0.34999978225271067</v>
      </c>
      <c r="M488" s="15">
        <f t="shared" si="31"/>
        <v>1.3500331939679288E-2</v>
      </c>
      <c r="N488" s="15" t="str">
        <f t="shared" si="28"/>
        <v>Liquor</v>
      </c>
      <c r="O488" s="16">
        <f t="shared" si="29"/>
        <v>191.02666666666667</v>
      </c>
    </row>
    <row r="489" spans="1:15" x14ac:dyDescent="0.3">
      <c r="A489" s="3">
        <v>45293.483576388891</v>
      </c>
      <c r="B489" s="6" t="s">
        <v>2</v>
      </c>
      <c r="C489" s="9">
        <v>427.45</v>
      </c>
      <c r="D489" s="9">
        <v>220000</v>
      </c>
      <c r="E489" s="6">
        <v>0</v>
      </c>
      <c r="F489" s="6">
        <v>0</v>
      </c>
      <c r="G489" s="9">
        <v>0</v>
      </c>
      <c r="H489" s="9">
        <v>0</v>
      </c>
      <c r="I489" s="9">
        <v>0</v>
      </c>
      <c r="J489" s="9">
        <v>0</v>
      </c>
      <c r="K489" s="12">
        <v>220427.45</v>
      </c>
      <c r="L489" s="13">
        <f t="shared" si="30"/>
        <v>0</v>
      </c>
      <c r="M489" s="15">
        <f t="shared" si="31"/>
        <v>0</v>
      </c>
      <c r="N489" s="15" t="str">
        <f t="shared" si="28"/>
        <v>-</v>
      </c>
      <c r="O489" s="16">
        <f t="shared" si="29"/>
        <v>0</v>
      </c>
    </row>
    <row r="490" spans="1:15" x14ac:dyDescent="0.3">
      <c r="A490" s="3">
        <v>45293.504016203704</v>
      </c>
      <c r="B490" s="6" t="s">
        <v>2</v>
      </c>
      <c r="C490" s="9">
        <v>220427.45</v>
      </c>
      <c r="D490" s="9">
        <v>1000</v>
      </c>
      <c r="E490" s="6">
        <v>0</v>
      </c>
      <c r="F490" s="6">
        <v>0</v>
      </c>
      <c r="G490" s="9">
        <v>0</v>
      </c>
      <c r="H490" s="9">
        <v>0</v>
      </c>
      <c r="I490" s="9">
        <v>0</v>
      </c>
      <c r="J490" s="9">
        <v>0</v>
      </c>
      <c r="K490" s="12">
        <v>221427.45</v>
      </c>
      <c r="L490" s="13">
        <f t="shared" si="30"/>
        <v>0</v>
      </c>
      <c r="M490" s="15">
        <f t="shared" si="31"/>
        <v>0</v>
      </c>
      <c r="N490" s="15" t="str">
        <f t="shared" si="28"/>
        <v>-</v>
      </c>
      <c r="O490" s="16">
        <f t="shared" si="29"/>
        <v>0</v>
      </c>
    </row>
    <row r="491" spans="1:15" x14ac:dyDescent="0.3">
      <c r="A491" s="3">
        <v>45293.658321759256</v>
      </c>
      <c r="B491" s="6" t="s">
        <v>3</v>
      </c>
      <c r="C491" s="9">
        <v>221427.45</v>
      </c>
      <c r="D491" s="9">
        <v>0</v>
      </c>
      <c r="E491" s="6">
        <v>0</v>
      </c>
      <c r="F491" s="6">
        <v>174.53</v>
      </c>
      <c r="G491" s="9">
        <v>161666.73000000001</v>
      </c>
      <c r="H491" s="9">
        <v>56583.34</v>
      </c>
      <c r="I491" s="9">
        <v>2183</v>
      </c>
      <c r="J491" s="9">
        <v>220433.07</v>
      </c>
      <c r="K491" s="12">
        <v>994.38</v>
      </c>
      <c r="L491" s="13">
        <f t="shared" si="30"/>
        <v>0.34999990412374887</v>
      </c>
      <c r="M491" s="15">
        <f t="shared" si="31"/>
        <v>1.3503087493635827E-2</v>
      </c>
      <c r="N491" s="15" t="str">
        <f t="shared" si="28"/>
        <v>Liquor</v>
      </c>
      <c r="O491" s="16">
        <f t="shared" si="29"/>
        <v>232.70666666666668</v>
      </c>
    </row>
    <row r="492" spans="1:15" x14ac:dyDescent="0.3">
      <c r="A492" s="3">
        <v>45303.406585648147</v>
      </c>
      <c r="B492" s="6" t="s">
        <v>2</v>
      </c>
      <c r="C492" s="9">
        <v>994.38</v>
      </c>
      <c r="D492" s="9">
        <v>190000</v>
      </c>
      <c r="E492" s="6">
        <v>0</v>
      </c>
      <c r="F492" s="6">
        <v>0</v>
      </c>
      <c r="G492" s="9">
        <v>0</v>
      </c>
      <c r="H492" s="9">
        <v>0</v>
      </c>
      <c r="I492" s="9">
        <v>0</v>
      </c>
      <c r="J492" s="9">
        <v>0</v>
      </c>
      <c r="K492" s="12">
        <v>190994.38</v>
      </c>
      <c r="L492" s="13">
        <f t="shared" si="30"/>
        <v>0</v>
      </c>
      <c r="M492" s="15">
        <f t="shared" si="31"/>
        <v>0</v>
      </c>
      <c r="N492" s="15" t="str">
        <f t="shared" si="28"/>
        <v>-</v>
      </c>
      <c r="O492" s="16">
        <f t="shared" si="29"/>
        <v>0</v>
      </c>
    </row>
    <row r="493" spans="1:15" x14ac:dyDescent="0.3">
      <c r="A493" s="3">
        <v>45303.734861111108</v>
      </c>
      <c r="B493" s="6" t="s">
        <v>3</v>
      </c>
      <c r="C493" s="9">
        <v>190994.38</v>
      </c>
      <c r="D493" s="9">
        <v>0</v>
      </c>
      <c r="E493" s="6">
        <v>249.6</v>
      </c>
      <c r="F493" s="6">
        <v>0</v>
      </c>
      <c r="G493" s="9">
        <v>43095.27</v>
      </c>
      <c r="H493" s="9">
        <v>15083.34</v>
      </c>
      <c r="I493" s="9">
        <v>582</v>
      </c>
      <c r="J493" s="9">
        <v>58760.61</v>
      </c>
      <c r="K493" s="12">
        <v>132233.76999999999</v>
      </c>
      <c r="L493" s="13">
        <f t="shared" si="30"/>
        <v>0.34999989558018785</v>
      </c>
      <c r="M493" s="15">
        <f t="shared" si="31"/>
        <v>1.3504962377541667E-2</v>
      </c>
      <c r="N493" s="15" t="str">
        <f t="shared" si="28"/>
        <v>Beer</v>
      </c>
      <c r="O493" s="16">
        <f t="shared" si="29"/>
        <v>249.6</v>
      </c>
    </row>
    <row r="494" spans="1:15" x14ac:dyDescent="0.3">
      <c r="A494" s="3">
        <v>45303.747534722221</v>
      </c>
      <c r="B494" s="6" t="s">
        <v>3</v>
      </c>
      <c r="C494" s="9">
        <v>132233.76999999999</v>
      </c>
      <c r="D494" s="9">
        <v>0</v>
      </c>
      <c r="E494" s="6">
        <v>0</v>
      </c>
      <c r="F494" s="6">
        <v>97.22</v>
      </c>
      <c r="G494" s="9">
        <v>94350.06</v>
      </c>
      <c r="H494" s="9">
        <v>33022.53</v>
      </c>
      <c r="I494" s="9">
        <v>1274</v>
      </c>
      <c r="J494" s="9">
        <v>128646.59</v>
      </c>
      <c r="K494" s="12">
        <v>3587.18</v>
      </c>
      <c r="L494" s="13">
        <f t="shared" si="30"/>
        <v>0.35000009538944649</v>
      </c>
      <c r="M494" s="15">
        <f t="shared" si="31"/>
        <v>1.3502906092481552E-2</v>
      </c>
      <c r="N494" s="15" t="str">
        <f t="shared" si="28"/>
        <v>Liquor</v>
      </c>
      <c r="O494" s="16">
        <f t="shared" si="29"/>
        <v>129.62666666666667</v>
      </c>
    </row>
    <row r="495" spans="1:15" x14ac:dyDescent="0.3">
      <c r="A495" s="3">
        <v>45307.479594907411</v>
      </c>
      <c r="B495" s="6" t="s">
        <v>2</v>
      </c>
      <c r="C495" s="9">
        <v>3587.18</v>
      </c>
      <c r="D495" s="9">
        <v>240000</v>
      </c>
      <c r="E495" s="6">
        <v>0</v>
      </c>
      <c r="F495" s="6">
        <v>0</v>
      </c>
      <c r="G495" s="9">
        <v>0</v>
      </c>
      <c r="H495" s="9">
        <v>0</v>
      </c>
      <c r="I495" s="9">
        <v>0</v>
      </c>
      <c r="J495" s="9">
        <v>0</v>
      </c>
      <c r="K495" s="12">
        <v>243587.18</v>
      </c>
      <c r="L495" s="13">
        <f t="shared" si="30"/>
        <v>0</v>
      </c>
      <c r="M495" s="15">
        <f t="shared" si="31"/>
        <v>0</v>
      </c>
      <c r="N495" s="15" t="str">
        <f t="shared" si="28"/>
        <v>-</v>
      </c>
      <c r="O495" s="16">
        <f t="shared" si="29"/>
        <v>0</v>
      </c>
    </row>
    <row r="496" spans="1:15" x14ac:dyDescent="0.3">
      <c r="A496" s="3">
        <v>45307.850393518522</v>
      </c>
      <c r="B496" s="6" t="s">
        <v>3</v>
      </c>
      <c r="C496" s="9">
        <v>243587.18</v>
      </c>
      <c r="D496" s="9">
        <v>0</v>
      </c>
      <c r="E496" s="6">
        <v>0</v>
      </c>
      <c r="F496" s="6">
        <v>198.45</v>
      </c>
      <c r="G496" s="9">
        <v>178015.95</v>
      </c>
      <c r="H496" s="9">
        <v>62305.58</v>
      </c>
      <c r="I496" s="9">
        <v>2403</v>
      </c>
      <c r="J496" s="9">
        <v>242724.53</v>
      </c>
      <c r="K496" s="12">
        <v>862.65</v>
      </c>
      <c r="L496" s="13">
        <f t="shared" si="30"/>
        <v>0.3499999859563146</v>
      </c>
      <c r="M496" s="15">
        <f t="shared" si="31"/>
        <v>1.3498790417375521E-2</v>
      </c>
      <c r="N496" s="15" t="str">
        <f t="shared" si="28"/>
        <v>Liquor</v>
      </c>
      <c r="O496" s="16">
        <f t="shared" si="29"/>
        <v>264.59999999999997</v>
      </c>
    </row>
    <row r="497" spans="1:15" x14ac:dyDescent="0.3">
      <c r="A497" s="3">
        <v>45316.382835648146</v>
      </c>
      <c r="B497" s="6" t="s">
        <v>2</v>
      </c>
      <c r="C497" s="9">
        <v>862.65</v>
      </c>
      <c r="D497" s="9">
        <v>200000</v>
      </c>
      <c r="E497" s="6">
        <v>0</v>
      </c>
      <c r="F497" s="6">
        <v>0</v>
      </c>
      <c r="G497" s="9">
        <v>0</v>
      </c>
      <c r="H497" s="9">
        <v>0</v>
      </c>
      <c r="I497" s="9">
        <v>0</v>
      </c>
      <c r="J497" s="9">
        <v>0</v>
      </c>
      <c r="K497" s="12">
        <v>200862.65</v>
      </c>
      <c r="L497" s="13">
        <f t="shared" si="30"/>
        <v>0</v>
      </c>
      <c r="M497" s="15">
        <f t="shared" si="31"/>
        <v>0</v>
      </c>
      <c r="N497" s="15" t="str">
        <f t="shared" si="28"/>
        <v>-</v>
      </c>
      <c r="O497" s="16">
        <f t="shared" si="29"/>
        <v>0</v>
      </c>
    </row>
    <row r="498" spans="1:15" x14ac:dyDescent="0.3">
      <c r="A498" s="3">
        <v>45316.624085648145</v>
      </c>
      <c r="B498" s="6" t="s">
        <v>3</v>
      </c>
      <c r="C498" s="9">
        <v>200862.65</v>
      </c>
      <c r="D498" s="9">
        <v>0</v>
      </c>
      <c r="E498" s="6">
        <v>0</v>
      </c>
      <c r="F498" s="6">
        <v>79.11</v>
      </c>
      <c r="G498" s="9">
        <v>75333.36</v>
      </c>
      <c r="H498" s="9">
        <v>26366.68</v>
      </c>
      <c r="I498" s="9">
        <v>1017</v>
      </c>
      <c r="J498" s="9">
        <v>102717.04</v>
      </c>
      <c r="K498" s="12">
        <v>98145.61</v>
      </c>
      <c r="L498" s="13">
        <f t="shared" si="30"/>
        <v>0.35000005309732635</v>
      </c>
      <c r="M498" s="15">
        <f t="shared" si="31"/>
        <v>1.3499995221240629E-2</v>
      </c>
      <c r="N498" s="15" t="str">
        <f t="shared" si="28"/>
        <v>Liquor</v>
      </c>
      <c r="O498" s="16">
        <f t="shared" si="29"/>
        <v>105.48</v>
      </c>
    </row>
    <row r="499" spans="1:15" x14ac:dyDescent="0.3">
      <c r="A499" s="3">
        <v>45316.624409722222</v>
      </c>
      <c r="B499" s="6" t="s">
        <v>3</v>
      </c>
      <c r="C499" s="9">
        <v>98145.61</v>
      </c>
      <c r="D499" s="9">
        <v>0</v>
      </c>
      <c r="E499" s="6">
        <v>372</v>
      </c>
      <c r="F499" s="6">
        <v>0</v>
      </c>
      <c r="G499" s="9">
        <v>70238.05</v>
      </c>
      <c r="H499" s="9">
        <v>24583.32</v>
      </c>
      <c r="I499" s="9">
        <v>948</v>
      </c>
      <c r="J499" s="9">
        <v>95769.37</v>
      </c>
      <c r="K499" s="12">
        <v>2376.2399999999998</v>
      </c>
      <c r="L499" s="13">
        <f t="shared" si="30"/>
        <v>0.35000003559324322</v>
      </c>
      <c r="M499" s="15">
        <f t="shared" si="31"/>
        <v>1.3496957845498272E-2</v>
      </c>
      <c r="N499" s="15" t="str">
        <f t="shared" si="28"/>
        <v>Beer</v>
      </c>
      <c r="O499" s="16">
        <f t="shared" si="29"/>
        <v>372</v>
      </c>
    </row>
    <row r="500" spans="1:15" x14ac:dyDescent="0.3">
      <c r="A500" s="3">
        <v>45325.362870370373</v>
      </c>
      <c r="B500" s="6" t="s">
        <v>2</v>
      </c>
      <c r="C500" s="9">
        <v>2376.2399999999998</v>
      </c>
      <c r="D500" s="9">
        <v>260000</v>
      </c>
      <c r="E500" s="6">
        <v>0</v>
      </c>
      <c r="F500" s="6">
        <v>0</v>
      </c>
      <c r="G500" s="9">
        <v>0</v>
      </c>
      <c r="H500" s="9">
        <v>0</v>
      </c>
      <c r="I500" s="9">
        <v>0</v>
      </c>
      <c r="J500" s="9">
        <v>0</v>
      </c>
      <c r="K500" s="12">
        <v>262376.24</v>
      </c>
      <c r="L500" s="13">
        <f t="shared" si="30"/>
        <v>0</v>
      </c>
      <c r="M500" s="15">
        <f t="shared" si="31"/>
        <v>0</v>
      </c>
      <c r="N500" s="15" t="str">
        <f t="shared" si="28"/>
        <v>-</v>
      </c>
      <c r="O500" s="16">
        <f t="shared" si="29"/>
        <v>0</v>
      </c>
    </row>
    <row r="501" spans="1:15" x14ac:dyDescent="0.3">
      <c r="A501" s="3">
        <v>45325.665254629632</v>
      </c>
      <c r="B501" s="6" t="s">
        <v>3</v>
      </c>
      <c r="C501" s="9">
        <v>262376.24</v>
      </c>
      <c r="D501" s="9">
        <v>0</v>
      </c>
      <c r="E501" s="6">
        <v>0</v>
      </c>
      <c r="F501" s="6">
        <v>209.48</v>
      </c>
      <c r="G501" s="9">
        <v>191543</v>
      </c>
      <c r="H501" s="9">
        <v>67040.05</v>
      </c>
      <c r="I501" s="9">
        <v>2586</v>
      </c>
      <c r="J501" s="9">
        <v>261169.05</v>
      </c>
      <c r="K501" s="12">
        <v>1207.19</v>
      </c>
      <c r="L501" s="13">
        <f t="shared" si="30"/>
        <v>0.35000000000000003</v>
      </c>
      <c r="M501" s="15">
        <f t="shared" si="31"/>
        <v>1.3500884918791081E-2</v>
      </c>
      <c r="N501" s="15" t="str">
        <f t="shared" si="28"/>
        <v>Liquor</v>
      </c>
      <c r="O501" s="16">
        <f t="shared" si="29"/>
        <v>279.30666666666667</v>
      </c>
    </row>
    <row r="502" spans="1:15" x14ac:dyDescent="0.3">
      <c r="A502" s="3">
        <v>45331.498298611114</v>
      </c>
      <c r="B502" s="6" t="s">
        <v>2</v>
      </c>
      <c r="C502" s="9">
        <v>1207.19</v>
      </c>
      <c r="D502" s="9">
        <v>185000</v>
      </c>
      <c r="E502" s="6">
        <v>0</v>
      </c>
      <c r="F502" s="6">
        <v>0</v>
      </c>
      <c r="G502" s="9">
        <v>0</v>
      </c>
      <c r="H502" s="9">
        <v>0</v>
      </c>
      <c r="I502" s="9">
        <v>0</v>
      </c>
      <c r="J502" s="9">
        <v>0</v>
      </c>
      <c r="K502" s="12">
        <v>186207.19</v>
      </c>
      <c r="L502" s="13">
        <f t="shared" si="30"/>
        <v>0</v>
      </c>
      <c r="M502" s="15">
        <f t="shared" si="31"/>
        <v>0</v>
      </c>
      <c r="N502" s="15" t="str">
        <f t="shared" si="28"/>
        <v>-</v>
      </c>
      <c r="O502" s="16">
        <f t="shared" si="29"/>
        <v>0</v>
      </c>
    </row>
    <row r="503" spans="1:15" x14ac:dyDescent="0.3">
      <c r="A503" s="3">
        <v>45331.695717592593</v>
      </c>
      <c r="B503" s="6" t="s">
        <v>3</v>
      </c>
      <c r="C503" s="9">
        <v>186207.19</v>
      </c>
      <c r="D503" s="9">
        <v>0</v>
      </c>
      <c r="E503" s="6">
        <v>441</v>
      </c>
      <c r="F503" s="6">
        <v>0</v>
      </c>
      <c r="G503" s="9">
        <v>69523.89</v>
      </c>
      <c r="H503" s="9">
        <v>24333.360000000001</v>
      </c>
      <c r="I503" s="9">
        <v>939</v>
      </c>
      <c r="J503" s="9">
        <v>94796.25</v>
      </c>
      <c r="K503" s="12">
        <v>91410.94</v>
      </c>
      <c r="L503" s="13">
        <f t="shared" si="30"/>
        <v>0.3499999784246825</v>
      </c>
      <c r="M503" s="15">
        <f t="shared" si="31"/>
        <v>1.3506148749731927E-2</v>
      </c>
      <c r="N503" s="15" t="str">
        <f t="shared" si="28"/>
        <v>Beer</v>
      </c>
      <c r="O503" s="16">
        <f t="shared" si="29"/>
        <v>441</v>
      </c>
    </row>
    <row r="504" spans="1:15" x14ac:dyDescent="0.3">
      <c r="A504" s="3">
        <v>45331.696562500001</v>
      </c>
      <c r="B504" s="6" t="s">
        <v>3</v>
      </c>
      <c r="C504" s="9">
        <v>91410.94</v>
      </c>
      <c r="D504" s="9">
        <v>0</v>
      </c>
      <c r="E504" s="6">
        <v>0</v>
      </c>
      <c r="F504" s="6">
        <v>72.63</v>
      </c>
      <c r="G504" s="9">
        <v>66111.149999999994</v>
      </c>
      <c r="H504" s="9">
        <v>23138.9</v>
      </c>
      <c r="I504" s="9">
        <v>893</v>
      </c>
      <c r="J504" s="9">
        <v>90143.05</v>
      </c>
      <c r="K504" s="12">
        <v>1267.8900000000001</v>
      </c>
      <c r="L504" s="13">
        <f t="shared" si="30"/>
        <v>0.34999996218489626</v>
      </c>
      <c r="M504" s="15">
        <f t="shared" si="31"/>
        <v>1.3507555079589451E-2</v>
      </c>
      <c r="N504" s="15" t="str">
        <f t="shared" si="28"/>
        <v>Liquor</v>
      </c>
      <c r="O504" s="16">
        <f t="shared" si="29"/>
        <v>96.839999999999989</v>
      </c>
    </row>
    <row r="505" spans="1:15" x14ac:dyDescent="0.3">
      <c r="A505" s="3">
        <v>45341.456817129627</v>
      </c>
      <c r="B505" s="6" t="s">
        <v>2</v>
      </c>
      <c r="C505" s="9">
        <v>1267.8900000000001</v>
      </c>
      <c r="D505" s="9">
        <v>320000</v>
      </c>
      <c r="E505" s="6">
        <v>0</v>
      </c>
      <c r="F505" s="6">
        <v>0</v>
      </c>
      <c r="G505" s="9">
        <v>0</v>
      </c>
      <c r="H505" s="9">
        <v>0</v>
      </c>
      <c r="I505" s="9">
        <v>0</v>
      </c>
      <c r="J505" s="9">
        <v>0</v>
      </c>
      <c r="K505" s="12">
        <v>321267.89</v>
      </c>
      <c r="L505" s="13">
        <f t="shared" si="30"/>
        <v>0</v>
      </c>
      <c r="M505" s="15">
        <f t="shared" si="31"/>
        <v>0</v>
      </c>
      <c r="N505" s="15" t="str">
        <f t="shared" si="28"/>
        <v>-</v>
      </c>
      <c r="O505" s="16">
        <f t="shared" si="29"/>
        <v>0</v>
      </c>
    </row>
    <row r="506" spans="1:15" x14ac:dyDescent="0.3">
      <c r="A506" s="3">
        <v>45341.501747685186</v>
      </c>
      <c r="B506" s="6" t="s">
        <v>3</v>
      </c>
      <c r="C506" s="9">
        <v>321267.89</v>
      </c>
      <c r="D506" s="9">
        <v>0</v>
      </c>
      <c r="E506" s="6">
        <v>263.39999999999998</v>
      </c>
      <c r="F506" s="6">
        <v>0</v>
      </c>
      <c r="G506" s="9">
        <v>44365.1</v>
      </c>
      <c r="H506" s="9">
        <v>15527.79</v>
      </c>
      <c r="I506" s="9">
        <v>599</v>
      </c>
      <c r="J506" s="9">
        <v>60491.89</v>
      </c>
      <c r="K506" s="12">
        <v>260776</v>
      </c>
      <c r="L506" s="13">
        <f t="shared" si="30"/>
        <v>0.35000011270119985</v>
      </c>
      <c r="M506" s="15">
        <f t="shared" si="31"/>
        <v>1.3501603738073397E-2</v>
      </c>
      <c r="N506" s="15" t="str">
        <f t="shared" si="28"/>
        <v>Beer</v>
      </c>
      <c r="O506" s="16">
        <f t="shared" si="29"/>
        <v>263.39999999999998</v>
      </c>
    </row>
    <row r="507" spans="1:15" x14ac:dyDescent="0.3">
      <c r="A507" s="3">
        <v>45341.547291666669</v>
      </c>
      <c r="B507" s="6" t="s">
        <v>3</v>
      </c>
      <c r="C507" s="9">
        <v>260776</v>
      </c>
      <c r="D507" s="9">
        <v>0</v>
      </c>
      <c r="E507" s="6">
        <v>0</v>
      </c>
      <c r="F507" s="6">
        <v>194.31</v>
      </c>
      <c r="G507" s="9">
        <v>176993.34</v>
      </c>
      <c r="H507" s="9">
        <v>61947.67</v>
      </c>
      <c r="I507" s="9">
        <v>2389</v>
      </c>
      <c r="J507" s="9">
        <v>241330.01</v>
      </c>
      <c r="K507" s="12">
        <v>19445.990000000002</v>
      </c>
      <c r="L507" s="13">
        <f t="shared" si="30"/>
        <v>0.35000000564993011</v>
      </c>
      <c r="M507" s="15">
        <f t="shared" si="31"/>
        <v>1.3497683020163357E-2</v>
      </c>
      <c r="N507" s="15" t="str">
        <f t="shared" si="28"/>
        <v>Liquor</v>
      </c>
      <c r="O507" s="16">
        <f t="shared" si="29"/>
        <v>259.08</v>
      </c>
    </row>
    <row r="508" spans="1:15" x14ac:dyDescent="0.3">
      <c r="A508" s="3">
        <v>45351.497291666667</v>
      </c>
      <c r="B508" s="6" t="s">
        <v>2</v>
      </c>
      <c r="C508" s="9">
        <v>19445.990000000002</v>
      </c>
      <c r="D508" s="9">
        <v>100000</v>
      </c>
      <c r="E508" s="6">
        <v>0</v>
      </c>
      <c r="F508" s="6">
        <v>0</v>
      </c>
      <c r="G508" s="9">
        <v>0</v>
      </c>
      <c r="H508" s="9">
        <v>0</v>
      </c>
      <c r="I508" s="9">
        <v>0</v>
      </c>
      <c r="J508" s="9">
        <v>0</v>
      </c>
      <c r="K508" s="12">
        <v>119445.99</v>
      </c>
      <c r="L508" s="13">
        <f t="shared" si="30"/>
        <v>0</v>
      </c>
      <c r="M508" s="15">
        <f t="shared" si="31"/>
        <v>0</v>
      </c>
      <c r="N508" s="15" t="str">
        <f t="shared" si="28"/>
        <v>-</v>
      </c>
      <c r="O508" s="16">
        <f t="shared" si="29"/>
        <v>0</v>
      </c>
    </row>
    <row r="509" spans="1:15" x14ac:dyDescent="0.3">
      <c r="A509" s="3">
        <v>45351.509166666663</v>
      </c>
      <c r="B509" s="6" t="s">
        <v>2</v>
      </c>
      <c r="C509" s="9">
        <v>119445.99</v>
      </c>
      <c r="D509" s="9">
        <v>1000</v>
      </c>
      <c r="E509" s="6">
        <v>0</v>
      </c>
      <c r="F509" s="6">
        <v>0</v>
      </c>
      <c r="G509" s="9">
        <v>0</v>
      </c>
      <c r="H509" s="9">
        <v>0</v>
      </c>
      <c r="I509" s="9">
        <v>0</v>
      </c>
      <c r="J509" s="9">
        <v>0</v>
      </c>
      <c r="K509" s="12">
        <v>120445.99</v>
      </c>
      <c r="L509" s="13">
        <f t="shared" si="30"/>
        <v>0</v>
      </c>
      <c r="M509" s="15">
        <f t="shared" si="31"/>
        <v>0</v>
      </c>
      <c r="N509" s="15" t="str">
        <f t="shared" si="28"/>
        <v>-</v>
      </c>
      <c r="O509" s="16">
        <f t="shared" si="29"/>
        <v>0</v>
      </c>
    </row>
    <row r="510" spans="1:15" x14ac:dyDescent="0.3">
      <c r="A510" s="3">
        <v>45351.627881944441</v>
      </c>
      <c r="B510" s="6" t="s">
        <v>3</v>
      </c>
      <c r="C510" s="9">
        <v>120445.99</v>
      </c>
      <c r="D510" s="9">
        <v>0</v>
      </c>
      <c r="E510" s="6">
        <v>0</v>
      </c>
      <c r="F510" s="6">
        <v>87.62</v>
      </c>
      <c r="G510" s="9">
        <v>88153.47</v>
      </c>
      <c r="H510" s="9">
        <v>30853.71</v>
      </c>
      <c r="I510" s="9">
        <v>1190</v>
      </c>
      <c r="J510" s="9">
        <v>120197.18</v>
      </c>
      <c r="K510" s="12">
        <v>248.81</v>
      </c>
      <c r="L510" s="13">
        <f t="shared" si="30"/>
        <v>0.34999994895266173</v>
      </c>
      <c r="M510" s="15">
        <f t="shared" si="31"/>
        <v>1.3499185000885388E-2</v>
      </c>
      <c r="N510" s="15" t="str">
        <f t="shared" si="28"/>
        <v>Liquor</v>
      </c>
      <c r="O510" s="16">
        <f t="shared" si="29"/>
        <v>116.82666666666667</v>
      </c>
    </row>
    <row r="511" spans="1:15" x14ac:dyDescent="0.3">
      <c r="A511" s="3">
        <v>45358.482997685183</v>
      </c>
      <c r="B511" s="6" t="s">
        <v>2</v>
      </c>
      <c r="C511" s="9">
        <v>248.81</v>
      </c>
      <c r="D511" s="9">
        <v>260000</v>
      </c>
      <c r="E511" s="6">
        <v>0</v>
      </c>
      <c r="F511" s="6">
        <v>0</v>
      </c>
      <c r="G511" s="9">
        <v>0</v>
      </c>
      <c r="H511" s="9">
        <v>0</v>
      </c>
      <c r="I511" s="9">
        <v>0</v>
      </c>
      <c r="J511" s="9">
        <v>0</v>
      </c>
      <c r="K511" s="12">
        <v>260248.81</v>
      </c>
      <c r="L511" s="13">
        <f t="shared" si="30"/>
        <v>0</v>
      </c>
      <c r="M511" s="15">
        <f t="shared" si="31"/>
        <v>0</v>
      </c>
      <c r="N511" s="15" t="str">
        <f t="shared" si="28"/>
        <v>-</v>
      </c>
      <c r="O511" s="16">
        <f t="shared" si="29"/>
        <v>0</v>
      </c>
    </row>
    <row r="512" spans="1:15" x14ac:dyDescent="0.3">
      <c r="A512" s="3">
        <v>45358.695879629631</v>
      </c>
      <c r="B512" s="6" t="s">
        <v>3</v>
      </c>
      <c r="C512" s="9">
        <v>260248.81</v>
      </c>
      <c r="D512" s="9">
        <v>0</v>
      </c>
      <c r="E512" s="6">
        <v>0</v>
      </c>
      <c r="F512" s="6">
        <v>193.63</v>
      </c>
      <c r="G512" s="9">
        <v>190765.93</v>
      </c>
      <c r="H512" s="9">
        <v>66768.08</v>
      </c>
      <c r="I512" s="9">
        <v>2575</v>
      </c>
      <c r="J512" s="9">
        <v>260109.01</v>
      </c>
      <c r="K512" s="12">
        <v>139.80000000000001</v>
      </c>
      <c r="L512" s="13">
        <f t="shared" si="30"/>
        <v>0.35000002358911786</v>
      </c>
      <c r="M512" s="15">
        <f t="shared" si="31"/>
        <v>1.3498217422786134E-2</v>
      </c>
      <c r="N512" s="15" t="str">
        <f t="shared" si="28"/>
        <v>Liquor</v>
      </c>
      <c r="O512" s="16">
        <f t="shared" si="29"/>
        <v>258.17333333333335</v>
      </c>
    </row>
    <row r="513" spans="1:15" x14ac:dyDescent="0.3">
      <c r="A513" s="3">
        <v>45361.919317129628</v>
      </c>
      <c r="B513" s="6" t="s">
        <v>2</v>
      </c>
      <c r="C513" s="9">
        <v>139.80000000000001</v>
      </c>
      <c r="D513" s="9">
        <v>180000</v>
      </c>
      <c r="E513" s="6">
        <v>0</v>
      </c>
      <c r="F513" s="6">
        <v>0</v>
      </c>
      <c r="G513" s="9">
        <v>0</v>
      </c>
      <c r="H513" s="9">
        <v>0</v>
      </c>
      <c r="I513" s="9">
        <v>0</v>
      </c>
      <c r="J513" s="9">
        <v>0</v>
      </c>
      <c r="K513" s="12">
        <v>180139.8</v>
      </c>
      <c r="L513" s="13">
        <f t="shared" si="30"/>
        <v>0</v>
      </c>
      <c r="M513" s="15">
        <f t="shared" si="31"/>
        <v>0</v>
      </c>
      <c r="N513" s="15" t="str">
        <f t="shared" si="28"/>
        <v>-</v>
      </c>
      <c r="O513" s="16">
        <f t="shared" si="29"/>
        <v>0</v>
      </c>
    </row>
    <row r="514" spans="1:15" x14ac:dyDescent="0.3">
      <c r="A514" s="3">
        <v>45362.359259259261</v>
      </c>
      <c r="B514" s="6" t="s">
        <v>2</v>
      </c>
      <c r="C514" s="9">
        <v>180139.8</v>
      </c>
      <c r="D514" s="9">
        <v>40000</v>
      </c>
      <c r="E514" s="6">
        <v>0</v>
      </c>
      <c r="F514" s="6">
        <v>0</v>
      </c>
      <c r="G514" s="9">
        <v>0</v>
      </c>
      <c r="H514" s="9">
        <v>0</v>
      </c>
      <c r="I514" s="9">
        <v>0</v>
      </c>
      <c r="J514" s="9">
        <v>0</v>
      </c>
      <c r="K514" s="12">
        <v>220139.8</v>
      </c>
      <c r="L514" s="13">
        <f t="shared" si="30"/>
        <v>0</v>
      </c>
      <c r="M514" s="15">
        <f t="shared" si="31"/>
        <v>0</v>
      </c>
      <c r="N514" s="15" t="str">
        <f t="shared" si="28"/>
        <v>-</v>
      </c>
      <c r="O514" s="16">
        <f t="shared" si="29"/>
        <v>0</v>
      </c>
    </row>
    <row r="515" spans="1:15" x14ac:dyDescent="0.3">
      <c r="A515" s="3">
        <v>45362.637708333335</v>
      </c>
      <c r="B515" s="6" t="s">
        <v>3</v>
      </c>
      <c r="C515" s="9">
        <v>220139.8</v>
      </c>
      <c r="D515" s="9">
        <v>0</v>
      </c>
      <c r="E515" s="6">
        <v>979.2</v>
      </c>
      <c r="F515" s="6">
        <v>0</v>
      </c>
      <c r="G515" s="9">
        <v>161031.97</v>
      </c>
      <c r="H515" s="9">
        <v>56361.19</v>
      </c>
      <c r="I515" s="9">
        <v>2174</v>
      </c>
      <c r="J515" s="9">
        <v>219567.16</v>
      </c>
      <c r="K515" s="12">
        <v>572.64</v>
      </c>
      <c r="L515" s="13">
        <f t="shared" si="30"/>
        <v>0.35000000310497353</v>
      </c>
      <c r="M515" s="15">
        <f t="shared" si="31"/>
        <v>1.3500424791424957E-2</v>
      </c>
      <c r="N515" s="15" t="str">
        <f t="shared" ref="N515:N521" si="32">IF($E515&lt;&gt;0,"Beer",IF($F515&lt;&gt;0,"Liquor","-"))</f>
        <v>Beer</v>
      </c>
      <c r="O515" s="16">
        <f t="shared" ref="O515:O521" si="33">IF($E515&lt;&gt;0,$E515,IF($F515&lt;&gt;0,$F515/0.75,0))</f>
        <v>979.2</v>
      </c>
    </row>
    <row r="516" spans="1:15" x14ac:dyDescent="0.3">
      <c r="A516" s="3">
        <v>45364.502916666665</v>
      </c>
      <c r="B516" s="6" t="s">
        <v>2</v>
      </c>
      <c r="C516" s="9">
        <v>572.64</v>
      </c>
      <c r="D516" s="9">
        <v>185000</v>
      </c>
      <c r="E516" s="6">
        <v>0</v>
      </c>
      <c r="F516" s="6">
        <v>0</v>
      </c>
      <c r="G516" s="9">
        <v>0</v>
      </c>
      <c r="H516" s="9">
        <v>0</v>
      </c>
      <c r="I516" s="9">
        <v>0</v>
      </c>
      <c r="J516" s="9">
        <v>0</v>
      </c>
      <c r="K516" s="12">
        <v>185572.64</v>
      </c>
      <c r="L516" s="13">
        <f t="shared" ref="L516:L521" si="34">IFERROR(H516/$G516,0)</f>
        <v>0</v>
      </c>
      <c r="M516" s="15">
        <f t="shared" ref="M516:M521" si="35">IFERROR(I516/$G516,0)</f>
        <v>0</v>
      </c>
      <c r="N516" s="15" t="str">
        <f t="shared" si="32"/>
        <v>-</v>
      </c>
      <c r="O516" s="16">
        <f t="shared" si="33"/>
        <v>0</v>
      </c>
    </row>
    <row r="517" spans="1:15" x14ac:dyDescent="0.3">
      <c r="A517" s="3">
        <v>45364.723483796297</v>
      </c>
      <c r="B517" s="6" t="s">
        <v>3</v>
      </c>
      <c r="C517" s="9">
        <v>185572.64</v>
      </c>
      <c r="D517" s="9">
        <v>0</v>
      </c>
      <c r="E517" s="6">
        <v>0</v>
      </c>
      <c r="F517" s="6">
        <v>151.76</v>
      </c>
      <c r="G517" s="9">
        <v>135914.07</v>
      </c>
      <c r="H517" s="9">
        <v>47569.919999999998</v>
      </c>
      <c r="I517" s="9">
        <v>1835</v>
      </c>
      <c r="J517" s="9">
        <v>185318.99</v>
      </c>
      <c r="K517" s="12">
        <v>253.65</v>
      </c>
      <c r="L517" s="13">
        <f t="shared" si="34"/>
        <v>0.34999996689084506</v>
      </c>
      <c r="M517" s="15">
        <f t="shared" si="35"/>
        <v>1.350117761906475E-2</v>
      </c>
      <c r="N517" s="15" t="str">
        <f t="shared" si="32"/>
        <v>Liquor</v>
      </c>
      <c r="O517" s="16">
        <f t="shared" si="33"/>
        <v>202.34666666666666</v>
      </c>
    </row>
    <row r="518" spans="1:15" x14ac:dyDescent="0.3">
      <c r="A518" s="3">
        <v>45374.357604166667</v>
      </c>
      <c r="B518" s="6" t="s">
        <v>2</v>
      </c>
      <c r="C518" s="9">
        <v>253.65</v>
      </c>
      <c r="D518" s="9">
        <v>240000</v>
      </c>
      <c r="E518" s="6">
        <v>0</v>
      </c>
      <c r="F518" s="6">
        <v>0</v>
      </c>
      <c r="G518" s="9">
        <v>0</v>
      </c>
      <c r="H518" s="9">
        <v>0</v>
      </c>
      <c r="I518" s="9">
        <v>0</v>
      </c>
      <c r="J518" s="9">
        <v>0</v>
      </c>
      <c r="K518" s="12">
        <v>240253.65</v>
      </c>
      <c r="L518" s="13">
        <f t="shared" si="34"/>
        <v>0</v>
      </c>
      <c r="M518" s="15">
        <f t="shared" si="35"/>
        <v>0</v>
      </c>
      <c r="N518" s="15" t="str">
        <f t="shared" si="32"/>
        <v>-</v>
      </c>
      <c r="O518" s="16">
        <f t="shared" si="33"/>
        <v>0</v>
      </c>
    </row>
    <row r="519" spans="1:15" x14ac:dyDescent="0.3">
      <c r="A519" s="3">
        <v>45374.609375</v>
      </c>
      <c r="B519" s="6" t="s">
        <v>3</v>
      </c>
      <c r="C519" s="9">
        <v>240253.65</v>
      </c>
      <c r="D519" s="9">
        <v>0</v>
      </c>
      <c r="E519" s="6">
        <v>0</v>
      </c>
      <c r="F519" s="6">
        <v>183.75</v>
      </c>
      <c r="G519" s="9">
        <v>174571.5</v>
      </c>
      <c r="H519" s="9">
        <v>61100.03</v>
      </c>
      <c r="I519" s="9">
        <v>2357</v>
      </c>
      <c r="J519" s="9">
        <v>238028.53</v>
      </c>
      <c r="K519" s="12">
        <v>2225.12</v>
      </c>
      <c r="L519" s="13">
        <f t="shared" si="34"/>
        <v>0.35000002864155949</v>
      </c>
      <c r="M519" s="15">
        <f t="shared" si="35"/>
        <v>1.3501631136812136E-2</v>
      </c>
      <c r="N519" s="15" t="str">
        <f t="shared" si="32"/>
        <v>Liquor</v>
      </c>
      <c r="O519" s="16">
        <f t="shared" si="33"/>
        <v>245</v>
      </c>
    </row>
    <row r="520" spans="1:15" x14ac:dyDescent="0.3">
      <c r="A520" s="3">
        <v>45380.459097222221</v>
      </c>
      <c r="B520" s="6" t="s">
        <v>2</v>
      </c>
      <c r="C520" s="9">
        <v>2225.12</v>
      </c>
      <c r="D520" s="9">
        <v>270000</v>
      </c>
      <c r="E520" s="6">
        <v>0</v>
      </c>
      <c r="F520" s="6">
        <v>0</v>
      </c>
      <c r="G520" s="9">
        <v>0</v>
      </c>
      <c r="H520" s="9">
        <v>0</v>
      </c>
      <c r="I520" s="9">
        <v>0</v>
      </c>
      <c r="J520" s="9">
        <v>0</v>
      </c>
      <c r="K520" s="12">
        <v>272225.12</v>
      </c>
      <c r="L520" s="13">
        <f t="shared" si="34"/>
        <v>0</v>
      </c>
      <c r="M520" s="15">
        <f t="shared" si="35"/>
        <v>0</v>
      </c>
      <c r="N520" s="15" t="str">
        <f t="shared" si="32"/>
        <v>-</v>
      </c>
      <c r="O520" s="16">
        <f t="shared" si="33"/>
        <v>0</v>
      </c>
    </row>
    <row r="521" spans="1:15" ht="15" thickBot="1" x14ac:dyDescent="0.35">
      <c r="A521" s="4">
        <v>45380.712430555555</v>
      </c>
      <c r="B521" s="7" t="s">
        <v>3</v>
      </c>
      <c r="C521" s="10">
        <v>272225.12</v>
      </c>
      <c r="D521" s="10">
        <v>0</v>
      </c>
      <c r="E521" s="7">
        <v>0</v>
      </c>
      <c r="F521" s="7">
        <v>192.37</v>
      </c>
      <c r="G521" s="10">
        <v>199352.43</v>
      </c>
      <c r="H521" s="10">
        <v>69773.350000000006</v>
      </c>
      <c r="I521" s="10">
        <v>2691</v>
      </c>
      <c r="J521" s="10">
        <v>271816.78000000003</v>
      </c>
      <c r="K521" s="14">
        <v>408.34</v>
      </c>
      <c r="L521" s="13">
        <f t="shared" si="34"/>
        <v>0.3499999974918791</v>
      </c>
      <c r="M521" s="15">
        <f t="shared" si="35"/>
        <v>1.3498706787772791E-2</v>
      </c>
      <c r="N521" s="15" t="str">
        <f t="shared" si="32"/>
        <v>Liquor</v>
      </c>
      <c r="O521" s="16">
        <f t="shared" si="33"/>
        <v>256.49333333333334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6C06-3658-4DD1-BB36-5688BD878DFC}">
  <dimension ref="B2:Q38"/>
  <sheetViews>
    <sheetView workbookViewId="0">
      <selection activeCell="O40" sqref="O40"/>
    </sheetView>
  </sheetViews>
  <sheetFormatPr defaultRowHeight="14.4" x14ac:dyDescent="0.3"/>
  <cols>
    <col min="1" max="1" width="2.88671875" style="20" customWidth="1"/>
    <col min="2" max="16384" width="8.88671875" style="20"/>
  </cols>
  <sheetData>
    <row r="2" spans="2:17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2:17" x14ac:dyDescent="0.3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2:17" x14ac:dyDescent="0.3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2:17" x14ac:dyDescent="0.3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2:17" x14ac:dyDescent="0.3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2:17" x14ac:dyDescent="0.3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2:17" x14ac:dyDescent="0.3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x14ac:dyDescent="0.3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2:17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x14ac:dyDescent="0.3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17" x14ac:dyDescent="0.3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2:17" x14ac:dyDescent="0.3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2:17" x14ac:dyDescent="0.3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2:17" x14ac:dyDescent="0.3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2:17" x14ac:dyDescent="0.3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2:17" x14ac:dyDescent="0.3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2:17" x14ac:dyDescent="0.3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2:17" x14ac:dyDescent="0.3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2:17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2:17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2:17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2:17" x14ac:dyDescent="0.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2:17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2:17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spans="2:17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2:17" x14ac:dyDescent="0.3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2:17" x14ac:dyDescent="0.3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2:17" x14ac:dyDescent="0.3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spans="2:17" x14ac:dyDescent="0.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2:17" x14ac:dyDescent="0.3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2:17" x14ac:dyDescent="0.3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2:17" x14ac:dyDescent="0.3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2:17" x14ac:dyDescent="0.3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2:17" x14ac:dyDescent="0.3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2:17" x14ac:dyDescent="0.3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2:17" x14ac:dyDescent="0.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2:17" x14ac:dyDescent="0.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 21-24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Das</dc:creator>
  <cp:lastModifiedBy>Prayag Das</cp:lastModifiedBy>
  <dcterms:created xsi:type="dcterms:W3CDTF">2025-07-20T19:11:24Z</dcterms:created>
  <dcterms:modified xsi:type="dcterms:W3CDTF">2025-07-20T19:27:02Z</dcterms:modified>
</cp:coreProperties>
</file>